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updateLinks="never" codeName="ThisWorkbook" defaultThemeVersion="164011"/>
  <bookViews>
    <workbookView xWindow="0" yWindow="0" windowWidth="28800" windowHeight="12330" firstSheet="26" activeTab="28"/>
  </bookViews>
  <sheets>
    <sheet name="1-RESUMEN" sheetId="29" r:id="rId1"/>
    <sheet name="PROCESO" sheetId="102" r:id="rId2"/>
    <sheet name="2-MODELO" sheetId="60" r:id="rId3"/>
    <sheet name="Abogado Rafael Medina 1-05" sheetId="72" r:id="rId4"/>
    <sheet name="Abogado Rafael Medina 1-06" sheetId="66" r:id="rId5"/>
    <sheet name="Agata 7" sheetId="65" r:id="rId6"/>
    <sheet name="Alberche 17" sheetId="73" r:id="rId7"/>
    <sheet name="Betis 20" sheetId="89" r:id="rId8"/>
    <sheet name="Ciudad de Carcagente 2" sheetId="75" r:id="rId9"/>
    <sheet name="Ciudad de Chiva 7" sheetId="69" r:id="rId10"/>
    <sheet name="Diego Puerta 1-34" sheetId="36" r:id="rId11"/>
    <sheet name="Diego Puerta 1-35" sheetId="61" r:id="rId12"/>
    <sheet name="Diego Puerta 5-38" sheetId="62" r:id="rId13"/>
    <sheet name="Diego Puerta 5-39" sheetId="63" r:id="rId14"/>
    <sheet name="DNI-NIF" sheetId="100" r:id="rId15"/>
    <sheet name="Doctor Fedriani 39" sheetId="90" r:id="rId16"/>
    <sheet name="Doctores González Meneses 10" sheetId="87" r:id="rId17"/>
    <sheet name="Doña Francisquita 20" sheetId="76" r:id="rId18"/>
    <sheet name="Duendes de Sevilla 1" sheetId="91" r:id="rId19"/>
    <sheet name="Generalife 13" sheetId="92" r:id="rId20"/>
    <sheet name="Goya 21" sheetId="93" r:id="rId21"/>
    <sheet name="Guardabosques 3" sheetId="64" r:id="rId22"/>
    <sheet name="Jorge de Montemayor 34" sheetId="77" r:id="rId23"/>
    <sheet name="Juan Pablos 17" sheetId="79" r:id="rId24"/>
    <sheet name="Luceros 4" sheetId="78" r:id="rId25"/>
    <sheet name="Mandarinas 2" sheetId="80" r:id="rId26"/>
    <sheet name="Mar de Alborán 14" sheetId="98" r:id="rId27"/>
    <sheet name="Miguel Cid 62" sheetId="71" r:id="rId28"/>
    <sheet name="Mijares 3" sheetId="74" r:id="rId29"/>
    <sheet name="Moncayo 6" sheetId="101" r:id="rId30"/>
    <sheet name="Nuestra Señora de la Oliva 110" sheetId="81" r:id="rId31"/>
    <sheet name="Nuestra Señora de la Oliva 2" sheetId="82" r:id="rId32"/>
    <sheet name="Nuestra Señora de la Oliva 67" sheetId="83" r:id="rId33"/>
    <sheet name="Nuestra Señora de la Oliva 94" sheetId="94" r:id="rId34"/>
    <sheet name="Palma del Río 12" sheetId="84" r:id="rId35"/>
    <sheet name="Paz 29" sheetId="68" r:id="rId36"/>
    <sheet name="Perdiz 5" sheetId="85" r:id="rId37"/>
    <sheet name="Rafael Laffón 7" sheetId="67" r:id="rId38"/>
    <sheet name="Regimiento de Soria 9 2" sheetId="95" r:id="rId39"/>
    <sheet name="Rodrigo de Triana 9" sheetId="96" r:id="rId40"/>
    <sheet name="Sextante 4" sheetId="70" r:id="rId41"/>
    <sheet name="Sinaí 39" sheetId="97" r:id="rId42"/>
    <sheet name="Tarfia 53" sheetId="86" r:id="rId43"/>
    <sheet name="Virgen de la Antigua 26" sheetId="88" r:id="rId44"/>
  </sheets>
  <definedNames>
    <definedName name="_xlnm._FilterDatabase" localSheetId="0" hidden="1">'1-RESUMEN'!$A$2:$AY$208</definedName>
    <definedName name="_xlnm._FilterDatabase" localSheetId="2" hidden="1">'2-MODELO'!$A$2:$U$2</definedName>
    <definedName name="_xlnm._FilterDatabase" localSheetId="3" hidden="1">'Abogado Rafael Medina 1-05'!$A$2:$U$2</definedName>
    <definedName name="_xlnm._FilterDatabase" localSheetId="4" hidden="1">'Abogado Rafael Medina 1-06'!$A$2:$U$2</definedName>
    <definedName name="_xlnm._FilterDatabase" localSheetId="5" hidden="1">'Agata 7'!$A$2:$U$2</definedName>
    <definedName name="_xlnm._FilterDatabase" localSheetId="6" hidden="1">'Alberche 17'!$A$2:$U$2</definedName>
    <definedName name="_xlnm._FilterDatabase" localSheetId="7" hidden="1">'Betis 20'!$A$2:$U$2</definedName>
    <definedName name="_xlnm._FilterDatabase" localSheetId="8" hidden="1">'Ciudad de Carcagente 2'!$A$2:$U$2</definedName>
    <definedName name="_xlnm._FilterDatabase" localSheetId="9" hidden="1">'Ciudad de Chiva 7'!$A$2:$U$2</definedName>
    <definedName name="_xlnm._FilterDatabase" localSheetId="10" hidden="1">'Diego Puerta 1-34'!$A$2:$U$2</definedName>
    <definedName name="_xlnm._FilterDatabase" localSheetId="11" hidden="1">'Diego Puerta 1-35'!$A$2:$U$2</definedName>
    <definedName name="_xlnm._FilterDatabase" localSheetId="12" hidden="1">'Diego Puerta 5-38'!$A$2:$U$2</definedName>
    <definedName name="_xlnm._FilterDatabase" localSheetId="13" hidden="1">'Diego Puerta 5-39'!$A$2:$U$2</definedName>
    <definedName name="_xlnm._FilterDatabase" localSheetId="15" hidden="1">'Doctor Fedriani 39'!$A$2:$U$2</definedName>
    <definedName name="_xlnm._FilterDatabase" localSheetId="16" hidden="1">'Doctores González Meneses 10'!$A$2:$U$2</definedName>
    <definedName name="_xlnm._FilterDatabase" localSheetId="17" hidden="1">'Doña Francisquita 20'!$A$2:$U$2</definedName>
    <definedName name="_xlnm._FilterDatabase" localSheetId="18" hidden="1">'Duendes de Sevilla 1'!$A$2:$U$2</definedName>
    <definedName name="_xlnm._FilterDatabase" localSheetId="19" hidden="1">'Generalife 13'!$A$2:$U$2</definedName>
    <definedName name="_xlnm._FilterDatabase" localSheetId="20" hidden="1">'Goya 21'!$A$2:$U$2</definedName>
    <definedName name="_xlnm._FilterDatabase" localSheetId="21" hidden="1">'Guardabosques 3'!$A$2:$U$2</definedName>
    <definedName name="_xlnm._FilterDatabase" localSheetId="22" hidden="1">'Jorge de Montemayor 34'!$A$2:$U$2</definedName>
    <definedName name="_xlnm._FilterDatabase" localSheetId="23" hidden="1">'Juan Pablos 17'!$A$2:$U$2</definedName>
    <definedName name="_xlnm._FilterDatabase" localSheetId="24" hidden="1">'Luceros 4'!$A$2:$U$2</definedName>
    <definedName name="_xlnm._FilterDatabase" localSheetId="25" hidden="1">'Mandarinas 2'!$A$2:$U$2</definedName>
    <definedName name="_xlnm._FilterDatabase" localSheetId="26" hidden="1">'Mar de Alborán 14'!$A$2:$U$2</definedName>
    <definedName name="_xlnm._FilterDatabase" localSheetId="27" hidden="1">'Miguel Cid 62'!$A$2:$U$2</definedName>
    <definedName name="_xlnm._FilterDatabase" localSheetId="28" hidden="1">'Mijares 3'!$A$2:$U$2</definedName>
    <definedName name="_xlnm._FilterDatabase" localSheetId="29" hidden="1">'Moncayo 6'!$A$2:$U$2</definedName>
    <definedName name="_xlnm._FilterDatabase" localSheetId="30" hidden="1">'Nuestra Señora de la Oliva 110'!$A$2:$U$2</definedName>
    <definedName name="_xlnm._FilterDatabase" localSheetId="31" hidden="1">'Nuestra Señora de la Oliva 2'!$A$2:$U$2</definedName>
    <definedName name="_xlnm._FilterDatabase" localSheetId="32" hidden="1">'Nuestra Señora de la Oliva 67'!$A$2:$U$2</definedName>
    <definedName name="_xlnm._FilterDatabase" localSheetId="33" hidden="1">'Nuestra Señora de la Oliva 94'!$A$2:$U$2</definedName>
    <definedName name="_xlnm._FilterDatabase" localSheetId="34" hidden="1">'Palma del Río 12'!$A$2:$U$2</definedName>
    <definedName name="_xlnm._FilterDatabase" localSheetId="35" hidden="1">'Paz 29'!$A$2:$U$2</definedName>
    <definedName name="_xlnm._FilterDatabase" localSheetId="36" hidden="1">'Perdiz 5'!$A$2:$U$2</definedName>
    <definedName name="_xlnm._FilterDatabase" localSheetId="37" hidden="1">'Rafael Laffón 7'!$A$2:$U$2</definedName>
    <definedName name="_xlnm._FilterDatabase" localSheetId="38" hidden="1">'Regimiento de Soria 9 2'!$A$2:$U$2</definedName>
    <definedName name="_xlnm._FilterDatabase" localSheetId="39" hidden="1">'Rodrigo de Triana 9'!$A$2:$U$2</definedName>
    <definedName name="_xlnm._FilterDatabase" localSheetId="40" hidden="1">'Sextante 4'!$A$2:$U$2</definedName>
    <definedName name="_xlnm._FilterDatabase" localSheetId="41" hidden="1">'Sinaí 39'!$A$2:$U$2</definedName>
    <definedName name="_xlnm._FilterDatabase" localSheetId="42" hidden="1">'Tarfia 53'!$A$2:$U$2</definedName>
    <definedName name="_xlnm._FilterDatabase" localSheetId="43" hidden="1">'Virgen de la Antigua 26'!$A$2:$U$2</definedName>
    <definedName name="_xlnm.Print_Area" localSheetId="14">'DNI-NIF'!$A$1:$H$31</definedName>
    <definedName name="Tabla_01_Estado">'1-RESUMEN'!$AR$219:$AR$237</definedName>
    <definedName name="Tabla_02_Tipo">'1-RESUMEN'!$AS$219:$AS$237</definedName>
    <definedName name="Tabla_03_Asunto">'1-RESUMEN'!$AT$219:$AT$237</definedName>
    <definedName name="Tabla_04_Mensaje">'1-RESUMEN'!$AU$219:$AU$237</definedName>
    <definedName name="Tabla_05_Cuando">'1-RESUMEN'!$AV$219:$AV$237</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1" i="66" l="1"/>
  <c r="N7" i="29" l="1"/>
  <c r="N123" i="29"/>
  <c r="N125" i="29"/>
  <c r="AS204" i="29" l="1"/>
  <c r="AW204" i="29" s="1"/>
  <c r="AS203" i="29"/>
  <c r="AW203" i="29" s="1"/>
  <c r="AS202" i="29"/>
  <c r="AT202" i="29" s="1"/>
  <c r="AS201" i="29"/>
  <c r="AW201" i="29" s="1"/>
  <c r="AS200" i="29"/>
  <c r="AT200" i="29" s="1"/>
  <c r="AS199" i="29"/>
  <c r="AW199" i="29" s="1"/>
  <c r="AS198" i="29"/>
  <c r="AT198" i="29" s="1"/>
  <c r="AS197" i="29"/>
  <c r="AW197" i="29" s="1"/>
  <c r="AS196" i="29"/>
  <c r="AT196" i="29" s="1"/>
  <c r="AS195" i="29"/>
  <c r="AW195" i="29" s="1"/>
  <c r="AS194" i="29"/>
  <c r="AW194" i="29" s="1"/>
  <c r="AS193" i="29"/>
  <c r="AT193" i="29" s="1"/>
  <c r="AS192" i="29"/>
  <c r="AW192" i="29" s="1"/>
  <c r="AS191" i="29"/>
  <c r="AS190" i="29"/>
  <c r="AW190" i="29" s="1"/>
  <c r="AS189" i="29"/>
  <c r="AT189" i="29" s="1"/>
  <c r="AS188" i="29"/>
  <c r="AW188" i="29" s="1"/>
  <c r="AS187" i="29"/>
  <c r="AT187" i="29" s="1"/>
  <c r="AS186" i="29"/>
  <c r="AW186" i="29" s="1"/>
  <c r="AS185" i="29"/>
  <c r="AT185" i="29" s="1"/>
  <c r="AS184" i="29"/>
  <c r="AW184" i="29" s="1"/>
  <c r="AS183" i="29"/>
  <c r="AT183" i="29" s="1"/>
  <c r="AS182" i="29"/>
  <c r="AW182" i="29" s="1"/>
  <c r="AS181" i="29"/>
  <c r="AT181" i="29" s="1"/>
  <c r="AS180" i="29"/>
  <c r="AW180" i="29" s="1"/>
  <c r="AS179" i="29"/>
  <c r="AS178" i="29"/>
  <c r="AW178" i="29" s="1"/>
  <c r="AS177" i="29"/>
  <c r="AT177" i="29" s="1"/>
  <c r="AS176" i="29"/>
  <c r="AW176" i="29" s="1"/>
  <c r="AS175" i="29"/>
  <c r="AS174" i="29"/>
  <c r="AW174" i="29" s="1"/>
  <c r="AS173" i="29"/>
  <c r="AT173" i="29" s="1"/>
  <c r="AS172" i="29"/>
  <c r="AW172" i="29" s="1"/>
  <c r="AS171" i="29"/>
  <c r="AT171" i="29" s="1"/>
  <c r="AS170" i="29"/>
  <c r="AW170" i="29" s="1"/>
  <c r="AS169" i="29"/>
  <c r="AT169" i="29" s="1"/>
  <c r="AS168" i="29"/>
  <c r="AW168" i="29" s="1"/>
  <c r="AS167" i="29"/>
  <c r="AT167" i="29" s="1"/>
  <c r="AS166" i="29"/>
  <c r="AW166" i="29" s="1"/>
  <c r="AS165" i="29"/>
  <c r="AT165" i="29" s="1"/>
  <c r="AS164" i="29"/>
  <c r="AW164" i="29" s="1"/>
  <c r="AS163" i="29"/>
  <c r="AS162" i="29"/>
  <c r="AW162" i="29" s="1"/>
  <c r="AS161" i="29"/>
  <c r="AT161" i="29" s="1"/>
  <c r="AS160" i="29"/>
  <c r="AW160" i="29" s="1"/>
  <c r="AS159" i="29"/>
  <c r="AS158" i="29"/>
  <c r="AW158" i="29" s="1"/>
  <c r="AS157" i="29"/>
  <c r="AT157" i="29" s="1"/>
  <c r="AS156" i="29"/>
  <c r="AW156" i="29" s="1"/>
  <c r="AS155" i="29"/>
  <c r="AS154" i="29"/>
  <c r="AW154" i="29" s="1"/>
  <c r="AS153" i="29"/>
  <c r="AT153" i="29" s="1"/>
  <c r="AS152" i="29"/>
  <c r="AW152" i="29" s="1"/>
  <c r="AS151" i="29"/>
  <c r="AS150" i="29"/>
  <c r="AW150" i="29" s="1"/>
  <c r="AS149" i="29"/>
  <c r="AT149" i="29" s="1"/>
  <c r="AS148" i="29"/>
  <c r="AW148" i="29" s="1"/>
  <c r="AS147" i="29"/>
  <c r="AS146" i="29"/>
  <c r="AW146" i="29" s="1"/>
  <c r="AS145" i="29"/>
  <c r="AT145" i="29" s="1"/>
  <c r="AS144" i="29"/>
  <c r="AW144" i="29" s="1"/>
  <c r="AS143" i="29"/>
  <c r="AS142" i="29"/>
  <c r="AW142" i="29" s="1"/>
  <c r="AS141" i="29"/>
  <c r="AT141" i="29" s="1"/>
  <c r="AS140" i="29"/>
  <c r="AW140" i="29" s="1"/>
  <c r="AS139" i="29"/>
  <c r="AS138" i="29"/>
  <c r="AW138" i="29" s="1"/>
  <c r="AS137" i="29"/>
  <c r="AT137" i="29" s="1"/>
  <c r="AS136" i="29"/>
  <c r="AW136" i="29" s="1"/>
  <c r="AS135" i="29"/>
  <c r="AS134" i="29"/>
  <c r="AW134" i="29" s="1"/>
  <c r="AS133" i="29"/>
  <c r="AT133" i="29" s="1"/>
  <c r="AS132" i="29"/>
  <c r="AW132" i="29" s="1"/>
  <c r="AS131" i="29"/>
  <c r="AS130" i="29"/>
  <c r="AW130" i="29" s="1"/>
  <c r="AS129" i="29"/>
  <c r="AT129" i="29" s="1"/>
  <c r="AS128" i="29"/>
  <c r="AT128" i="29" s="1"/>
  <c r="AS127" i="29"/>
  <c r="AT127" i="29" s="1"/>
  <c r="AS126" i="29"/>
  <c r="AW126" i="29" s="1"/>
  <c r="AS125" i="29"/>
  <c r="AT125" i="29" s="1"/>
  <c r="AS124" i="29"/>
  <c r="AT124" i="29" s="1"/>
  <c r="AS123" i="29"/>
  <c r="AT123" i="29" s="1"/>
  <c r="AS122" i="29"/>
  <c r="AW122" i="29" s="1"/>
  <c r="AS121" i="29"/>
  <c r="AT121" i="29" s="1"/>
  <c r="AS120" i="29"/>
  <c r="AW120" i="29" s="1"/>
  <c r="AS119" i="29"/>
  <c r="AW119" i="29" s="1"/>
  <c r="AS118" i="29"/>
  <c r="AT118" i="29" s="1"/>
  <c r="AS117" i="29"/>
  <c r="AT117" i="29" s="1"/>
  <c r="AS116" i="29"/>
  <c r="AT116" i="29" s="1"/>
  <c r="AS115" i="29"/>
  <c r="AW115" i="29" s="1"/>
  <c r="AS114" i="29"/>
  <c r="AT114" i="29" s="1"/>
  <c r="AS113" i="29"/>
  <c r="AT113" i="29" s="1"/>
  <c r="AS112" i="29"/>
  <c r="AW112" i="29" s="1"/>
  <c r="AS111" i="29"/>
  <c r="AW111" i="29" s="1"/>
  <c r="AS110" i="29"/>
  <c r="AT110" i="29" s="1"/>
  <c r="AS109" i="29"/>
  <c r="AT109" i="29" s="1"/>
  <c r="AS108" i="29"/>
  <c r="AW108" i="29" s="1"/>
  <c r="AS107" i="29"/>
  <c r="AW107" i="29" s="1"/>
  <c r="AS106" i="29"/>
  <c r="AT106" i="29" s="1"/>
  <c r="AS105" i="29"/>
  <c r="AT105" i="29" s="1"/>
  <c r="AS104" i="29"/>
  <c r="AW104" i="29" s="1"/>
  <c r="AS103" i="29"/>
  <c r="AW103" i="29" s="1"/>
  <c r="AS102" i="29"/>
  <c r="AS101" i="29"/>
  <c r="AT101" i="29" s="1"/>
  <c r="AS100" i="29"/>
  <c r="AW100" i="29" s="1"/>
  <c r="AS99" i="29"/>
  <c r="AW99" i="29" s="1"/>
  <c r="AS98" i="29"/>
  <c r="AT98" i="29" s="1"/>
  <c r="AS97" i="29"/>
  <c r="AW97" i="29" s="1"/>
  <c r="AS96" i="29"/>
  <c r="AW96" i="29" s="1"/>
  <c r="AS95" i="29"/>
  <c r="AW95" i="29" s="1"/>
  <c r="AS94" i="29"/>
  <c r="AT94" i="29" s="1"/>
  <c r="AS93" i="29"/>
  <c r="AT93" i="29" s="1"/>
  <c r="AS92" i="29"/>
  <c r="AW92" i="29" s="1"/>
  <c r="AS91" i="29"/>
  <c r="AW91" i="29" s="1"/>
  <c r="AS90" i="29"/>
  <c r="AT90" i="29" s="1"/>
  <c r="AS89" i="29"/>
  <c r="AW89" i="29" s="1"/>
  <c r="AS88" i="29"/>
  <c r="AW88" i="29" s="1"/>
  <c r="AS87" i="29"/>
  <c r="AW87" i="29" s="1"/>
  <c r="AS86" i="29"/>
  <c r="AT86" i="29" s="1"/>
  <c r="AS85" i="29"/>
  <c r="AT85" i="29" s="1"/>
  <c r="AS84" i="29"/>
  <c r="AW84" i="29" s="1"/>
  <c r="AS83" i="29"/>
  <c r="AW83" i="29" s="1"/>
  <c r="AS82" i="29"/>
  <c r="AT82" i="29" s="1"/>
  <c r="AS81" i="29"/>
  <c r="AW81" i="29" s="1"/>
  <c r="AS80" i="29"/>
  <c r="AW80" i="29" s="1"/>
  <c r="AS79" i="29"/>
  <c r="AW79" i="29" s="1"/>
  <c r="AS78" i="29"/>
  <c r="AT78" i="29" s="1"/>
  <c r="AS77" i="29"/>
  <c r="AT77" i="29" s="1"/>
  <c r="AS76" i="29"/>
  <c r="AW76" i="29" s="1"/>
  <c r="AS75" i="29"/>
  <c r="AW75" i="29" s="1"/>
  <c r="AS74" i="29"/>
  <c r="AT74" i="29" s="1"/>
  <c r="AS73" i="29"/>
  <c r="AW73" i="29" s="1"/>
  <c r="AS72" i="29"/>
  <c r="AT72" i="29" s="1"/>
  <c r="AS71" i="29"/>
  <c r="AW71" i="29" s="1"/>
  <c r="AS70" i="29"/>
  <c r="AT70" i="29" s="1"/>
  <c r="AS69" i="29"/>
  <c r="AT69" i="29" s="1"/>
  <c r="AS68" i="29"/>
  <c r="AW68" i="29" s="1"/>
  <c r="AS67" i="29"/>
  <c r="AW67" i="29" s="1"/>
  <c r="AS66" i="29"/>
  <c r="AT66" i="29" s="1"/>
  <c r="AS65" i="29"/>
  <c r="AW65" i="29" s="1"/>
  <c r="AS64" i="29"/>
  <c r="AT64" i="29" s="1"/>
  <c r="AS63" i="29"/>
  <c r="AW63" i="29" s="1"/>
  <c r="AS62" i="29"/>
  <c r="AT62" i="29" s="1"/>
  <c r="AS61" i="29"/>
  <c r="AT61" i="29" s="1"/>
  <c r="AS60" i="29"/>
  <c r="AW60" i="29" s="1"/>
  <c r="AS59" i="29"/>
  <c r="AW59" i="29" s="1"/>
  <c r="AS58" i="29"/>
  <c r="AT58" i="29" s="1"/>
  <c r="AS57" i="29"/>
  <c r="AW57" i="29" s="1"/>
  <c r="AS56" i="29"/>
  <c r="AW56" i="29" s="1"/>
  <c r="AS55" i="29"/>
  <c r="AW55" i="29" s="1"/>
  <c r="AS54" i="29"/>
  <c r="AT54" i="29" s="1"/>
  <c r="AS53" i="29"/>
  <c r="AT53" i="29" s="1"/>
  <c r="AS52" i="29"/>
  <c r="AW52" i="29" s="1"/>
  <c r="AS51" i="29"/>
  <c r="AW51" i="29" s="1"/>
  <c r="AS50" i="29"/>
  <c r="AT50" i="29" s="1"/>
  <c r="AS49" i="29"/>
  <c r="AW49" i="29" s="1"/>
  <c r="AS48" i="29"/>
  <c r="AW48" i="29" s="1"/>
  <c r="AS47" i="29"/>
  <c r="AW47" i="29" s="1"/>
  <c r="AS46" i="29"/>
  <c r="AT46" i="29" s="1"/>
  <c r="AS45" i="29"/>
  <c r="AT45" i="29" s="1"/>
  <c r="AS44" i="29"/>
  <c r="AT44" i="29" s="1"/>
  <c r="AS43" i="29"/>
  <c r="AW43" i="29" s="1"/>
  <c r="AS42" i="29"/>
  <c r="AT42" i="29" s="1"/>
  <c r="AS41" i="29"/>
  <c r="AT41" i="29" s="1"/>
  <c r="AS40" i="29"/>
  <c r="AT40" i="29" s="1"/>
  <c r="AS39" i="29"/>
  <c r="AW39" i="29" s="1"/>
  <c r="AS38" i="29"/>
  <c r="AT38" i="29" s="1"/>
  <c r="AS37" i="29"/>
  <c r="AT37" i="29" s="1"/>
  <c r="AS36" i="29"/>
  <c r="AT36" i="29" s="1"/>
  <c r="AS35" i="29"/>
  <c r="AW35" i="29" s="1"/>
  <c r="AS34" i="29"/>
  <c r="AT34" i="29" s="1"/>
  <c r="AS33" i="29"/>
  <c r="AT33" i="29" s="1"/>
  <c r="AS32" i="29"/>
  <c r="AT32" i="29" s="1"/>
  <c r="AS31" i="29"/>
  <c r="AW31" i="29" s="1"/>
  <c r="AS30" i="29"/>
  <c r="AT30" i="29" s="1"/>
  <c r="AS29" i="29"/>
  <c r="AT29" i="29" s="1"/>
  <c r="AS28" i="29"/>
  <c r="AT28" i="29" s="1"/>
  <c r="AS27" i="29"/>
  <c r="AW27" i="29" s="1"/>
  <c r="AS26" i="29"/>
  <c r="AT26" i="29" s="1"/>
  <c r="AS25" i="29"/>
  <c r="AT25" i="29" s="1"/>
  <c r="AS24" i="29"/>
  <c r="AT24" i="29" s="1"/>
  <c r="AS23" i="29"/>
  <c r="AW23" i="29" s="1"/>
  <c r="AS22" i="29"/>
  <c r="AT22" i="29" s="1"/>
  <c r="AS21" i="29"/>
  <c r="AT21" i="29" s="1"/>
  <c r="AS20" i="29"/>
  <c r="AT20" i="29" s="1"/>
  <c r="AS19" i="29"/>
  <c r="AW19" i="29" s="1"/>
  <c r="AS18" i="29"/>
  <c r="AT18" i="29" s="1"/>
  <c r="AS17" i="29"/>
  <c r="AT17" i="29" s="1"/>
  <c r="AS16" i="29"/>
  <c r="AT16" i="29" s="1"/>
  <c r="AS15" i="29"/>
  <c r="AW15" i="29" s="1"/>
  <c r="AS14" i="29"/>
  <c r="AT14" i="29" s="1"/>
  <c r="AS13" i="29"/>
  <c r="AT13" i="29" s="1"/>
  <c r="AS12" i="29"/>
  <c r="AT12" i="29" s="1"/>
  <c r="AS11" i="29"/>
  <c r="AW11" i="29" s="1"/>
  <c r="AS10" i="29"/>
  <c r="AT10" i="29" s="1"/>
  <c r="AS9" i="29"/>
  <c r="AT9" i="29" s="1"/>
  <c r="AS8" i="29"/>
  <c r="AT8" i="29" s="1"/>
  <c r="AS7" i="29"/>
  <c r="AW7" i="29" s="1"/>
  <c r="AS6" i="29"/>
  <c r="AT6" i="29" s="1"/>
  <c r="AS5" i="29"/>
  <c r="AT5" i="29" s="1"/>
  <c r="AS4" i="29"/>
  <c r="AT4" i="29" s="1"/>
  <c r="AS3" i="29"/>
  <c r="AW3" i="29" s="1"/>
  <c r="AS206" i="29"/>
  <c r="AT206" i="29" s="1"/>
  <c r="AS207" i="29"/>
  <c r="AT207" i="29" s="1"/>
  <c r="AS208" i="29"/>
  <c r="AW208" i="29" s="1"/>
  <c r="AS205" i="29"/>
  <c r="AP205" i="29" s="1"/>
  <c r="AT73" i="29" l="1"/>
  <c r="AW77" i="29"/>
  <c r="AT192" i="29"/>
  <c r="AT57" i="29"/>
  <c r="AW61" i="29"/>
  <c r="AW93" i="29"/>
  <c r="AW116" i="29"/>
  <c r="AT119" i="29"/>
  <c r="AT188" i="29"/>
  <c r="AT89" i="29"/>
  <c r="AW141" i="29"/>
  <c r="AT148" i="29"/>
  <c r="AT49" i="29"/>
  <c r="AT65" i="29"/>
  <c r="AT81" i="29"/>
  <c r="AT97" i="29"/>
  <c r="AT111" i="29"/>
  <c r="AW187" i="29"/>
  <c r="AT195" i="29"/>
  <c r="AW53" i="29"/>
  <c r="AW69" i="29"/>
  <c r="AW85" i="29"/>
  <c r="AW101" i="29"/>
  <c r="AW133" i="29"/>
  <c r="AT150" i="29"/>
  <c r="AW157" i="29"/>
  <c r="AT112" i="29"/>
  <c r="AT120" i="29"/>
  <c r="AT140" i="29"/>
  <c r="AT142" i="29"/>
  <c r="AT164" i="29"/>
  <c r="AT174" i="29"/>
  <c r="AT199" i="29"/>
  <c r="AW206" i="29"/>
  <c r="AT103" i="29"/>
  <c r="AT132" i="29"/>
  <c r="AT134" i="29"/>
  <c r="AW149" i="29"/>
  <c r="AT158" i="29"/>
  <c r="AT168" i="29"/>
  <c r="AT182" i="29"/>
  <c r="AT208" i="29"/>
  <c r="AT51" i="29"/>
  <c r="AT63" i="29"/>
  <c r="AT75" i="29"/>
  <c r="AT79" i="29"/>
  <c r="AT83" i="29"/>
  <c r="AT87" i="29"/>
  <c r="AT91" i="29"/>
  <c r="AT95" i="29"/>
  <c r="AT99" i="29"/>
  <c r="AT108" i="29"/>
  <c r="AT115" i="29"/>
  <c r="AW124" i="29"/>
  <c r="AT126" i="29"/>
  <c r="AW128" i="29"/>
  <c r="AT130" i="29"/>
  <c r="AW137" i="29"/>
  <c r="AT144" i="29"/>
  <c r="AT146" i="29"/>
  <c r="AW153" i="29"/>
  <c r="AT160" i="29"/>
  <c r="AT162" i="29"/>
  <c r="AT170" i="29"/>
  <c r="AT172" i="29"/>
  <c r="AT180" i="29"/>
  <c r="AT190" i="29"/>
  <c r="AT197" i="29"/>
  <c r="AW202" i="29"/>
  <c r="AT7" i="29"/>
  <c r="AW9" i="29"/>
  <c r="AT15" i="29"/>
  <c r="AW17" i="29"/>
  <c r="AT23" i="29"/>
  <c r="AW25" i="29"/>
  <c r="AW29" i="29"/>
  <c r="AT35" i="29"/>
  <c r="AT55" i="29"/>
  <c r="AT67" i="29"/>
  <c r="AT71" i="29"/>
  <c r="AW207" i="29"/>
  <c r="AT156" i="29"/>
  <c r="AT178" i="29"/>
  <c r="AT186" i="29"/>
  <c r="AT204" i="29"/>
  <c r="AT205" i="29"/>
  <c r="AT3" i="29"/>
  <c r="AW5" i="29"/>
  <c r="AT11" i="29"/>
  <c r="AW13" i="29"/>
  <c r="AT19" i="29"/>
  <c r="AW21" i="29"/>
  <c r="AT27" i="29"/>
  <c r="AT31" i="29"/>
  <c r="AW33" i="29"/>
  <c r="AW37" i="29"/>
  <c r="AT39" i="29"/>
  <c r="AW41" i="29"/>
  <c r="AT43" i="29"/>
  <c r="AW45" i="29"/>
  <c r="AT47" i="29"/>
  <c r="AT59" i="29"/>
  <c r="AW205" i="29"/>
  <c r="AT104" i="29"/>
  <c r="AW4" i="29"/>
  <c r="AW6" i="29"/>
  <c r="AW8" i="29"/>
  <c r="AW10" i="29"/>
  <c r="AW12" i="29"/>
  <c r="AW14" i="29"/>
  <c r="AW16" i="29"/>
  <c r="AW18" i="29"/>
  <c r="AW20" i="29"/>
  <c r="AW22" i="29"/>
  <c r="AW24" i="29"/>
  <c r="AW26" i="29"/>
  <c r="AW28" i="29"/>
  <c r="AW30" i="29"/>
  <c r="AW32" i="29"/>
  <c r="AW34" i="29"/>
  <c r="AW36" i="29"/>
  <c r="AW38" i="29"/>
  <c r="AW40" i="29"/>
  <c r="AW42" i="29"/>
  <c r="AW44" i="29"/>
  <c r="AW46" i="29"/>
  <c r="AW50" i="29"/>
  <c r="AW54" i="29"/>
  <c r="AW58" i="29"/>
  <c r="AW62" i="29"/>
  <c r="AW66" i="29"/>
  <c r="AW70" i="29"/>
  <c r="AW74" i="29"/>
  <c r="AW78" i="29"/>
  <c r="AW82" i="29"/>
  <c r="AW86" i="29"/>
  <c r="AW90" i="29"/>
  <c r="AW94" i="29"/>
  <c r="AW98" i="29"/>
  <c r="AT107" i="29"/>
  <c r="AW123" i="29"/>
  <c r="AW125" i="29"/>
  <c r="AW127" i="29"/>
  <c r="AW129" i="29"/>
  <c r="AT136" i="29"/>
  <c r="AT138" i="29"/>
  <c r="AW145" i="29"/>
  <c r="AT152" i="29"/>
  <c r="AT154" i="29"/>
  <c r="AW161" i="29"/>
  <c r="AT166" i="29"/>
  <c r="AW171" i="29"/>
  <c r="AT176" i="29"/>
  <c r="AT184" i="29"/>
  <c r="AT194" i="29"/>
  <c r="AT201" i="29"/>
  <c r="AT203" i="29"/>
  <c r="AT175" i="29"/>
  <c r="AW175" i="29"/>
  <c r="AT48" i="29"/>
  <c r="AT52" i="29"/>
  <c r="AT56" i="29"/>
  <c r="AT60" i="29"/>
  <c r="AT80" i="29"/>
  <c r="AT88" i="29"/>
  <c r="AT92" i="29"/>
  <c r="AT96" i="29"/>
  <c r="AT100" i="29"/>
  <c r="AW109" i="29"/>
  <c r="AW117" i="29"/>
  <c r="AT159" i="29"/>
  <c r="AW159" i="29"/>
  <c r="AT68" i="29"/>
  <c r="AT84" i="29"/>
  <c r="AW64" i="29"/>
  <c r="AW72" i="29"/>
  <c r="AT76" i="29"/>
  <c r="AT102" i="29"/>
  <c r="AW102" i="29"/>
  <c r="AW105" i="29"/>
  <c r="AW113" i="29"/>
  <c r="AW121" i="29"/>
  <c r="AT135" i="29"/>
  <c r="AW135" i="29"/>
  <c r="AT143" i="29"/>
  <c r="AW143" i="29"/>
  <c r="AT179" i="29"/>
  <c r="AW179" i="29"/>
  <c r="AT131" i="29"/>
  <c r="AW131" i="29"/>
  <c r="AT147" i="29"/>
  <c r="AW147" i="29"/>
  <c r="AT163" i="29"/>
  <c r="AW163" i="29"/>
  <c r="AT191" i="29"/>
  <c r="AW191" i="29"/>
  <c r="AT151" i="29"/>
  <c r="AW151" i="29"/>
  <c r="AT139" i="29"/>
  <c r="AW139" i="29"/>
  <c r="AT155" i="29"/>
  <c r="AW155" i="29"/>
  <c r="AW110" i="29"/>
  <c r="AW106" i="29"/>
  <c r="AW114" i="29"/>
  <c r="AW118" i="29"/>
  <c r="AT122" i="29"/>
  <c r="AW167" i="29"/>
  <c r="AW183" i="29"/>
  <c r="AW198" i="29"/>
  <c r="AW165" i="29"/>
  <c r="AW169" i="29"/>
  <c r="AW173" i="29"/>
  <c r="AW177" i="29"/>
  <c r="AW181" i="29"/>
  <c r="AW185" i="29"/>
  <c r="AW189" i="29"/>
  <c r="AW193" i="29"/>
  <c r="AW196" i="29"/>
  <c r="AW200" i="29"/>
  <c r="AP190" i="29" l="1"/>
  <c r="AP198" i="29" l="1"/>
  <c r="AP191" i="29"/>
  <c r="AP182" i="29"/>
  <c r="AP162" i="29"/>
  <c r="AP150" i="29"/>
  <c r="AP142" i="29"/>
  <c r="AP122" i="29"/>
  <c r="AP110" i="29"/>
  <c r="AP106" i="29"/>
  <c r="AP94" i="29"/>
  <c r="AP82" i="29"/>
  <c r="AP70" i="29"/>
  <c r="AP54" i="29"/>
  <c r="AP46" i="29"/>
  <c r="AP38" i="29"/>
  <c r="AP26" i="29"/>
  <c r="AP14" i="29"/>
  <c r="AP204" i="29"/>
  <c r="AP197" i="29"/>
  <c r="AP185" i="29"/>
  <c r="AP173" i="29"/>
  <c r="AP157" i="29"/>
  <c r="AP101" i="29"/>
  <c r="AP81" i="29"/>
  <c r="AP73" i="29"/>
  <c r="AP65" i="29"/>
  <c r="AP53" i="29"/>
  <c r="AP49" i="29"/>
  <c r="AP45" i="29"/>
  <c r="AP41" i="29"/>
  <c r="AP37" i="29"/>
  <c r="AP33" i="29"/>
  <c r="AP29" i="29"/>
  <c r="AP25" i="29"/>
  <c r="AP21" i="29"/>
  <c r="AP17" i="29"/>
  <c r="AP13" i="29"/>
  <c r="AP4" i="29"/>
  <c r="AP186" i="29"/>
  <c r="AP174" i="29"/>
  <c r="AP166" i="29"/>
  <c r="AP158" i="29"/>
  <c r="AP146" i="29"/>
  <c r="AP138" i="29"/>
  <c r="AP130" i="29"/>
  <c r="AP118" i="29"/>
  <c r="AP102" i="29"/>
  <c r="AP90" i="29"/>
  <c r="AP78" i="29"/>
  <c r="AP66" i="29"/>
  <c r="AP58" i="29"/>
  <c r="AP42" i="29"/>
  <c r="AP34" i="29"/>
  <c r="AP22" i="29"/>
  <c r="AP18" i="29"/>
  <c r="AP201" i="29"/>
  <c r="AP189" i="29"/>
  <c r="AP181" i="29"/>
  <c r="AP169" i="29"/>
  <c r="AP161" i="29"/>
  <c r="AP153" i="29"/>
  <c r="AP145" i="29"/>
  <c r="AP137" i="29"/>
  <c r="AP129" i="29"/>
  <c r="AP117" i="29"/>
  <c r="AP109" i="29"/>
  <c r="AP97" i="29"/>
  <c r="AP89" i="29"/>
  <c r="AP77" i="29"/>
  <c r="AP61" i="29"/>
  <c r="AP3" i="29"/>
  <c r="AP6" i="29"/>
  <c r="AP207" i="29"/>
  <c r="AP200" i="29"/>
  <c r="AP196" i="29"/>
  <c r="AP193" i="29"/>
  <c r="AP188" i="29"/>
  <c r="AP184" i="29"/>
  <c r="AP180" i="29"/>
  <c r="AP176" i="29"/>
  <c r="AP172" i="29"/>
  <c r="AP168" i="29"/>
  <c r="AP164" i="29"/>
  <c r="AP160" i="29"/>
  <c r="AP156" i="29"/>
  <c r="AP152" i="29"/>
  <c r="AP148" i="29"/>
  <c r="AP144" i="29"/>
  <c r="AP140" i="29"/>
  <c r="AP136" i="29"/>
  <c r="AP132" i="29"/>
  <c r="AP128" i="29"/>
  <c r="AP124" i="29"/>
  <c r="AP120" i="29"/>
  <c r="AP116" i="29"/>
  <c r="AP112" i="29"/>
  <c r="AP108" i="29"/>
  <c r="AP104" i="29"/>
  <c r="AP100" i="29"/>
  <c r="AP96" i="29"/>
  <c r="AP92" i="29"/>
  <c r="AP88" i="29"/>
  <c r="AP84" i="29"/>
  <c r="AP80" i="29"/>
  <c r="AP76" i="29"/>
  <c r="AP72" i="29"/>
  <c r="AP68" i="29"/>
  <c r="AP64" i="29"/>
  <c r="AP60" i="29"/>
  <c r="AP56" i="29"/>
  <c r="AP52" i="29"/>
  <c r="AP48" i="29"/>
  <c r="AP40" i="29"/>
  <c r="AP36" i="29"/>
  <c r="AP32" i="29"/>
  <c r="AP28" i="29"/>
  <c r="AP24" i="29"/>
  <c r="AP20" i="29"/>
  <c r="AP16" i="29"/>
  <c r="AP12" i="29"/>
  <c r="AP8" i="29"/>
  <c r="AP202" i="29"/>
  <c r="AP178" i="29"/>
  <c r="AP170" i="29"/>
  <c r="AP154" i="29"/>
  <c r="AP134" i="29"/>
  <c r="AP126" i="29"/>
  <c r="AP86" i="29"/>
  <c r="AP74" i="29"/>
  <c r="AP62" i="29"/>
  <c r="AP50" i="29"/>
  <c r="AP30" i="29"/>
  <c r="AP10" i="29"/>
  <c r="AP208" i="29"/>
  <c r="AP194" i="29"/>
  <c r="AP165" i="29"/>
  <c r="AP149" i="29"/>
  <c r="AP141" i="29"/>
  <c r="AP133" i="29"/>
  <c r="AP121" i="29"/>
  <c r="AP113" i="29"/>
  <c r="AP105" i="29"/>
  <c r="AP93" i="29"/>
  <c r="AP85" i="29"/>
  <c r="AP69" i="29"/>
  <c r="AP57" i="29"/>
  <c r="AP9" i="29"/>
  <c r="AP5" i="29"/>
  <c r="AP206" i="29"/>
  <c r="AP203" i="29"/>
  <c r="AP199" i="29"/>
  <c r="AP195" i="29"/>
  <c r="AP192" i="29"/>
  <c r="AP187" i="29"/>
  <c r="AP183" i="29"/>
  <c r="AP179" i="29"/>
  <c r="AP175" i="29"/>
  <c r="AP171" i="29"/>
  <c r="AP167" i="29"/>
  <c r="AP163" i="29"/>
  <c r="AP159" i="29"/>
  <c r="AP155" i="29"/>
  <c r="AP151" i="29"/>
  <c r="AP147" i="29"/>
  <c r="AP143" i="29"/>
  <c r="AP139" i="29"/>
  <c r="AP135" i="29"/>
  <c r="AP131" i="29"/>
  <c r="AP127" i="29"/>
  <c r="AP119" i="29"/>
  <c r="AP115" i="29"/>
  <c r="AP111" i="29"/>
  <c r="AP107" i="29"/>
  <c r="AP103" i="29"/>
  <c r="AP99" i="29"/>
  <c r="AP95" i="29"/>
  <c r="AP91" i="29"/>
  <c r="AP87" i="29"/>
  <c r="AP83" i="29"/>
  <c r="AP79" i="29"/>
  <c r="AP75" i="29"/>
  <c r="AP71" i="29"/>
  <c r="AP67" i="29"/>
  <c r="AP63" i="29"/>
  <c r="AP59" i="29"/>
  <c r="AP55" i="29"/>
  <c r="AP51" i="29"/>
  <c r="AP47" i="29"/>
  <c r="AP43" i="29"/>
  <c r="AP39" i="29"/>
  <c r="AP35" i="29"/>
  <c r="AP31" i="29"/>
  <c r="AP27" i="29"/>
  <c r="AP23" i="29"/>
  <c r="AP19" i="29"/>
  <c r="AP15" i="29"/>
  <c r="AP11" i="29"/>
  <c r="W207" i="29" l="1"/>
  <c r="W208" i="29"/>
  <c r="W206" i="29"/>
  <c r="X207" i="29"/>
  <c r="X208" i="29"/>
  <c r="Y207" i="29" l="1"/>
  <c r="AV207" i="29" s="1"/>
  <c r="Y208" i="29"/>
  <c r="AV208" i="29" s="1"/>
  <c r="X206" i="29"/>
  <c r="AH181" i="29" l="1"/>
  <c r="AJ181" i="29" s="1"/>
  <c r="AH115" i="29"/>
  <c r="AJ115" i="29" s="1"/>
  <c r="AH79" i="29"/>
  <c r="AJ79" i="29" s="1"/>
  <c r="AH27" i="29"/>
  <c r="AJ27" i="29" s="1"/>
  <c r="Z207" i="29"/>
  <c r="Z208" i="29"/>
  <c r="AU208" i="29" l="1"/>
  <c r="AU207" i="29"/>
  <c r="AH25" i="29"/>
  <c r="AJ25" i="29" s="1"/>
  <c r="AG7" i="29"/>
  <c r="Y93" i="29"/>
  <c r="Y92" i="29"/>
  <c r="Y57" i="29"/>
  <c r="Y118" i="29"/>
  <c r="Y165" i="29"/>
  <c r="Y205" i="29"/>
  <c r="Y145" i="29"/>
  <c r="Y184" i="29"/>
  <c r="Y76" i="29"/>
  <c r="Y131" i="29"/>
  <c r="Y113" i="29"/>
  <c r="Y77" i="29"/>
  <c r="Y153" i="29"/>
  <c r="Y88" i="29"/>
  <c r="Y108" i="29"/>
  <c r="V3" i="29"/>
  <c r="Y144" i="29"/>
  <c r="Y174" i="29"/>
  <c r="Y150" i="29"/>
  <c r="Y85" i="29"/>
  <c r="Y89" i="29"/>
  <c r="Z174" i="29" l="1"/>
  <c r="Z85" i="29"/>
  <c r="Z165" i="29"/>
  <c r="AH150" i="29"/>
  <c r="AJ150" i="29" s="1"/>
  <c r="N114" i="29" l="1"/>
  <c r="AP114" i="29" s="1"/>
  <c r="AP7" i="29"/>
  <c r="Z205" i="29"/>
  <c r="Y25" i="29"/>
  <c r="Y42" i="29"/>
  <c r="Y99" i="29"/>
  <c r="Z150" i="29"/>
  <c r="Y71" i="29"/>
  <c r="Y66" i="29"/>
  <c r="Y74" i="29"/>
  <c r="Z57" i="29"/>
  <c r="Y169" i="29"/>
  <c r="Y64" i="29"/>
  <c r="Y94" i="29"/>
  <c r="Y173" i="29"/>
  <c r="Y100" i="29"/>
  <c r="Z93" i="29"/>
  <c r="Y155" i="29"/>
  <c r="Y136" i="29"/>
  <c r="Y110" i="29"/>
  <c r="Z131" i="29"/>
  <c r="Y185" i="29"/>
  <c r="Y164" i="29"/>
  <c r="Y68" i="29"/>
  <c r="Y70" i="29"/>
  <c r="Y191" i="29"/>
  <c r="Z77" i="29"/>
  <c r="Y135" i="29"/>
  <c r="Y159" i="29"/>
  <c r="Y195" i="29"/>
  <c r="Y83" i="29"/>
  <c r="Y143" i="29"/>
  <c r="Z88" i="29"/>
  <c r="Y146" i="29"/>
  <c r="Y196" i="29"/>
  <c r="Y121" i="29"/>
  <c r="Y189" i="29"/>
  <c r="Z145" i="29"/>
  <c r="Y151" i="29"/>
  <c r="Y158" i="29"/>
  <c r="Y62" i="29"/>
  <c r="Y63" i="29"/>
  <c r="Y206" i="29"/>
  <c r="Y149" i="29"/>
  <c r="Y26" i="29"/>
  <c r="Z76" i="29"/>
  <c r="Y139" i="29"/>
  <c r="Y138" i="29"/>
  <c r="Y127" i="29"/>
  <c r="Y49" i="29"/>
  <c r="Y141" i="29"/>
  <c r="Y178" i="29"/>
  <c r="Y126" i="29"/>
  <c r="Y130" i="29"/>
  <c r="Y194" i="29"/>
  <c r="Y171" i="29"/>
  <c r="Y160" i="29"/>
  <c r="Y170" i="29"/>
  <c r="Y35" i="29"/>
  <c r="Y152" i="29"/>
  <c r="Y34" i="29"/>
  <c r="Y179" i="29"/>
  <c r="Y161" i="29"/>
  <c r="Y55" i="29"/>
  <c r="Y78" i="29"/>
  <c r="Y156" i="29"/>
  <c r="Y105" i="29"/>
  <c r="Y22" i="29"/>
  <c r="Y137" i="29"/>
  <c r="Y13" i="29"/>
  <c r="Y27" i="29"/>
  <c r="Y98" i="29"/>
  <c r="Y124" i="29"/>
  <c r="Y162" i="29"/>
  <c r="Y73" i="29"/>
  <c r="Y186" i="29"/>
  <c r="Y192" i="29"/>
  <c r="Y33" i="29"/>
  <c r="Y21" i="29"/>
  <c r="Z184" i="29"/>
  <c r="Y14" i="29"/>
  <c r="Y142" i="29"/>
  <c r="Z153" i="29"/>
  <c r="Y172" i="29"/>
  <c r="Y198" i="29"/>
  <c r="Y36" i="29"/>
  <c r="Y182" i="29"/>
  <c r="Y87" i="29"/>
  <c r="Y166" i="29"/>
  <c r="Y96" i="29"/>
  <c r="Y40" i="29"/>
  <c r="Y129" i="29"/>
  <c r="Y181" i="29"/>
  <c r="Y75" i="29"/>
  <c r="Y28" i="29"/>
  <c r="Y69" i="29"/>
  <c r="Y15" i="29"/>
  <c r="Y97" i="29"/>
  <c r="Y132" i="29"/>
  <c r="Y41" i="29"/>
  <c r="Y95" i="29"/>
  <c r="Y197" i="29"/>
  <c r="Y199" i="29"/>
  <c r="Y54" i="29"/>
  <c r="Y81" i="29"/>
  <c r="Y133" i="29"/>
  <c r="Y91" i="29"/>
  <c r="Y134" i="29"/>
  <c r="Y51" i="29"/>
  <c r="Y163" i="29"/>
  <c r="Y167" i="29"/>
  <c r="Y180" i="29"/>
  <c r="Y107" i="29"/>
  <c r="Y84" i="29"/>
  <c r="Y53" i="29"/>
  <c r="Y109" i="29"/>
  <c r="Y56" i="29"/>
  <c r="Y154" i="29"/>
  <c r="Y5" i="29"/>
  <c r="Y204" i="29"/>
  <c r="Y193" i="29"/>
  <c r="Y188" i="29"/>
  <c r="Y86" i="29"/>
  <c r="Y80" i="29"/>
  <c r="Y114" i="29"/>
  <c r="Y176" i="29"/>
  <c r="Y23" i="29"/>
  <c r="Y112" i="29"/>
  <c r="Y82" i="29"/>
  <c r="Y117" i="29"/>
  <c r="Y43" i="29"/>
  <c r="Y128" i="29"/>
  <c r="Y61" i="29"/>
  <c r="Y115" i="29"/>
  <c r="Z113" i="29"/>
  <c r="Y79" i="29"/>
  <c r="Y38" i="29"/>
  <c r="Y52" i="29"/>
  <c r="Z92" i="29"/>
  <c r="Y122" i="29"/>
  <c r="Y50" i="29"/>
  <c r="Y3" i="29"/>
  <c r="Y101" i="29"/>
  <c r="Y111" i="29"/>
  <c r="Y11" i="29"/>
  <c r="Y103" i="29"/>
  <c r="Z89" i="29"/>
  <c r="Y10" i="29"/>
  <c r="Y9" i="29"/>
  <c r="Y157" i="29"/>
  <c r="Y59" i="29"/>
  <c r="Y187" i="29"/>
  <c r="Y30" i="29"/>
  <c r="Y65" i="29"/>
  <c r="Y18" i="29"/>
  <c r="Z108" i="29"/>
  <c r="Y168" i="29"/>
  <c r="Y32" i="29"/>
  <c r="Y203" i="29"/>
  <c r="Y183" i="29"/>
  <c r="Y202" i="29"/>
  <c r="Y116" i="29"/>
  <c r="Y17" i="29"/>
  <c r="Y37" i="29"/>
  <c r="Y16" i="29"/>
  <c r="Y102" i="29"/>
  <c r="Z144" i="29"/>
  <c r="Y120" i="29"/>
  <c r="Y39" i="29"/>
  <c r="Y60" i="29"/>
  <c r="Y29" i="29"/>
  <c r="Y148" i="29"/>
  <c r="Y147" i="29"/>
  <c r="Y67" i="29"/>
  <c r="Y31" i="29"/>
  <c r="Y8" i="29"/>
  <c r="Y12" i="29"/>
  <c r="Y119" i="29"/>
  <c r="Y201" i="29"/>
  <c r="Y200" i="29"/>
  <c r="Y72" i="29"/>
  <c r="Y19" i="29"/>
  <c r="Z118" i="29"/>
  <c r="Y20" i="29"/>
  <c r="Y24" i="29"/>
  <c r="Y90" i="29"/>
  <c r="Y106" i="29"/>
  <c r="Y48" i="29"/>
  <c r="Z112" i="29" l="1"/>
  <c r="Z122" i="29"/>
  <c r="Z80" i="29"/>
  <c r="Z163" i="29"/>
  <c r="Z152" i="29"/>
  <c r="Z162" i="29"/>
  <c r="Z134" i="29"/>
  <c r="Z141" i="29"/>
  <c r="Z147" i="29"/>
  <c r="Z137" i="29"/>
  <c r="Z24" i="29"/>
  <c r="Z51" i="29"/>
  <c r="AV206" i="29"/>
  <c r="Z33" i="29"/>
  <c r="Z61" i="29"/>
  <c r="Z98" i="29"/>
  <c r="Z83" i="29"/>
  <c r="AP123" i="29"/>
  <c r="AC3" i="29" l="1"/>
  <c r="AJ3" i="29" l="1"/>
  <c r="AI3" i="29"/>
  <c r="AG3" i="29"/>
  <c r="AK3" i="29" l="1"/>
  <c r="AM3" i="29" s="1"/>
  <c r="AL3" i="29" l="1"/>
  <c r="AJ117" i="29"/>
  <c r="AI117" i="29"/>
  <c r="AG117" i="29"/>
  <c r="AK117" i="29" l="1"/>
  <c r="AM117" i="29" s="1"/>
  <c r="AL117" i="29" l="1"/>
  <c r="AP125" i="29"/>
  <c r="Z26" i="29"/>
  <c r="Z29" i="29"/>
  <c r="Z67" i="29"/>
  <c r="Z62" i="29"/>
  <c r="Z17" i="29"/>
  <c r="Z97" i="29"/>
  <c r="Z64" i="29"/>
  <c r="Z107" i="29"/>
  <c r="Z116" i="29"/>
  <c r="Z201" i="29"/>
  <c r="Z21" i="29"/>
  <c r="Z171" i="29"/>
  <c r="Z66" i="29"/>
  <c r="Z170" i="29"/>
  <c r="Z139" i="29"/>
  <c r="Z160" i="29"/>
  <c r="Z126" i="29"/>
  <c r="Z198" i="29"/>
  <c r="Z105" i="29"/>
  <c r="Z72" i="29"/>
  <c r="Z48" i="29"/>
  <c r="Z32" i="29"/>
  <c r="Z102" i="29"/>
  <c r="Z81" i="29"/>
  <c r="Z87" i="29"/>
  <c r="Z106" i="29"/>
  <c r="Z185" i="29"/>
  <c r="Z86" i="29"/>
  <c r="V117" i="29"/>
  <c r="Z186" i="29"/>
  <c r="Z130" i="29"/>
  <c r="Z10" i="29"/>
  <c r="Z63" i="29"/>
  <c r="Z173" i="29"/>
  <c r="Z204" i="29"/>
  <c r="Z11" i="29"/>
  <c r="Z168" i="29"/>
  <c r="Z172" i="29"/>
  <c r="Z20" i="29"/>
  <c r="Z197" i="29"/>
  <c r="Z5" i="29"/>
  <c r="Z65" i="29"/>
  <c r="Z27" i="29"/>
  <c r="Z25" i="29"/>
  <c r="Z99" i="29"/>
  <c r="Z129" i="29"/>
  <c r="Z202" i="29"/>
  <c r="Z167" i="29"/>
  <c r="Z135" i="29"/>
  <c r="Z181" i="29"/>
  <c r="Z68" i="29"/>
  <c r="Z49" i="29"/>
  <c r="Z132" i="29"/>
  <c r="Z156" i="29"/>
  <c r="Z115" i="29"/>
  <c r="Z35" i="29"/>
  <c r="Z75" i="29"/>
  <c r="Z178" i="29"/>
  <c r="Z114" i="29"/>
  <c r="Z34" i="29"/>
  <c r="Z200" i="29"/>
  <c r="Z14" i="29"/>
  <c r="Z196" i="29"/>
  <c r="Z146" i="29"/>
  <c r="Z90" i="29"/>
  <c r="Z38" i="29"/>
  <c r="Z193" i="29"/>
  <c r="Z157" i="29"/>
  <c r="Z84" i="29"/>
  <c r="Z191" i="29"/>
  <c r="Z120" i="29"/>
  <c r="Z128" i="29"/>
  <c r="Z164" i="29"/>
  <c r="Z127" i="29"/>
  <c r="Z155" i="29"/>
  <c r="Z79" i="29"/>
  <c r="Z124" i="29"/>
  <c r="Z70" i="29"/>
  <c r="Z176" i="29"/>
  <c r="Z109" i="29"/>
  <c r="Z41" i="29"/>
  <c r="Z121" i="29"/>
  <c r="Z50" i="29"/>
  <c r="Z119" i="29"/>
  <c r="Z138" i="29"/>
  <c r="Z169" i="29"/>
  <c r="Z69" i="29"/>
  <c r="Z95" i="29"/>
  <c r="V79" i="29"/>
  <c r="Z30" i="29"/>
  <c r="Z183" i="29"/>
  <c r="Z154" i="29"/>
  <c r="Z71" i="29"/>
  <c r="Z133" i="29"/>
  <c r="Z16" i="29"/>
  <c r="Z142" i="29"/>
  <c r="Z194" i="29"/>
  <c r="Z23" i="29"/>
  <c r="Z96" i="29"/>
  <c r="Z180" i="29"/>
  <c r="Z73" i="29"/>
  <c r="Z3" i="29"/>
  <c r="Z15" i="29"/>
  <c r="Z82" i="29"/>
  <c r="Z43" i="29"/>
  <c r="Z103" i="29"/>
  <c r="Z39" i="29"/>
  <c r="Z189" i="29"/>
  <c r="Z18" i="29"/>
  <c r="Z12" i="29"/>
  <c r="Z203" i="29"/>
  <c r="Z13" i="29"/>
  <c r="Z28" i="29"/>
  <c r="Z187" i="29"/>
  <c r="Z136" i="29"/>
  <c r="Z149" i="29"/>
  <c r="Z188" i="29"/>
  <c r="Z94" i="29"/>
  <c r="Z110" i="29"/>
  <c r="Z151" i="29"/>
  <c r="Z8" i="29"/>
  <c r="Z54" i="29"/>
  <c r="Z148" i="29"/>
  <c r="Z143" i="29"/>
  <c r="Z52" i="29"/>
  <c r="Z9" i="29"/>
  <c r="Z159" i="29"/>
  <c r="Z74" i="29"/>
  <c r="Z59" i="29"/>
  <c r="W79" i="29"/>
  <c r="Z36" i="29"/>
  <c r="Z55" i="29"/>
  <c r="Z40" i="29"/>
  <c r="Z37" i="29"/>
  <c r="Z161" i="29"/>
  <c r="Z117" i="29"/>
  <c r="Z101" i="29"/>
  <c r="Z182" i="29"/>
  <c r="Z179" i="29"/>
  <c r="Z19" i="29"/>
  <c r="Z31" i="29"/>
  <c r="Z206" i="29"/>
  <c r="Z100" i="29"/>
  <c r="Z192" i="29"/>
  <c r="Z78" i="29"/>
  <c r="Z22" i="29"/>
  <c r="Z91" i="29"/>
  <c r="Z60" i="29"/>
  <c r="Z199" i="29"/>
  <c r="Z111" i="29"/>
  <c r="Z195" i="29"/>
  <c r="Z158" i="29"/>
  <c r="Z42" i="29"/>
  <c r="Z53" i="29"/>
  <c r="Z56" i="29"/>
  <c r="Z166" i="29"/>
  <c r="AU206" i="29" l="1"/>
  <c r="AV79" i="29"/>
  <c r="N177" i="29"/>
  <c r="AP177" i="29" s="1"/>
  <c r="X79" i="29"/>
  <c r="AU79" i="29" l="1"/>
  <c r="N44" i="29"/>
  <c r="AP44" i="29" s="1"/>
  <c r="N98" i="29"/>
  <c r="AP98" i="29" s="1"/>
  <c r="AB217" i="29" l="1"/>
  <c r="AB216" i="29"/>
  <c r="AE210" i="29"/>
  <c r="AE211" i="29"/>
  <c r="V205" i="29"/>
  <c r="W205" i="29"/>
  <c r="W204" i="29"/>
  <c r="V204" i="29"/>
  <c r="AV204" i="29" l="1"/>
  <c r="AV205" i="29"/>
  <c r="AE217" i="29"/>
  <c r="AE212" i="29"/>
  <c r="AC217" i="29"/>
  <c r="AD217" i="29" s="1"/>
  <c r="AC216" i="29"/>
  <c r="AD216" i="29" s="1"/>
  <c r="P217" i="29"/>
  <c r="AE216" i="29"/>
  <c r="AE215" i="29"/>
  <c r="AE213" i="29"/>
  <c r="AB211" i="29"/>
  <c r="AC211" i="29" s="1"/>
  <c r="AD211" i="29" s="1"/>
  <c r="AB215" i="29"/>
  <c r="AC215" i="29" s="1"/>
  <c r="AD215" i="29" s="1"/>
  <c r="AB213" i="29"/>
  <c r="AC213" i="29" s="1"/>
  <c r="AD213" i="29" s="1"/>
  <c r="AB212" i="29"/>
  <c r="AC212" i="29" s="1"/>
  <c r="AD212" i="29" s="1"/>
  <c r="AB210" i="29"/>
  <c r="AC210" i="29" s="1"/>
  <c r="AD210" i="29" s="1"/>
  <c r="P211" i="29"/>
  <c r="P210" i="29"/>
  <c r="X205" i="29"/>
  <c r="X204" i="29"/>
  <c r="AU204" i="29" l="1"/>
  <c r="AU205" i="29"/>
  <c r="AJ135" i="29"/>
  <c r="AJ132" i="29" l="1"/>
  <c r="AJ72" i="29" l="1"/>
  <c r="AJ206" i="29" l="1"/>
  <c r="AJ194" i="29"/>
  <c r="AJ192" i="29"/>
  <c r="AJ189" i="29"/>
  <c r="AJ186" i="29"/>
  <c r="AJ184" i="29"/>
  <c r="AJ180" i="29"/>
  <c r="AJ178" i="29"/>
  <c r="AJ164" i="29"/>
  <c r="AJ160" i="29"/>
  <c r="AJ159" i="29"/>
  <c r="AJ155" i="29"/>
  <c r="AJ151" i="29"/>
  <c r="AJ149" i="29"/>
  <c r="AJ139" i="29"/>
  <c r="AJ131" i="29"/>
  <c r="AJ127" i="29"/>
  <c r="AJ118" i="29"/>
  <c r="AJ116" i="29"/>
  <c r="AJ111" i="29"/>
  <c r="AJ108" i="29"/>
  <c r="AJ110" i="29"/>
  <c r="AJ102" i="29"/>
  <c r="AJ101" i="29"/>
  <c r="AJ96" i="29"/>
  <c r="AJ92" i="29"/>
  <c r="AJ89" i="29"/>
  <c r="AJ86" i="29"/>
  <c r="AJ82" i="29"/>
  <c r="AJ81" i="29"/>
  <c r="AJ78" i="29"/>
  <c r="AJ75" i="29"/>
  <c r="AJ69" i="29"/>
  <c r="AJ68" i="29"/>
  <c r="AJ64" i="29"/>
  <c r="AJ60" i="29"/>
  <c r="AJ59" i="29"/>
  <c r="AJ54" i="29"/>
  <c r="AJ56" i="29"/>
  <c r="AJ53" i="29"/>
  <c r="AJ50" i="29"/>
  <c r="AJ49" i="29"/>
  <c r="AJ48" i="29"/>
  <c r="AJ42" i="29"/>
  <c r="AJ36" i="29"/>
  <c r="AJ31" i="29"/>
  <c r="AJ30" i="29"/>
  <c r="AJ29" i="29"/>
  <c r="AJ21" i="29"/>
  <c r="AJ20" i="29"/>
  <c r="AJ16" i="29"/>
  <c r="AJ14" i="29"/>
  <c r="AJ13" i="29"/>
  <c r="AJ10" i="29"/>
  <c r="AJ5" i="29" l="1"/>
  <c r="AJ182" i="29" l="1"/>
  <c r="AJ138" i="29" l="1"/>
  <c r="AJ145" i="29" l="1"/>
  <c r="AJ173" i="29" l="1"/>
  <c r="AJ176" i="29"/>
  <c r="AJ179" i="29"/>
  <c r="AJ183" i="29"/>
  <c r="AJ157" i="29"/>
  <c r="AJ154" i="29"/>
  <c r="AJ153" i="29"/>
  <c r="AJ146" i="29"/>
  <c r="AJ109" i="29"/>
  <c r="AJ144" i="29"/>
  <c r="AJ136" i="29" l="1"/>
  <c r="AJ133" i="29" l="1"/>
  <c r="AJ142" i="29" l="1"/>
  <c r="AJ130" i="29" l="1"/>
  <c r="AJ129" i="29" l="1"/>
  <c r="AJ128" i="29" l="1"/>
  <c r="AJ126" i="29" l="1"/>
  <c r="AJ124" i="29" l="1"/>
  <c r="AJ120" i="29" l="1"/>
  <c r="AJ100" i="29" l="1"/>
  <c r="AJ99" i="29" l="1"/>
  <c r="AJ93" i="29" l="1"/>
  <c r="AJ97" i="29"/>
  <c r="AJ91" i="29" l="1"/>
  <c r="AJ87" i="29" l="1"/>
  <c r="AJ74" i="29" l="1"/>
  <c r="AJ67" i="29" l="1"/>
  <c r="AJ66" i="29" l="1"/>
  <c r="AJ65" i="29" l="1"/>
  <c r="AJ63" i="29" l="1"/>
  <c r="AJ57" i="29" l="1"/>
  <c r="AJ43" i="29" l="1"/>
  <c r="AJ34" i="29" l="1"/>
  <c r="AJ32" i="29" l="1"/>
  <c r="AJ28" i="29" l="1"/>
  <c r="AJ15" i="29" l="1"/>
  <c r="AJ9" i="29" l="1"/>
  <c r="AJ8" i="29" l="1"/>
  <c r="AJ7" i="29"/>
  <c r="P214" i="29" l="1"/>
  <c r="P213" i="29"/>
  <c r="P209" i="29"/>
  <c r="P212" i="29"/>
  <c r="AC165" i="29" l="1"/>
  <c r="AI141" i="29"/>
  <c r="AC141" i="29"/>
  <c r="AI137" i="29"/>
  <c r="AC137" i="29"/>
  <c r="AC83" i="29"/>
  <c r="AC80" i="29"/>
  <c r="AI61" i="29"/>
  <c r="AC61" i="29"/>
  <c r="AI6" i="29"/>
  <c r="AC6" i="29"/>
  <c r="AJ125" i="29"/>
  <c r="AI125" i="29"/>
  <c r="AG125" i="29"/>
  <c r="AC125" i="29"/>
  <c r="AD125" i="29" s="1"/>
  <c r="AK125" i="29" l="1"/>
  <c r="AM125" i="29" s="1"/>
  <c r="AL125" i="29" l="1"/>
  <c r="A14" i="101" l="1"/>
  <c r="A13" i="101"/>
  <c r="A12" i="101"/>
  <c r="A11" i="101"/>
  <c r="A10" i="101"/>
  <c r="A9" i="101"/>
  <c r="A8" i="101"/>
  <c r="A7" i="101"/>
  <c r="A6" i="101"/>
  <c r="A5" i="101"/>
  <c r="F3" i="101"/>
  <c r="A3" i="101"/>
  <c r="B1" i="101"/>
  <c r="F4" i="101" l="1"/>
  <c r="A44" i="98"/>
  <c r="A43" i="98"/>
  <c r="A42" i="98"/>
  <c r="A41" i="98"/>
  <c r="A40" i="98"/>
  <c r="A39" i="98"/>
  <c r="A38" i="98"/>
  <c r="A37" i="98"/>
  <c r="A36" i="98"/>
  <c r="A35" i="98"/>
  <c r="A34" i="98"/>
  <c r="A33" i="98"/>
  <c r="A32" i="98"/>
  <c r="A31" i="98"/>
  <c r="A30" i="98"/>
  <c r="A29" i="98"/>
  <c r="A28" i="98"/>
  <c r="A27" i="98"/>
  <c r="A26" i="98"/>
  <c r="A25" i="98"/>
  <c r="A24" i="98"/>
  <c r="A23" i="98"/>
  <c r="A22" i="98"/>
  <c r="A21" i="98"/>
  <c r="A20" i="98"/>
  <c r="A19" i="98"/>
  <c r="A18" i="98"/>
  <c r="A17" i="98"/>
  <c r="A16" i="98"/>
  <c r="A15" i="98"/>
  <c r="A14" i="98"/>
  <c r="A13" i="98"/>
  <c r="A12" i="98"/>
  <c r="A11" i="98"/>
  <c r="A10" i="98"/>
  <c r="A9" i="98"/>
  <c r="A8" i="98"/>
  <c r="A7" i="98"/>
  <c r="A6" i="98"/>
  <c r="A5" i="98"/>
  <c r="F4" i="98"/>
  <c r="F3" i="98"/>
  <c r="A3" i="98"/>
  <c r="B1" i="98"/>
  <c r="Y125" i="29"/>
  <c r="AI190" i="29" l="1"/>
  <c r="AG190" i="29"/>
  <c r="AJ190" i="29"/>
  <c r="AC190" i="29"/>
  <c r="Z125" i="29"/>
  <c r="AK190" i="29" l="1"/>
  <c r="AM190" i="29" s="1"/>
  <c r="AL190" i="29" l="1"/>
  <c r="AI177" i="29"/>
  <c r="AJ177" i="29"/>
  <c r="AG177" i="29"/>
  <c r="AC177" i="29"/>
  <c r="AD177" i="29" s="1"/>
  <c r="AK177" i="29" l="1"/>
  <c r="AM177" i="29" s="1"/>
  <c r="AL177" i="29" l="1"/>
  <c r="AI174" i="29"/>
  <c r="AJ174" i="29"/>
  <c r="AG174" i="29"/>
  <c r="AC174" i="29"/>
  <c r="AD174" i="29" s="1"/>
  <c r="AK174" i="29" l="1"/>
  <c r="AM174" i="29" s="1"/>
  <c r="AL174" i="29" l="1"/>
  <c r="AI162" i="29"/>
  <c r="AJ162" i="29"/>
  <c r="AG162" i="29"/>
  <c r="AC162" i="29"/>
  <c r="AD162" i="29" s="1"/>
  <c r="AK162" i="29" l="1"/>
  <c r="AL162" i="29" s="1"/>
  <c r="AM162" i="29" l="1"/>
  <c r="AI156" i="29"/>
  <c r="AJ156" i="29"/>
  <c r="AG156" i="29"/>
  <c r="AC156" i="29"/>
  <c r="AD156" i="29" s="1"/>
  <c r="AK156" i="29" l="1"/>
  <c r="AL156" i="29" s="1"/>
  <c r="AM156" i="29" l="1"/>
  <c r="AJ152" i="29"/>
  <c r="AI152" i="29"/>
  <c r="AG152" i="29"/>
  <c r="AC152" i="29"/>
  <c r="AD152" i="29" s="1"/>
  <c r="AK152" i="29" l="1"/>
  <c r="AM152" i="29" s="1"/>
  <c r="AL152" i="29" l="1"/>
  <c r="AJ147" i="29"/>
  <c r="AI147" i="29"/>
  <c r="AG147" i="29"/>
  <c r="AC147" i="29"/>
  <c r="AD147" i="29" s="1"/>
  <c r="AK147" i="29" l="1"/>
  <c r="AM147" i="29" s="1"/>
  <c r="AL147" i="29" l="1"/>
  <c r="AI140" i="29"/>
  <c r="AJ140" i="29"/>
  <c r="AG140" i="29"/>
  <c r="AC140" i="29"/>
  <c r="AD140" i="29" s="1"/>
  <c r="AK140" i="29" l="1"/>
  <c r="AL140" i="29" s="1"/>
  <c r="AJ137" i="29"/>
  <c r="AD137" i="29"/>
  <c r="AM140" i="29" l="1"/>
  <c r="AK137" i="29"/>
  <c r="AM137" i="29" s="1"/>
  <c r="AL137" i="29" l="1"/>
  <c r="AI123" i="29"/>
  <c r="AJ123" i="29"/>
  <c r="AG123" i="29"/>
  <c r="AC123" i="29"/>
  <c r="AD123" i="29" s="1"/>
  <c r="AK123" i="29" l="1"/>
  <c r="AL123" i="29" s="1"/>
  <c r="AM123" i="29" l="1"/>
  <c r="AI122" i="29"/>
  <c r="AJ122" i="29"/>
  <c r="AG122" i="29"/>
  <c r="AC122" i="29"/>
  <c r="AD122" i="29" s="1"/>
  <c r="AK122" i="29" l="1"/>
  <c r="AM122" i="29" s="1"/>
  <c r="AL122" i="29" l="1"/>
  <c r="AI114" i="29"/>
  <c r="AJ114" i="29"/>
  <c r="AG114" i="29"/>
  <c r="AC114" i="29"/>
  <c r="AD114" i="29" s="1"/>
  <c r="AK114" i="29" l="1"/>
  <c r="AM114" i="29" s="1"/>
  <c r="AL114" i="29" l="1"/>
  <c r="AJ112" i="29"/>
  <c r="AI112" i="29"/>
  <c r="AG112" i="29"/>
  <c r="AC112" i="29"/>
  <c r="AD112" i="29" s="1"/>
  <c r="AK112" i="29" l="1"/>
  <c r="AM112" i="29" s="1"/>
  <c r="AL112" i="29" l="1"/>
  <c r="AC7" i="29"/>
  <c r="AC33" i="29"/>
  <c r="AD33" i="29" s="1"/>
  <c r="AC35" i="29"/>
  <c r="AD35" i="29" s="1"/>
  <c r="AC44" i="29"/>
  <c r="AD44" i="29" s="1"/>
  <c r="AC46" i="29"/>
  <c r="AD46" i="29" s="1"/>
  <c r="AC55" i="29"/>
  <c r="AD55" i="29" s="1"/>
  <c r="AC58" i="29"/>
  <c r="AD58" i="29" s="1"/>
  <c r="AC85" i="29"/>
  <c r="AC98" i="29"/>
  <c r="AD98" i="29" s="1"/>
  <c r="AC104" i="29"/>
  <c r="AD104" i="29" s="1"/>
  <c r="AJ104" i="29"/>
  <c r="AI104" i="29"/>
  <c r="AG104" i="29"/>
  <c r="AK104" i="29" l="1"/>
  <c r="AM104" i="29" s="1"/>
  <c r="AD85" i="29"/>
  <c r="AD7" i="29"/>
  <c r="AD6" i="29"/>
  <c r="AL104" i="29" l="1"/>
  <c r="AJ98" i="29"/>
  <c r="AI98" i="29"/>
  <c r="AG98" i="29"/>
  <c r="AK98" i="29" l="1"/>
  <c r="AM98" i="29" s="1"/>
  <c r="AL98" i="29" l="1"/>
  <c r="AJ85" i="29"/>
  <c r="AI85" i="29"/>
  <c r="AG85" i="29"/>
  <c r="AK85" i="29" l="1"/>
  <c r="AM85" i="29" l="1"/>
  <c r="AL85" i="29"/>
  <c r="AJ58" i="29"/>
  <c r="AI58" i="29"/>
  <c r="AG58" i="29"/>
  <c r="AK58" i="29" l="1"/>
  <c r="AM58" i="29" s="1"/>
  <c r="AL58" i="29" l="1"/>
  <c r="AJ55" i="29"/>
  <c r="AI55" i="29"/>
  <c r="AG55" i="29"/>
  <c r="AK55" i="29" l="1"/>
  <c r="AM55" i="29" s="1"/>
  <c r="AL55" i="29" l="1"/>
  <c r="AJ46" i="29"/>
  <c r="AI46" i="29"/>
  <c r="AG46" i="29"/>
  <c r="AK46" i="29" l="1"/>
  <c r="AM46" i="29" s="1"/>
  <c r="AI44" i="29"/>
  <c r="AJ44" i="29"/>
  <c r="AG44" i="29"/>
  <c r="AL46" i="29" l="1"/>
  <c r="AK44" i="29"/>
  <c r="AL44" i="29" s="1"/>
  <c r="AJ35" i="29"/>
  <c r="AI35" i="29"/>
  <c r="AG35" i="29"/>
  <c r="AK35" i="29" l="1"/>
  <c r="AM35" i="29" s="1"/>
  <c r="AM44" i="29"/>
  <c r="AL35" i="29" l="1"/>
  <c r="AJ33" i="29"/>
  <c r="AI33" i="29"/>
  <c r="AG33" i="29"/>
  <c r="AK33" i="29" l="1"/>
  <c r="AM33" i="29" s="1"/>
  <c r="AL33" i="29" l="1"/>
  <c r="AI7" i="29"/>
  <c r="AK7" i="29" l="1"/>
  <c r="AM7" i="29" l="1"/>
  <c r="AK216" i="29"/>
  <c r="AL7" i="29"/>
  <c r="AJ6" i="29"/>
  <c r="AK6" i="29" l="1"/>
  <c r="AK175" i="29"/>
  <c r="AM175" i="29" s="1"/>
  <c r="AJ175" i="29"/>
  <c r="AC175" i="29"/>
  <c r="AD175" i="29" s="1"/>
  <c r="AM6" i="29" l="1"/>
  <c r="AL6" i="29"/>
  <c r="AL175" i="29"/>
  <c r="F4" i="97" l="1"/>
  <c r="F3" i="97"/>
  <c r="A3" i="97"/>
  <c r="B1" i="97"/>
  <c r="Y175" i="29"/>
  <c r="Z175" i="29" l="1"/>
  <c r="A8" i="96"/>
  <c r="A7" i="96"/>
  <c r="A6" i="96"/>
  <c r="A5" i="96"/>
  <c r="F3" i="96"/>
  <c r="A3" i="96"/>
  <c r="B1" i="96"/>
  <c r="F4" i="96" l="1"/>
  <c r="AK165" i="29"/>
  <c r="AM165" i="29" s="1"/>
  <c r="AJ165" i="29"/>
  <c r="AD165" i="29"/>
  <c r="AK163" i="29"/>
  <c r="AJ163" i="29"/>
  <c r="AC163" i="29"/>
  <c r="AD163" i="29" s="1"/>
  <c r="AL165" i="29" l="1"/>
  <c r="AL163" i="29"/>
  <c r="A22" i="95" l="1"/>
  <c r="A21" i="95"/>
  <c r="A20" i="95"/>
  <c r="A19" i="95"/>
  <c r="A18" i="95"/>
  <c r="A17" i="95"/>
  <c r="A16" i="95"/>
  <c r="A15" i="95"/>
  <c r="A14" i="95"/>
  <c r="A13" i="95"/>
  <c r="A12" i="95"/>
  <c r="A11" i="95"/>
  <c r="A10" i="95"/>
  <c r="A9" i="95"/>
  <c r="A8" i="95"/>
  <c r="A7" i="95"/>
  <c r="A6" i="95"/>
  <c r="A5" i="95"/>
  <c r="F3" i="95"/>
  <c r="A3" i="95"/>
  <c r="B1" i="95"/>
  <c r="AK141" i="29"/>
  <c r="AM141" i="29" s="1"/>
  <c r="AJ141" i="29"/>
  <c r="AD141" i="29"/>
  <c r="F4" i="95" l="1"/>
  <c r="AL141" i="29"/>
  <c r="A13" i="94" l="1"/>
  <c r="A12" i="94"/>
  <c r="A11" i="94"/>
  <c r="A10" i="94"/>
  <c r="A9" i="94"/>
  <c r="A8" i="94"/>
  <c r="A7" i="94"/>
  <c r="A6" i="94"/>
  <c r="A5" i="94"/>
  <c r="F3" i="94"/>
  <c r="A3" i="94"/>
  <c r="B1" i="94"/>
  <c r="F4" i="94" l="1"/>
  <c r="AK83" i="29"/>
  <c r="AJ83" i="29"/>
  <c r="AD83" i="29"/>
  <c r="AL83" i="29" l="1"/>
  <c r="AM83" i="29"/>
  <c r="A7" i="93"/>
  <c r="A6" i="93"/>
  <c r="A5" i="93"/>
  <c r="F3" i="93"/>
  <c r="A3" i="93"/>
  <c r="B1" i="93"/>
  <c r="F4" i="93" l="1"/>
  <c r="AK80" i="29"/>
  <c r="AM80" i="29" s="1"/>
  <c r="AJ80" i="29"/>
  <c r="AD80" i="29"/>
  <c r="AL80" i="29" l="1"/>
  <c r="A40" i="92" l="1"/>
  <c r="A39" i="92"/>
  <c r="A38" i="92"/>
  <c r="A37" i="92"/>
  <c r="A36" i="92"/>
  <c r="A35" i="92"/>
  <c r="A34" i="92"/>
  <c r="A33" i="92"/>
  <c r="A32" i="92"/>
  <c r="A31" i="92"/>
  <c r="A30" i="92"/>
  <c r="A29" i="92"/>
  <c r="A28" i="92"/>
  <c r="A27" i="92"/>
  <c r="A26" i="92"/>
  <c r="A25" i="92"/>
  <c r="A24" i="92"/>
  <c r="A23" i="92"/>
  <c r="A22" i="92"/>
  <c r="A21" i="92"/>
  <c r="A20" i="92"/>
  <c r="A19" i="92"/>
  <c r="A18" i="92"/>
  <c r="A17" i="92"/>
  <c r="A16" i="92"/>
  <c r="A15" i="92"/>
  <c r="A14" i="92"/>
  <c r="A13" i="92"/>
  <c r="A12" i="92"/>
  <c r="A11" i="92"/>
  <c r="A10" i="92"/>
  <c r="A9" i="92"/>
  <c r="A8" i="92"/>
  <c r="A7" i="92"/>
  <c r="A6" i="92"/>
  <c r="A5" i="92"/>
  <c r="F3" i="92"/>
  <c r="A3" i="92"/>
  <c r="B1" i="92"/>
  <c r="AJ61" i="29"/>
  <c r="AJ51" i="29"/>
  <c r="AJ24" i="29"/>
  <c r="AK61" i="29"/>
  <c r="AM61" i="29" s="1"/>
  <c r="AN212" i="29" s="1"/>
  <c r="AD61" i="29"/>
  <c r="AJ210" i="29" l="1"/>
  <c r="AJ211" i="29"/>
  <c r="AJ215" i="29"/>
  <c r="AL61" i="29"/>
  <c r="F4" i="92"/>
  <c r="A14" i="91"/>
  <c r="A13" i="91"/>
  <c r="A12" i="91"/>
  <c r="A11" i="91"/>
  <c r="A10" i="91"/>
  <c r="A9" i="91"/>
  <c r="A8" i="91"/>
  <c r="A7" i="91"/>
  <c r="A6" i="91"/>
  <c r="A5" i="91"/>
  <c r="F3" i="91"/>
  <c r="A3" i="91"/>
  <c r="B1" i="91"/>
  <c r="AK51" i="29"/>
  <c r="AM51" i="29" s="1"/>
  <c r="AC51" i="29"/>
  <c r="AD51" i="29" s="1"/>
  <c r="AL51" i="29" l="1"/>
  <c r="F4" i="91"/>
  <c r="A24" i="90"/>
  <c r="A23" i="90"/>
  <c r="A22" i="90"/>
  <c r="A21" i="90"/>
  <c r="A20" i="90"/>
  <c r="A19" i="90"/>
  <c r="A18" i="90"/>
  <c r="A17" i="90"/>
  <c r="A16" i="90"/>
  <c r="A15" i="90"/>
  <c r="A14" i="90"/>
  <c r="A13" i="90"/>
  <c r="A12" i="90"/>
  <c r="A11" i="90"/>
  <c r="A10" i="90"/>
  <c r="A9" i="90"/>
  <c r="A8" i="90"/>
  <c r="A7" i="90"/>
  <c r="A6" i="90"/>
  <c r="A5" i="90"/>
  <c r="F4" i="90" s="1"/>
  <c r="F3" i="90"/>
  <c r="A3" i="90"/>
  <c r="B1" i="90"/>
  <c r="AK24" i="29"/>
  <c r="AK211" i="29" l="1"/>
  <c r="AL211" i="29" s="1"/>
  <c r="AK215" i="29"/>
  <c r="AL215" i="29" s="1"/>
  <c r="AL24" i="29"/>
  <c r="AM24" i="29"/>
  <c r="AC24" i="29"/>
  <c r="AN210" i="29" l="1"/>
  <c r="AN209" i="29"/>
  <c r="AD24" i="29"/>
  <c r="A10" i="89"/>
  <c r="A9" i="89"/>
  <c r="A8" i="89"/>
  <c r="A7" i="89"/>
  <c r="A6" i="89"/>
  <c r="A5" i="89"/>
  <c r="F4" i="89" s="1"/>
  <c r="F3" i="89"/>
  <c r="A3" i="89"/>
  <c r="B1" i="89"/>
  <c r="AN211" i="29" l="1"/>
  <c r="A3" i="67"/>
  <c r="A5" i="67"/>
  <c r="A3" i="88" l="1"/>
  <c r="A3" i="86"/>
  <c r="A3" i="70"/>
  <c r="A3" i="85"/>
  <c r="A3" i="68"/>
  <c r="A3" i="84"/>
  <c r="A3" i="83"/>
  <c r="A3" i="82"/>
  <c r="A3" i="81"/>
  <c r="A3" i="74"/>
  <c r="A3" i="71"/>
  <c r="A3" i="80"/>
  <c r="A3" i="78"/>
  <c r="A3" i="79"/>
  <c r="A3" i="77"/>
  <c r="A3" i="64"/>
  <c r="A3" i="76"/>
  <c r="A3" i="87"/>
  <c r="A3" i="63"/>
  <c r="A3" i="62"/>
  <c r="A3" i="69"/>
  <c r="A3" i="75"/>
  <c r="A3" i="73"/>
  <c r="A3" i="65"/>
  <c r="A3" i="66"/>
  <c r="A3" i="72"/>
  <c r="A3" i="60"/>
  <c r="F3" i="67"/>
  <c r="F4" i="67"/>
  <c r="F3" i="88" l="1"/>
  <c r="F3" i="86"/>
  <c r="F3" i="70"/>
  <c r="F3" i="85"/>
  <c r="F3" i="68"/>
  <c r="F3" i="84"/>
  <c r="F3" i="83"/>
  <c r="F3" i="82"/>
  <c r="F3" i="81"/>
  <c r="F3" i="74"/>
  <c r="F3" i="71"/>
  <c r="F3" i="80"/>
  <c r="F3" i="78"/>
  <c r="F3" i="79"/>
  <c r="F3" i="77"/>
  <c r="F3" i="64"/>
  <c r="F3" i="76"/>
  <c r="F3" i="87"/>
  <c r="F3" i="63"/>
  <c r="F3" i="62"/>
  <c r="F3" i="61"/>
  <c r="F3" i="69"/>
  <c r="F3" i="75"/>
  <c r="F3" i="73"/>
  <c r="F3" i="65"/>
  <c r="F3" i="66"/>
  <c r="F3" i="72"/>
  <c r="F3" i="60"/>
  <c r="B1" i="88" l="1"/>
  <c r="B1" i="86"/>
  <c r="B1" i="70"/>
  <c r="B1" i="67"/>
  <c r="B1" i="85"/>
  <c r="B1" i="68"/>
  <c r="B1" i="84"/>
  <c r="B1" i="83"/>
  <c r="B1" i="82"/>
  <c r="B1" i="81"/>
  <c r="B1" i="74"/>
  <c r="B1" i="71"/>
  <c r="B1" i="80"/>
  <c r="B1" i="78"/>
  <c r="B1" i="79"/>
  <c r="B1" i="77"/>
  <c r="B1" i="64"/>
  <c r="B1" i="76"/>
  <c r="B1" i="87"/>
  <c r="B1" i="63"/>
  <c r="B1" i="62"/>
  <c r="B1" i="61"/>
  <c r="B1" i="36"/>
  <c r="B1" i="69"/>
  <c r="B1" i="75"/>
  <c r="B1" i="73"/>
  <c r="B1" i="66"/>
  <c r="B1" i="72"/>
  <c r="B1" i="60"/>
  <c r="A31" i="88" l="1"/>
  <c r="A30" i="88"/>
  <c r="A29" i="88"/>
  <c r="A28" i="88"/>
  <c r="A27" i="88"/>
  <c r="A26" i="88"/>
  <c r="A25" i="88"/>
  <c r="A24" i="88"/>
  <c r="A23" i="88"/>
  <c r="A22" i="88"/>
  <c r="A21" i="88"/>
  <c r="A20" i="88"/>
  <c r="A19" i="88"/>
  <c r="A18" i="88"/>
  <c r="A17" i="88"/>
  <c r="A16" i="88"/>
  <c r="A15" i="88"/>
  <c r="A14" i="88"/>
  <c r="A13" i="88"/>
  <c r="A12" i="88"/>
  <c r="A11" i="88"/>
  <c r="A10" i="88"/>
  <c r="A9" i="88"/>
  <c r="A8" i="88"/>
  <c r="A7" i="88"/>
  <c r="A6" i="88"/>
  <c r="A5" i="88"/>
  <c r="A44" i="87"/>
  <c r="A43" i="87"/>
  <c r="A42" i="87"/>
  <c r="A41" i="87"/>
  <c r="A40" i="87"/>
  <c r="A39" i="87"/>
  <c r="A38" i="87"/>
  <c r="A37" i="87"/>
  <c r="A36" i="87"/>
  <c r="A35" i="87"/>
  <c r="A34" i="87"/>
  <c r="A33" i="87"/>
  <c r="A32" i="87"/>
  <c r="A31" i="87"/>
  <c r="A30" i="87"/>
  <c r="A29" i="87"/>
  <c r="A28" i="87"/>
  <c r="A27" i="87"/>
  <c r="A26" i="87"/>
  <c r="A25" i="87"/>
  <c r="A24" i="87"/>
  <c r="A23" i="87"/>
  <c r="A22" i="87"/>
  <c r="A21" i="87"/>
  <c r="A20" i="87"/>
  <c r="A19" i="87"/>
  <c r="A18" i="87"/>
  <c r="A17" i="87"/>
  <c r="A16" i="87"/>
  <c r="A15" i="87"/>
  <c r="A14" i="87"/>
  <c r="A13" i="87"/>
  <c r="A12" i="87"/>
  <c r="A11" i="87"/>
  <c r="A10" i="87"/>
  <c r="A9" i="87"/>
  <c r="A8" i="87"/>
  <c r="A7" i="87"/>
  <c r="A6" i="87"/>
  <c r="A5" i="87"/>
  <c r="F4" i="87" s="1"/>
  <c r="A14" i="86"/>
  <c r="A13" i="86"/>
  <c r="A12" i="86"/>
  <c r="A11" i="86"/>
  <c r="A10" i="86"/>
  <c r="A9" i="86"/>
  <c r="A8" i="86"/>
  <c r="A7" i="86"/>
  <c r="A6" i="86"/>
  <c r="A5" i="86"/>
  <c r="A12" i="85"/>
  <c r="A11" i="85"/>
  <c r="A10" i="85"/>
  <c r="A9" i="85"/>
  <c r="A8" i="85"/>
  <c r="A7" i="85"/>
  <c r="A6" i="85"/>
  <c r="A5" i="85"/>
  <c r="W44" i="29"/>
  <c r="V91" i="29"/>
  <c r="W156" i="29"/>
  <c r="W197" i="29"/>
  <c r="W131" i="29"/>
  <c r="W88" i="29"/>
  <c r="V55" i="29"/>
  <c r="V134" i="29"/>
  <c r="V176" i="29"/>
  <c r="W10" i="29"/>
  <c r="W99" i="29"/>
  <c r="W37" i="29"/>
  <c r="V4" i="29"/>
  <c r="V48" i="29"/>
  <c r="V10" i="29"/>
  <c r="W133" i="29"/>
  <c r="V162" i="29"/>
  <c r="V180" i="29"/>
  <c r="W110" i="29"/>
  <c r="W97" i="29"/>
  <c r="W190" i="29"/>
  <c r="V92" i="29"/>
  <c r="W64" i="29"/>
  <c r="W82" i="29"/>
  <c r="W94" i="29"/>
  <c r="W177" i="29"/>
  <c r="V125" i="29"/>
  <c r="V58" i="29"/>
  <c r="W19" i="29"/>
  <c r="V118" i="29"/>
  <c r="W7" i="29"/>
  <c r="V116" i="29"/>
  <c r="V174" i="29"/>
  <c r="W183" i="29"/>
  <c r="W68" i="29"/>
  <c r="V160" i="29"/>
  <c r="W90" i="29"/>
  <c r="V24" i="29"/>
  <c r="W182" i="29"/>
  <c r="W11" i="29"/>
  <c r="W95" i="29"/>
  <c r="V201" i="29"/>
  <c r="V105" i="29"/>
  <c r="W146" i="29"/>
  <c r="V114" i="29"/>
  <c r="W132" i="29"/>
  <c r="V191" i="29"/>
  <c r="W96" i="29"/>
  <c r="W141" i="29"/>
  <c r="V115" i="29"/>
  <c r="V95" i="29"/>
  <c r="W28" i="29"/>
  <c r="V150" i="29"/>
  <c r="V72" i="29"/>
  <c r="W12" i="29"/>
  <c r="V130" i="29"/>
  <c r="V145" i="29"/>
  <c r="W196" i="29"/>
  <c r="V192" i="29"/>
  <c r="W20" i="29"/>
  <c r="V193" i="29"/>
  <c r="V172" i="29"/>
  <c r="V41" i="29"/>
  <c r="V112" i="29"/>
  <c r="V131" i="29"/>
  <c r="V82" i="29"/>
  <c r="W62" i="29"/>
  <c r="W194" i="29"/>
  <c r="W149" i="29"/>
  <c r="W202" i="29"/>
  <c r="W121" i="29"/>
  <c r="W135" i="29"/>
  <c r="W115" i="29"/>
  <c r="V121" i="29"/>
  <c r="W86" i="29"/>
  <c r="V179" i="29"/>
  <c r="V156" i="29"/>
  <c r="W199" i="29"/>
  <c r="V165" i="29"/>
  <c r="W176" i="29"/>
  <c r="W138" i="29"/>
  <c r="V50" i="29"/>
  <c r="V107" i="29"/>
  <c r="V62" i="29"/>
  <c r="W53" i="29"/>
  <c r="W188" i="29"/>
  <c r="W127" i="29"/>
  <c r="W142" i="29"/>
  <c r="W4" i="29"/>
  <c r="W18" i="29"/>
  <c r="W195" i="29"/>
  <c r="W24" i="29"/>
  <c r="W77" i="29"/>
  <c r="W173" i="29"/>
  <c r="V51" i="29"/>
  <c r="W186" i="29"/>
  <c r="W201" i="29"/>
  <c r="V6" i="29"/>
  <c r="V94" i="29"/>
  <c r="W87" i="29"/>
  <c r="V135" i="29"/>
  <c r="V69" i="29"/>
  <c r="V5" i="29"/>
  <c r="V57" i="29"/>
  <c r="V128" i="29"/>
  <c r="V177" i="29"/>
  <c r="V189" i="29"/>
  <c r="V182" i="29"/>
  <c r="V33" i="29"/>
  <c r="W57" i="29"/>
  <c r="V123" i="29"/>
  <c r="V78" i="29"/>
  <c r="V100" i="29"/>
  <c r="V99" i="29"/>
  <c r="W67" i="29"/>
  <c r="W81" i="29"/>
  <c r="W72" i="29"/>
  <c r="V126" i="29"/>
  <c r="V152" i="29"/>
  <c r="W75" i="29"/>
  <c r="W104" i="29"/>
  <c r="V64" i="29"/>
  <c r="W93" i="29"/>
  <c r="V120" i="29"/>
  <c r="V46" i="29"/>
  <c r="V90" i="29"/>
  <c r="V200" i="29"/>
  <c r="W76" i="29"/>
  <c r="W92" i="29"/>
  <c r="V195" i="29"/>
  <c r="W119" i="29"/>
  <c r="V84" i="29"/>
  <c r="W139" i="29"/>
  <c r="V198" i="29"/>
  <c r="V12" i="29"/>
  <c r="W163" i="29"/>
  <c r="V186" i="29"/>
  <c r="V137" i="29"/>
  <c r="V38" i="29"/>
  <c r="V11" i="29"/>
  <c r="V144" i="29"/>
  <c r="W61" i="29"/>
  <c r="V175" i="29"/>
  <c r="W187" i="29"/>
  <c r="W103" i="29"/>
  <c r="V167" i="29"/>
  <c r="W31" i="29"/>
  <c r="V81" i="29"/>
  <c r="V23" i="29"/>
  <c r="W107" i="29"/>
  <c r="W51" i="29"/>
  <c r="W108" i="29"/>
  <c r="V102" i="29"/>
  <c r="W166" i="29"/>
  <c r="V40" i="29"/>
  <c r="W22" i="29"/>
  <c r="W89" i="29"/>
  <c r="V109" i="29"/>
  <c r="W66" i="29"/>
  <c r="V101" i="29"/>
  <c r="V202" i="29"/>
  <c r="V8" i="29"/>
  <c r="V159" i="29"/>
  <c r="V45" i="29"/>
  <c r="V15" i="29"/>
  <c r="W91" i="29"/>
  <c r="W130" i="29"/>
  <c r="W192" i="29"/>
  <c r="W23" i="29"/>
  <c r="W175" i="29"/>
  <c r="V67" i="29"/>
  <c r="W69" i="29"/>
  <c r="W50" i="29"/>
  <c r="W167" i="29"/>
  <c r="V178" i="29"/>
  <c r="W198" i="29"/>
  <c r="W25" i="29"/>
  <c r="V37" i="29"/>
  <c r="V163" i="29"/>
  <c r="V103" i="29"/>
  <c r="W181" i="29"/>
  <c r="W59" i="29"/>
  <c r="W123" i="29"/>
  <c r="V56" i="29"/>
  <c r="V171" i="29"/>
  <c r="V122" i="29"/>
  <c r="W120" i="29"/>
  <c r="V129" i="29"/>
  <c r="V97" i="29"/>
  <c r="W5" i="29"/>
  <c r="V34" i="29"/>
  <c r="V73" i="29"/>
  <c r="V119" i="29"/>
  <c r="V59" i="29"/>
  <c r="W54" i="29"/>
  <c r="V30" i="29"/>
  <c r="V111" i="29"/>
  <c r="W45" i="29"/>
  <c r="W47" i="29"/>
  <c r="V149" i="29"/>
  <c r="V89" i="29"/>
  <c r="V188" i="29"/>
  <c r="V155" i="29"/>
  <c r="V7" i="29"/>
  <c r="V170" i="29"/>
  <c r="W13" i="29"/>
  <c r="W124" i="29"/>
  <c r="W34" i="29"/>
  <c r="W52" i="29"/>
  <c r="W191" i="29"/>
  <c r="V14" i="29"/>
  <c r="V142" i="29"/>
  <c r="V52" i="29"/>
  <c r="W125" i="29"/>
  <c r="W136" i="29"/>
  <c r="V53" i="29"/>
  <c r="W35" i="29"/>
  <c r="V141" i="29"/>
  <c r="V43" i="29"/>
  <c r="W152" i="29"/>
  <c r="V26" i="29"/>
  <c r="V133" i="29"/>
  <c r="W46" i="29"/>
  <c r="V39" i="29"/>
  <c r="W55" i="29"/>
  <c r="W189" i="29"/>
  <c r="V147" i="29"/>
  <c r="W33" i="29"/>
  <c r="W200" i="29"/>
  <c r="V185" i="29"/>
  <c r="V83" i="29"/>
  <c r="W29" i="29"/>
  <c r="W161" i="29"/>
  <c r="W48" i="29"/>
  <c r="W58" i="29"/>
  <c r="V66" i="29"/>
  <c r="W17" i="29"/>
  <c r="W26" i="29"/>
  <c r="W180" i="29"/>
  <c r="V25" i="29"/>
  <c r="W140" i="29"/>
  <c r="V9" i="29"/>
  <c r="W74" i="29"/>
  <c r="W128" i="29"/>
  <c r="W105" i="29"/>
  <c r="V194" i="29"/>
  <c r="V68" i="29"/>
  <c r="W137" i="29"/>
  <c r="V17" i="29"/>
  <c r="V19" i="29"/>
  <c r="V151" i="29"/>
  <c r="W168" i="29"/>
  <c r="V74" i="29"/>
  <c r="V143" i="29"/>
  <c r="V199" i="29"/>
  <c r="W129" i="29"/>
  <c r="W203" i="29"/>
  <c r="V96" i="29"/>
  <c r="V169" i="29"/>
  <c r="W171" i="29"/>
  <c r="V22" i="29"/>
  <c r="V88" i="29"/>
  <c r="W178" i="29"/>
  <c r="V93" i="29"/>
  <c r="W41" i="29"/>
  <c r="V29" i="29"/>
  <c r="W38" i="29"/>
  <c r="W159" i="29"/>
  <c r="V75" i="29"/>
  <c r="W153" i="29"/>
  <c r="W170" i="29"/>
  <c r="W73" i="29"/>
  <c r="V85" i="29"/>
  <c r="W3" i="29"/>
  <c r="W174" i="29"/>
  <c r="V80" i="29"/>
  <c r="V124" i="29"/>
  <c r="V157" i="29"/>
  <c r="V54" i="29"/>
  <c r="W113" i="29"/>
  <c r="V44" i="29"/>
  <c r="W43" i="29"/>
  <c r="W147" i="29"/>
  <c r="V106" i="29"/>
  <c r="V104" i="29"/>
  <c r="W169" i="29"/>
  <c r="V47" i="29"/>
  <c r="W144" i="29"/>
  <c r="W164" i="29"/>
  <c r="V42" i="29"/>
  <c r="V27" i="29"/>
  <c r="V206" i="29"/>
  <c r="V187" i="29"/>
  <c r="W6" i="29"/>
  <c r="W102" i="29"/>
  <c r="V164" i="29"/>
  <c r="W42" i="29"/>
  <c r="V154" i="29"/>
  <c r="W78" i="29"/>
  <c r="V166" i="29"/>
  <c r="V70" i="29"/>
  <c r="W143" i="29"/>
  <c r="W162" i="29"/>
  <c r="W148" i="29"/>
  <c r="W155" i="29"/>
  <c r="W150" i="29"/>
  <c r="V65" i="29"/>
  <c r="V61" i="29"/>
  <c r="W36" i="29"/>
  <c r="V168" i="29"/>
  <c r="W60" i="29"/>
  <c r="W145" i="29"/>
  <c r="W49" i="29"/>
  <c r="W32" i="29"/>
  <c r="V63" i="29"/>
  <c r="W117" i="29"/>
  <c r="W8" i="29"/>
  <c r="W111" i="29"/>
  <c r="V36" i="29"/>
  <c r="W70" i="29"/>
  <c r="W165" i="29"/>
  <c r="W157" i="29"/>
  <c r="W179" i="29"/>
  <c r="W185" i="29"/>
  <c r="V113" i="29"/>
  <c r="W40" i="29"/>
  <c r="V31" i="29"/>
  <c r="W154" i="29"/>
  <c r="V139" i="29"/>
  <c r="W16" i="29"/>
  <c r="V138" i="29"/>
  <c r="W114" i="29"/>
  <c r="V77" i="29"/>
  <c r="W151" i="29"/>
  <c r="V127" i="29"/>
  <c r="V203" i="29"/>
  <c r="W21" i="29"/>
  <c r="V190" i="29"/>
  <c r="W100" i="29"/>
  <c r="V161" i="29"/>
  <c r="W112" i="29"/>
  <c r="V32" i="29"/>
  <c r="V35" i="29"/>
  <c r="V86" i="29"/>
  <c r="W71" i="29"/>
  <c r="V153" i="29"/>
  <c r="V158" i="29"/>
  <c r="V71" i="29"/>
  <c r="W65" i="29"/>
  <c r="V140" i="29"/>
  <c r="W15" i="29"/>
  <c r="W109" i="29"/>
  <c r="V132" i="29"/>
  <c r="W158" i="29"/>
  <c r="W30" i="29"/>
  <c r="V16" i="29"/>
  <c r="W116" i="29"/>
  <c r="V49" i="29"/>
  <c r="V13" i="29"/>
  <c r="W98" i="29"/>
  <c r="V76" i="29"/>
  <c r="W63" i="29"/>
  <c r="W101" i="29"/>
  <c r="W85" i="29"/>
  <c r="V87" i="29"/>
  <c r="W122" i="29"/>
  <c r="W184" i="29"/>
  <c r="W9" i="29"/>
  <c r="V136" i="29"/>
  <c r="V108" i="29"/>
  <c r="W106" i="29"/>
  <c r="W84" i="29"/>
  <c r="V148" i="29"/>
  <c r="V21" i="29"/>
  <c r="W126" i="29"/>
  <c r="W160" i="29"/>
  <c r="V20" i="29"/>
  <c r="W80" i="29"/>
  <c r="V184" i="29"/>
  <c r="W56" i="29"/>
  <c r="V60" i="29"/>
  <c r="W39" i="29"/>
  <c r="V18" i="29"/>
  <c r="V173" i="29"/>
  <c r="W27" i="29"/>
  <c r="V196" i="29"/>
  <c r="W118" i="29"/>
  <c r="V183" i="29"/>
  <c r="W83" i="29"/>
  <c r="V110" i="29"/>
  <c r="V197" i="29"/>
  <c r="V98" i="29"/>
  <c r="V146" i="29"/>
  <c r="W172" i="29"/>
  <c r="W193" i="29"/>
  <c r="V181" i="29"/>
  <c r="W134" i="29"/>
  <c r="V28" i="29"/>
  <c r="W14" i="29"/>
  <c r="F4" i="88" l="1"/>
  <c r="AV42" i="29"/>
  <c r="AV17" i="29"/>
  <c r="AV103" i="29"/>
  <c r="AV192" i="29"/>
  <c r="X137" i="29"/>
  <c r="AV137" i="29"/>
  <c r="AU137" i="29" s="1"/>
  <c r="AV35" i="29"/>
  <c r="AV75" i="29"/>
  <c r="AV124" i="29"/>
  <c r="AV67" i="29"/>
  <c r="AV21" i="29"/>
  <c r="AV179" i="29"/>
  <c r="X141" i="29"/>
  <c r="AV141" i="29"/>
  <c r="AU141" i="29" s="1"/>
  <c r="AV134" i="29"/>
  <c r="X134" i="29"/>
  <c r="AV168" i="29"/>
  <c r="X190" i="29"/>
  <c r="AV145" i="29"/>
  <c r="AV183" i="29"/>
  <c r="AV129" i="29"/>
  <c r="AV59" i="29"/>
  <c r="AV146" i="29"/>
  <c r="AV23" i="29"/>
  <c r="AV131" i="29"/>
  <c r="AV170" i="29"/>
  <c r="AV164" i="29"/>
  <c r="AV196" i="29"/>
  <c r="AV33" i="29"/>
  <c r="X33" i="29"/>
  <c r="AV9" i="29"/>
  <c r="AV84" i="29"/>
  <c r="X85" i="29"/>
  <c r="AV85" i="29"/>
  <c r="AU85" i="29" s="1"/>
  <c r="AV136" i="29"/>
  <c r="AV66" i="29"/>
  <c r="AV194" i="29"/>
  <c r="AV77" i="29"/>
  <c r="AV8" i="29"/>
  <c r="AV57" i="29"/>
  <c r="AV110" i="29"/>
  <c r="AV191" i="29"/>
  <c r="X174" i="29"/>
  <c r="AV174" i="29"/>
  <c r="X6" i="29"/>
  <c r="AV188" i="29"/>
  <c r="AV82" i="29"/>
  <c r="AV119" i="29"/>
  <c r="AV92" i="29"/>
  <c r="AV128" i="29"/>
  <c r="AV37" i="29"/>
  <c r="AV167" i="29"/>
  <c r="AV71" i="29"/>
  <c r="AV154" i="29"/>
  <c r="AV114" i="29"/>
  <c r="AV105" i="29"/>
  <c r="AV89" i="29"/>
  <c r="AV126" i="29"/>
  <c r="AV107" i="29"/>
  <c r="AV130" i="29"/>
  <c r="AV96" i="29"/>
  <c r="AV198" i="29"/>
  <c r="AV162" i="29"/>
  <c r="X162" i="29"/>
  <c r="AV26" i="29"/>
  <c r="AV5" i="29"/>
  <c r="AV186" i="29"/>
  <c r="X58" i="29"/>
  <c r="AV157" i="29"/>
  <c r="AV28" i="29"/>
  <c r="X122" i="29"/>
  <c r="AV122" i="29"/>
  <c r="AV138" i="29"/>
  <c r="AV90" i="29"/>
  <c r="AV83" i="29"/>
  <c r="AU83" i="29" s="1"/>
  <c r="X83" i="29"/>
  <c r="AV69" i="29"/>
  <c r="AV156" i="29"/>
  <c r="X156" i="29"/>
  <c r="AV43" i="29"/>
  <c r="AV172" i="29"/>
  <c r="X47" i="29"/>
  <c r="AV39" i="29"/>
  <c r="AV93" i="29"/>
  <c r="AV155" i="29"/>
  <c r="X163" i="29"/>
  <c r="AV163" i="29"/>
  <c r="AV118" i="29"/>
  <c r="AV152" i="29"/>
  <c r="X152" i="29"/>
  <c r="AV121" i="29"/>
  <c r="AV161" i="29"/>
  <c r="AV70" i="29"/>
  <c r="AV74" i="29"/>
  <c r="AV81" i="29"/>
  <c r="AV40" i="29"/>
  <c r="AV193" i="29"/>
  <c r="AV51" i="29"/>
  <c r="X51" i="29"/>
  <c r="AV49" i="29"/>
  <c r="AV34" i="29"/>
  <c r="AV116" i="29"/>
  <c r="AV203" i="29"/>
  <c r="X104" i="29"/>
  <c r="AV175" i="29"/>
  <c r="X175" i="29"/>
  <c r="AV158" i="29"/>
  <c r="AV109" i="29"/>
  <c r="AV22" i="29"/>
  <c r="AV10" i="29"/>
  <c r="AV38" i="29"/>
  <c r="AV63" i="29"/>
  <c r="AV200" i="29"/>
  <c r="AV11" i="29"/>
  <c r="AV73" i="29"/>
  <c r="AV86" i="29"/>
  <c r="AV115" i="29"/>
  <c r="X7" i="29"/>
  <c r="AV171" i="29"/>
  <c r="X140" i="29"/>
  <c r="AV173" i="29"/>
  <c r="AV113" i="29"/>
  <c r="AV41" i="29"/>
  <c r="AV54" i="29"/>
  <c r="AV55" i="29"/>
  <c r="AV13" i="29"/>
  <c r="AV102" i="29"/>
  <c r="AV127" i="29"/>
  <c r="AV106" i="29"/>
  <c r="AV78" i="29"/>
  <c r="AV14" i="29"/>
  <c r="AV195" i="29"/>
  <c r="AV187" i="29"/>
  <c r="AV144" i="29"/>
  <c r="AV24" i="29"/>
  <c r="X24" i="29"/>
  <c r="AV27" i="29"/>
  <c r="AV97" i="29"/>
  <c r="AV87" i="29"/>
  <c r="AV68" i="29"/>
  <c r="AV76" i="29"/>
  <c r="AV56" i="29"/>
  <c r="AV199" i="29"/>
  <c r="AV53" i="29"/>
  <c r="AV180" i="29"/>
  <c r="AV201" i="29"/>
  <c r="AV197" i="29"/>
  <c r="X147" i="29"/>
  <c r="AV147" i="29"/>
  <c r="AV111" i="29"/>
  <c r="X45" i="29"/>
  <c r="AV125" i="29"/>
  <c r="X125" i="29"/>
  <c r="AV184" i="29"/>
  <c r="AV166" i="29"/>
  <c r="AV176" i="29"/>
  <c r="AV112" i="29"/>
  <c r="X112" i="29"/>
  <c r="AV149" i="29"/>
  <c r="AV62" i="29"/>
  <c r="AV18" i="29"/>
  <c r="AV181" i="29"/>
  <c r="AV143" i="29"/>
  <c r="AV50" i="29"/>
  <c r="AV60" i="29"/>
  <c r="AV30" i="29"/>
  <c r="X98" i="29"/>
  <c r="AV98" i="29"/>
  <c r="AV153" i="29"/>
  <c r="AV3" i="29"/>
  <c r="AV20" i="29"/>
  <c r="AV16" i="29"/>
  <c r="AV72" i="29"/>
  <c r="AV64" i="29"/>
  <c r="AV91" i="29"/>
  <c r="AV150" i="29"/>
  <c r="AV178" i="29"/>
  <c r="AV88" i="29"/>
  <c r="AV117" i="29"/>
  <c r="AV133" i="29"/>
  <c r="AV25" i="29"/>
  <c r="AV15" i="29"/>
  <c r="AV52" i="29"/>
  <c r="AV165" i="29"/>
  <c r="X165" i="29"/>
  <c r="AV19" i="29"/>
  <c r="AV189" i="29"/>
  <c r="AV36" i="29"/>
  <c r="AV139" i="29"/>
  <c r="AV135" i="29"/>
  <c r="AV94" i="29"/>
  <c r="AV148" i="29"/>
  <c r="AV48" i="29"/>
  <c r="AV32" i="29"/>
  <c r="AV31" i="29"/>
  <c r="AV101" i="29"/>
  <c r="AV12" i="29"/>
  <c r="AV169" i="29"/>
  <c r="AV95" i="29"/>
  <c r="AV108" i="29"/>
  <c r="AV61" i="29"/>
  <c r="X61" i="29"/>
  <c r="AV185" i="29"/>
  <c r="AV142" i="29"/>
  <c r="AV99" i="29"/>
  <c r="AV65" i="29"/>
  <c r="AV132" i="29"/>
  <c r="AV100" i="29"/>
  <c r="AV159" i="29"/>
  <c r="AV80" i="29"/>
  <c r="X80" i="29"/>
  <c r="AV160" i="29"/>
  <c r="AV29" i="29"/>
  <c r="AV151" i="29"/>
  <c r="AV202" i="29"/>
  <c r="AV182" i="29"/>
  <c r="AV120" i="29"/>
  <c r="AU33" i="29"/>
  <c r="F4" i="85"/>
  <c r="F4" i="86"/>
  <c r="A12" i="84"/>
  <c r="A11" i="84"/>
  <c r="A10" i="84"/>
  <c r="A9" i="84"/>
  <c r="A8" i="84"/>
  <c r="A7" i="84"/>
  <c r="A6" i="84"/>
  <c r="A5" i="84"/>
  <c r="A13" i="83"/>
  <c r="A12" i="83"/>
  <c r="A11" i="83"/>
  <c r="A10" i="83"/>
  <c r="A9" i="83"/>
  <c r="A8" i="83"/>
  <c r="A7" i="83"/>
  <c r="A6" i="83"/>
  <c r="A5" i="83"/>
  <c r="A13" i="82"/>
  <c r="A12" i="82"/>
  <c r="A11" i="82"/>
  <c r="A10" i="82"/>
  <c r="A9" i="82"/>
  <c r="A8" i="82"/>
  <c r="A7" i="82"/>
  <c r="A6" i="82"/>
  <c r="A5" i="82"/>
  <c r="A14" i="81"/>
  <c r="A13" i="81"/>
  <c r="A12" i="81"/>
  <c r="A11" i="81"/>
  <c r="A10" i="81"/>
  <c r="A9" i="81"/>
  <c r="A8" i="81"/>
  <c r="A7" i="81"/>
  <c r="A6" i="81"/>
  <c r="A5" i="81"/>
  <c r="A26" i="80"/>
  <c r="A25" i="80"/>
  <c r="A24" i="80"/>
  <c r="A23" i="80"/>
  <c r="A22" i="80"/>
  <c r="A21" i="80"/>
  <c r="A20" i="80"/>
  <c r="A19" i="80"/>
  <c r="A18" i="80"/>
  <c r="A17" i="80"/>
  <c r="A16" i="80"/>
  <c r="A15" i="80"/>
  <c r="A14" i="80"/>
  <c r="A13" i="80"/>
  <c r="A12" i="80"/>
  <c r="A11" i="80"/>
  <c r="A10" i="80"/>
  <c r="A9" i="80"/>
  <c r="A8" i="80"/>
  <c r="A7" i="80"/>
  <c r="A6" i="80"/>
  <c r="A5" i="80"/>
  <c r="A12" i="79"/>
  <c r="A11" i="79"/>
  <c r="A10" i="79"/>
  <c r="A9" i="79"/>
  <c r="A8" i="79"/>
  <c r="A7" i="79"/>
  <c r="A6" i="79"/>
  <c r="A5" i="79"/>
  <c r="A36" i="78"/>
  <c r="A35" i="78"/>
  <c r="A34" i="78"/>
  <c r="A33" i="78"/>
  <c r="A32" i="78"/>
  <c r="A31" i="78"/>
  <c r="A30" i="78"/>
  <c r="A29" i="78"/>
  <c r="A28" i="78"/>
  <c r="A27" i="78"/>
  <c r="A26" i="78"/>
  <c r="A25" i="78"/>
  <c r="A24" i="78"/>
  <c r="A23" i="78"/>
  <c r="A22" i="78"/>
  <c r="A21" i="78"/>
  <c r="A20" i="78"/>
  <c r="A19" i="78"/>
  <c r="A18" i="78"/>
  <c r="A17" i="78"/>
  <c r="A16" i="78"/>
  <c r="A15" i="78"/>
  <c r="A14" i="78"/>
  <c r="A13" i="78"/>
  <c r="A12" i="78"/>
  <c r="A11" i="78"/>
  <c r="A10" i="78"/>
  <c r="A9" i="78"/>
  <c r="A8" i="78"/>
  <c r="A7" i="78"/>
  <c r="A6" i="78"/>
  <c r="A5" i="78"/>
  <c r="F4" i="78" s="1"/>
  <c r="A9" i="77"/>
  <c r="A8" i="77"/>
  <c r="A7" i="77"/>
  <c r="A6" i="77"/>
  <c r="A5" i="77"/>
  <c r="A44" i="76"/>
  <c r="A43" i="76"/>
  <c r="A42" i="76"/>
  <c r="A41" i="76"/>
  <c r="A40" i="76"/>
  <c r="A39" i="76"/>
  <c r="A38" i="76"/>
  <c r="A37" i="76"/>
  <c r="A36" i="76"/>
  <c r="A35" i="76"/>
  <c r="A34" i="76"/>
  <c r="A33" i="76"/>
  <c r="A32" i="76"/>
  <c r="A31" i="76"/>
  <c r="A30" i="76"/>
  <c r="A29" i="76"/>
  <c r="A28" i="76"/>
  <c r="A27" i="76"/>
  <c r="A26" i="76"/>
  <c r="A25" i="76"/>
  <c r="A24" i="76"/>
  <c r="A23" i="76"/>
  <c r="A22" i="76"/>
  <c r="A21" i="76"/>
  <c r="A20" i="76"/>
  <c r="A19" i="76"/>
  <c r="A18" i="76"/>
  <c r="A17" i="76"/>
  <c r="A16" i="76"/>
  <c r="A15" i="76"/>
  <c r="A14" i="76"/>
  <c r="A13" i="76"/>
  <c r="A12" i="76"/>
  <c r="A11" i="76"/>
  <c r="A10" i="76"/>
  <c r="A9" i="76"/>
  <c r="A8" i="76"/>
  <c r="A7" i="76"/>
  <c r="A6" i="76"/>
  <c r="A5" i="76"/>
  <c r="A3" i="61"/>
  <c r="A28" i="75"/>
  <c r="A27" i="75"/>
  <c r="A26" i="75"/>
  <c r="A25" i="75"/>
  <c r="A24" i="75"/>
  <c r="A23" i="75"/>
  <c r="A22" i="75"/>
  <c r="A21" i="75"/>
  <c r="A20" i="75"/>
  <c r="A19" i="75"/>
  <c r="A18" i="75"/>
  <c r="A17" i="75"/>
  <c r="A16" i="75"/>
  <c r="A15" i="75"/>
  <c r="A14" i="75"/>
  <c r="A13" i="75"/>
  <c r="A12" i="75"/>
  <c r="A11" i="75"/>
  <c r="A10" i="75"/>
  <c r="A9" i="75"/>
  <c r="A8" i="75"/>
  <c r="A7" i="75"/>
  <c r="A6" i="75"/>
  <c r="A5" i="75"/>
  <c r="F4" i="75" s="1"/>
  <c r="Y190" i="29"/>
  <c r="X84" i="29"/>
  <c r="X124" i="29"/>
  <c r="X69" i="29"/>
  <c r="X50" i="29"/>
  <c r="X176" i="29"/>
  <c r="X37" i="29"/>
  <c r="X161" i="29"/>
  <c r="X135" i="29"/>
  <c r="X201" i="29"/>
  <c r="X86" i="29"/>
  <c r="X12" i="29"/>
  <c r="X14" i="29"/>
  <c r="Y177" i="29"/>
  <c r="X38" i="29"/>
  <c r="X131" i="29"/>
  <c r="X203" i="29"/>
  <c r="X157" i="29"/>
  <c r="X39" i="29"/>
  <c r="X192" i="29"/>
  <c r="X173" i="29"/>
  <c r="X153" i="29"/>
  <c r="X198" i="29"/>
  <c r="X149" i="29"/>
  <c r="X148" i="29"/>
  <c r="X145" i="29"/>
  <c r="X115" i="29"/>
  <c r="X155" i="29"/>
  <c r="X4" i="29"/>
  <c r="X139" i="29"/>
  <c r="X89" i="29"/>
  <c r="X193" i="29"/>
  <c r="X154" i="29"/>
  <c r="X18" i="29"/>
  <c r="X88" i="29"/>
  <c r="X19" i="29"/>
  <c r="X99" i="29"/>
  <c r="X8" i="29"/>
  <c r="X127" i="29"/>
  <c r="X180" i="29"/>
  <c r="X30" i="29"/>
  <c r="X63" i="29"/>
  <c r="X77" i="29"/>
  <c r="X118" i="29"/>
  <c r="X59" i="29"/>
  <c r="X121" i="29"/>
  <c r="X66" i="29"/>
  <c r="X177" i="29"/>
  <c r="X142" i="29"/>
  <c r="X168" i="29"/>
  <c r="X44" i="29"/>
  <c r="X93" i="29"/>
  <c r="X13" i="29"/>
  <c r="X17" i="29"/>
  <c r="X53" i="29"/>
  <c r="X132" i="29"/>
  <c r="X144" i="29"/>
  <c r="X178" i="29"/>
  <c r="X73" i="29"/>
  <c r="X185" i="29"/>
  <c r="X92" i="29"/>
  <c r="X97" i="29"/>
  <c r="X71" i="29"/>
  <c r="X100" i="29"/>
  <c r="X21" i="29"/>
  <c r="X48" i="29"/>
  <c r="X90" i="29"/>
  <c r="X129" i="29"/>
  <c r="X32" i="29"/>
  <c r="X188" i="29"/>
  <c r="X183" i="29"/>
  <c r="X189" i="29"/>
  <c r="X106" i="29"/>
  <c r="X107" i="29"/>
  <c r="X54" i="29"/>
  <c r="X25" i="29"/>
  <c r="X181" i="29"/>
  <c r="X133" i="29"/>
  <c r="X196" i="29"/>
  <c r="X42" i="29"/>
  <c r="X194" i="29"/>
  <c r="X158" i="29"/>
  <c r="X199" i="29"/>
  <c r="X70" i="29"/>
  <c r="X5" i="29"/>
  <c r="X130" i="29"/>
  <c r="X111" i="29"/>
  <c r="X113" i="29"/>
  <c r="X186" i="29"/>
  <c r="X128" i="29"/>
  <c r="X49" i="29"/>
  <c r="X87" i="29"/>
  <c r="X94" i="29"/>
  <c r="X187" i="29"/>
  <c r="X202" i="29"/>
  <c r="X105" i="29"/>
  <c r="X167" i="29"/>
  <c r="X34" i="29"/>
  <c r="X65" i="29"/>
  <c r="X20" i="29"/>
  <c r="X27" i="29"/>
  <c r="X103" i="29"/>
  <c r="X57" i="29"/>
  <c r="X31" i="29"/>
  <c r="X195" i="29"/>
  <c r="X78" i="29"/>
  <c r="X109" i="29"/>
  <c r="X55" i="29"/>
  <c r="X150" i="29"/>
  <c r="X75" i="29"/>
  <c r="X119" i="29"/>
  <c r="X101" i="29"/>
  <c r="X72" i="29"/>
  <c r="X40" i="29"/>
  <c r="X151" i="29"/>
  <c r="X10" i="29"/>
  <c r="X126" i="29"/>
  <c r="X182" i="29"/>
  <c r="X3" i="29"/>
  <c r="X68" i="29"/>
  <c r="X52" i="29"/>
  <c r="X28" i="29"/>
  <c r="X56" i="29"/>
  <c r="X96" i="29"/>
  <c r="X200" i="29"/>
  <c r="X191" i="29"/>
  <c r="X160" i="29"/>
  <c r="X41" i="29"/>
  <c r="X146" i="29"/>
  <c r="X108" i="29"/>
  <c r="X123" i="29"/>
  <c r="X171" i="29"/>
  <c r="X43" i="29"/>
  <c r="X81" i="29"/>
  <c r="X166" i="29"/>
  <c r="X197" i="29"/>
  <c r="X95" i="29"/>
  <c r="X67" i="29"/>
  <c r="X60" i="29"/>
  <c r="X159" i="29"/>
  <c r="X9" i="29"/>
  <c r="X102" i="29"/>
  <c r="X114" i="29"/>
  <c r="X184" i="29"/>
  <c r="X143" i="29"/>
  <c r="X36" i="29"/>
  <c r="X11" i="29"/>
  <c r="X136" i="29"/>
  <c r="X15" i="29"/>
  <c r="X120" i="29"/>
  <c r="X164" i="29"/>
  <c r="X35" i="29"/>
  <c r="X74" i="29"/>
  <c r="X172" i="29"/>
  <c r="X29" i="29"/>
  <c r="X22" i="29"/>
  <c r="X46" i="29"/>
  <c r="X76" i="29"/>
  <c r="X110" i="29"/>
  <c r="X116" i="29"/>
  <c r="X62" i="29"/>
  <c r="X169" i="29"/>
  <c r="X16" i="29"/>
  <c r="X64" i="29"/>
  <c r="X117" i="29"/>
  <c r="X179" i="29"/>
  <c r="X26" i="29"/>
  <c r="X82" i="29"/>
  <c r="X91" i="29"/>
  <c r="X170" i="29"/>
  <c r="X23" i="29"/>
  <c r="X138" i="29"/>
  <c r="Z190" i="29"/>
  <c r="AU122" i="29" l="1"/>
  <c r="AU162" i="29"/>
  <c r="AU163" i="29"/>
  <c r="AV190" i="29"/>
  <c r="AU190" i="29" s="1"/>
  <c r="AU24" i="29"/>
  <c r="AU156" i="29"/>
  <c r="AU112" i="29"/>
  <c r="AU152" i="29"/>
  <c r="AU98" i="29"/>
  <c r="AU147" i="29"/>
  <c r="AU175" i="29"/>
  <c r="AU51" i="29"/>
  <c r="AU174" i="29"/>
  <c r="AU80" i="29"/>
  <c r="AU125" i="29"/>
  <c r="AU134" i="29"/>
  <c r="AU61" i="29"/>
  <c r="AU165" i="29"/>
  <c r="AU185" i="29"/>
  <c r="AU19" i="29"/>
  <c r="AU25" i="29"/>
  <c r="AU117" i="29"/>
  <c r="AU72" i="29"/>
  <c r="AU20" i="29"/>
  <c r="AU166" i="29"/>
  <c r="AU180" i="29"/>
  <c r="AU199" i="29"/>
  <c r="AU27" i="29"/>
  <c r="AU171" i="29"/>
  <c r="AU115" i="29"/>
  <c r="AU74" i="29"/>
  <c r="AU172" i="29"/>
  <c r="AU90" i="29"/>
  <c r="AU157" i="29"/>
  <c r="AU186" i="29"/>
  <c r="AU26" i="29"/>
  <c r="AU198" i="29"/>
  <c r="AU130" i="29"/>
  <c r="AU126" i="29"/>
  <c r="AU105" i="29"/>
  <c r="AU154" i="29"/>
  <c r="AU167" i="29"/>
  <c r="AU128" i="29"/>
  <c r="AU119" i="29"/>
  <c r="AU188" i="29"/>
  <c r="AU110" i="29"/>
  <c r="AU8" i="29"/>
  <c r="AU194" i="29"/>
  <c r="AU136" i="29"/>
  <c r="AU84" i="29"/>
  <c r="AU164" i="29"/>
  <c r="AU131" i="29"/>
  <c r="AU129" i="29"/>
  <c r="AU145" i="29"/>
  <c r="AU168" i="29"/>
  <c r="AU21" i="29"/>
  <c r="AU124" i="29"/>
  <c r="AU35" i="29"/>
  <c r="AU192" i="29"/>
  <c r="AU149" i="29"/>
  <c r="AU176" i="29"/>
  <c r="AU184" i="29"/>
  <c r="AU201" i="29"/>
  <c r="AU144" i="29"/>
  <c r="AU195" i="29"/>
  <c r="AU78" i="29"/>
  <c r="AU127" i="29"/>
  <c r="AU13" i="29"/>
  <c r="AU86" i="29"/>
  <c r="AU11" i="29"/>
  <c r="AU63" i="29"/>
  <c r="AU10" i="29"/>
  <c r="AU109" i="29"/>
  <c r="AU203" i="29"/>
  <c r="AU34" i="29"/>
  <c r="AU40" i="29"/>
  <c r="AU81" i="29"/>
  <c r="AU70" i="29"/>
  <c r="AU121" i="29"/>
  <c r="AU118" i="29"/>
  <c r="AU39" i="29"/>
  <c r="AU146" i="29"/>
  <c r="AU17" i="29"/>
  <c r="AU120" i="29"/>
  <c r="AU202" i="29"/>
  <c r="AU100" i="29"/>
  <c r="AU65" i="29"/>
  <c r="AU142" i="29"/>
  <c r="AU12" i="29"/>
  <c r="AU31" i="29"/>
  <c r="AU48" i="29"/>
  <c r="AU94" i="29"/>
  <c r="AU139" i="29"/>
  <c r="AU189" i="29"/>
  <c r="AU15" i="29"/>
  <c r="AU133" i="29"/>
  <c r="AU88" i="29"/>
  <c r="AU150" i="29"/>
  <c r="AU16" i="29"/>
  <c r="AU3" i="29"/>
  <c r="AU64" i="29"/>
  <c r="AU143" i="29"/>
  <c r="AU53" i="29"/>
  <c r="AU56" i="29"/>
  <c r="AU68" i="29"/>
  <c r="AU54" i="29"/>
  <c r="AU113" i="29"/>
  <c r="AU155" i="29"/>
  <c r="AU43" i="29"/>
  <c r="AU69" i="29"/>
  <c r="AU138" i="29"/>
  <c r="AU5" i="29"/>
  <c r="AU96" i="29"/>
  <c r="AU107" i="29"/>
  <c r="AU89" i="29"/>
  <c r="AU114" i="29"/>
  <c r="AU71" i="29"/>
  <c r="AU82" i="29"/>
  <c r="AU57" i="29"/>
  <c r="AU77" i="29"/>
  <c r="AU66" i="29"/>
  <c r="AU9" i="29"/>
  <c r="AU196" i="29"/>
  <c r="AU170" i="29"/>
  <c r="AU23" i="29"/>
  <c r="AU59" i="29"/>
  <c r="AU183" i="29"/>
  <c r="AU179" i="29"/>
  <c r="AU67" i="29"/>
  <c r="AU75" i="29"/>
  <c r="AU103" i="29"/>
  <c r="AU42" i="29"/>
  <c r="AU60" i="29"/>
  <c r="AU18" i="29"/>
  <c r="AU151" i="29"/>
  <c r="AU160" i="29"/>
  <c r="AU159" i="29"/>
  <c r="AU99" i="29"/>
  <c r="AU108" i="29"/>
  <c r="AU169" i="29"/>
  <c r="AU101" i="29"/>
  <c r="AU32" i="29"/>
  <c r="AU148" i="29"/>
  <c r="AU135" i="29"/>
  <c r="AU36" i="29"/>
  <c r="AU52" i="29"/>
  <c r="AU178" i="29"/>
  <c r="AU91" i="29"/>
  <c r="AU153" i="29"/>
  <c r="AU30" i="29"/>
  <c r="AU50" i="29"/>
  <c r="AU181" i="29"/>
  <c r="AU62" i="29"/>
  <c r="AU111" i="29"/>
  <c r="AU197" i="29"/>
  <c r="AU97" i="29"/>
  <c r="AU187" i="29"/>
  <c r="AU14" i="29"/>
  <c r="AU106" i="29"/>
  <c r="AU102" i="29"/>
  <c r="AU55" i="29"/>
  <c r="AU41" i="29"/>
  <c r="AU173" i="29"/>
  <c r="AU73" i="29"/>
  <c r="AU200" i="29"/>
  <c r="AU38" i="29"/>
  <c r="AU22" i="29"/>
  <c r="AU158" i="29"/>
  <c r="AU116" i="29"/>
  <c r="AU49" i="29"/>
  <c r="AU193" i="29"/>
  <c r="AU161" i="29"/>
  <c r="AU93" i="29"/>
  <c r="AU28" i="29"/>
  <c r="AU37" i="29"/>
  <c r="AU92" i="29"/>
  <c r="AU191" i="29"/>
  <c r="AU182" i="29"/>
  <c r="AU76" i="29"/>
  <c r="AU132" i="29"/>
  <c r="AU95" i="29"/>
  <c r="AU87" i="29"/>
  <c r="AU29" i="29"/>
  <c r="AV177" i="29"/>
  <c r="F4" i="76"/>
  <c r="F4" i="84"/>
  <c r="F4" i="83"/>
  <c r="F4" i="82"/>
  <c r="F4" i="81"/>
  <c r="F4" i="80"/>
  <c r="F4" i="79"/>
  <c r="F4" i="77"/>
  <c r="A14" i="74"/>
  <c r="A13" i="74"/>
  <c r="A12" i="74"/>
  <c r="A11" i="74"/>
  <c r="A10" i="74"/>
  <c r="A9" i="74"/>
  <c r="A8" i="74"/>
  <c r="A7" i="74"/>
  <c r="A6" i="74"/>
  <c r="A5" i="74"/>
  <c r="A14" i="73"/>
  <c r="A13" i="73"/>
  <c r="A12" i="73"/>
  <c r="A11" i="73"/>
  <c r="A10" i="73"/>
  <c r="A9" i="73"/>
  <c r="A8" i="73"/>
  <c r="A7" i="73"/>
  <c r="A6" i="73"/>
  <c r="A5" i="73"/>
  <c r="Y140" i="29"/>
  <c r="Y58" i="29"/>
  <c r="Y104" i="29"/>
  <c r="Z177" i="29"/>
  <c r="Z140" i="29" l="1"/>
  <c r="AV140" i="29"/>
  <c r="AU140" i="29" s="1"/>
  <c r="Z104" i="29"/>
  <c r="AV104" i="29"/>
  <c r="AU104" i="29" s="1"/>
  <c r="Z58" i="29"/>
  <c r="AV58" i="29"/>
  <c r="AU58" i="29" s="1"/>
  <c r="AU177" i="29"/>
  <c r="F4" i="73"/>
  <c r="F4" i="74"/>
  <c r="A35" i="72"/>
  <c r="A34" i="72"/>
  <c r="A33" i="72"/>
  <c r="A32" i="72"/>
  <c r="A31" i="72"/>
  <c r="A30" i="72"/>
  <c r="A29" i="72"/>
  <c r="A28" i="72"/>
  <c r="A27" i="72"/>
  <c r="A26" i="72"/>
  <c r="A25" i="72"/>
  <c r="A24" i="72"/>
  <c r="A23" i="72"/>
  <c r="A22" i="72"/>
  <c r="A21" i="72"/>
  <c r="A20" i="72"/>
  <c r="A19" i="72"/>
  <c r="A18" i="72"/>
  <c r="A17" i="72"/>
  <c r="A16" i="72"/>
  <c r="A15" i="72"/>
  <c r="A14" i="72"/>
  <c r="A13" i="72"/>
  <c r="A12" i="72"/>
  <c r="A11" i="72"/>
  <c r="A10" i="72"/>
  <c r="A9" i="72"/>
  <c r="A8" i="72"/>
  <c r="A7" i="72"/>
  <c r="A6" i="72"/>
  <c r="A5" i="72"/>
  <c r="Y123" i="29"/>
  <c r="Y7" i="29"/>
  <c r="Z123" i="29" l="1"/>
  <c r="AV7" i="29"/>
  <c r="AV123" i="29"/>
  <c r="AU123" i="29" s="1"/>
  <c r="F4" i="72"/>
  <c r="A22" i="71"/>
  <c r="A21" i="71"/>
  <c r="A20" i="71"/>
  <c r="A19" i="71"/>
  <c r="A18" i="71"/>
  <c r="A17" i="71"/>
  <c r="A16" i="71"/>
  <c r="A15" i="71"/>
  <c r="A14" i="71"/>
  <c r="A13" i="71"/>
  <c r="A12" i="71"/>
  <c r="A11" i="71"/>
  <c r="A10" i="71"/>
  <c r="A9" i="71"/>
  <c r="A8" i="71"/>
  <c r="A7" i="71"/>
  <c r="A6" i="71"/>
  <c r="A5" i="71"/>
  <c r="Z7" i="29"/>
  <c r="AU7" i="29" l="1"/>
  <c r="F4" i="71"/>
  <c r="A14" i="70"/>
  <c r="A13" i="70"/>
  <c r="A12" i="70"/>
  <c r="A11" i="70"/>
  <c r="A10" i="70"/>
  <c r="A9" i="70"/>
  <c r="A8" i="70"/>
  <c r="A7" i="70"/>
  <c r="A6" i="70"/>
  <c r="A5" i="70"/>
  <c r="F4" i="70" l="1"/>
  <c r="A28" i="69"/>
  <c r="A27" i="69"/>
  <c r="A26" i="69"/>
  <c r="A25" i="69"/>
  <c r="A24" i="69"/>
  <c r="A23" i="69"/>
  <c r="A22" i="69"/>
  <c r="A21" i="69"/>
  <c r="A20" i="69"/>
  <c r="A19" i="69"/>
  <c r="A18" i="69"/>
  <c r="A17" i="69"/>
  <c r="A16" i="69"/>
  <c r="A15" i="69"/>
  <c r="A14" i="69"/>
  <c r="A13" i="69"/>
  <c r="A12" i="69"/>
  <c r="A11" i="69"/>
  <c r="A10" i="69"/>
  <c r="A9" i="69"/>
  <c r="A8" i="69"/>
  <c r="A7" i="69"/>
  <c r="A6" i="69"/>
  <c r="A5" i="69"/>
  <c r="A22" i="68"/>
  <c r="A21" i="68"/>
  <c r="A20" i="68"/>
  <c r="A19" i="68"/>
  <c r="A18" i="68"/>
  <c r="A17" i="68"/>
  <c r="A16" i="68"/>
  <c r="A15" i="68"/>
  <c r="A14" i="68"/>
  <c r="A13" i="68"/>
  <c r="A12" i="68"/>
  <c r="A11" i="68"/>
  <c r="A10" i="68"/>
  <c r="A9" i="68"/>
  <c r="A8" i="68"/>
  <c r="A7" i="68"/>
  <c r="A6" i="68"/>
  <c r="A5" i="68"/>
  <c r="F4" i="69" l="1"/>
  <c r="F4" i="68"/>
  <c r="A10" i="67"/>
  <c r="A9" i="67"/>
  <c r="A8" i="67"/>
  <c r="A7" i="67"/>
  <c r="A6" i="67"/>
  <c r="A35" i="66" l="1"/>
  <c r="A34" i="66"/>
  <c r="A33" i="66"/>
  <c r="A32" i="66"/>
  <c r="A31" i="66"/>
  <c r="A30" i="66"/>
  <c r="A29" i="66"/>
  <c r="A28" i="66"/>
  <c r="A27" i="66"/>
  <c r="A26" i="66"/>
  <c r="A25" i="66"/>
  <c r="A24" i="66"/>
  <c r="A23" i="66"/>
  <c r="A22" i="66"/>
  <c r="A20" i="66"/>
  <c r="A19" i="66"/>
  <c r="A18" i="66"/>
  <c r="A17" i="66"/>
  <c r="A16" i="66"/>
  <c r="A15" i="66"/>
  <c r="A14" i="66"/>
  <c r="A13" i="66"/>
  <c r="A12" i="66"/>
  <c r="A11" i="66"/>
  <c r="A10" i="66"/>
  <c r="A9" i="66"/>
  <c r="A8" i="66"/>
  <c r="A7" i="66"/>
  <c r="A6" i="66"/>
  <c r="A5" i="66"/>
  <c r="F4" i="66" l="1"/>
  <c r="A24" i="65"/>
  <c r="A23" i="65"/>
  <c r="A22" i="65"/>
  <c r="A21" i="65"/>
  <c r="A20" i="65"/>
  <c r="A19" i="65"/>
  <c r="A18" i="65"/>
  <c r="A17" i="65"/>
  <c r="A16" i="65"/>
  <c r="A15" i="65"/>
  <c r="A14" i="65"/>
  <c r="A13" i="65"/>
  <c r="A12" i="65"/>
  <c r="A11" i="65"/>
  <c r="A10" i="65"/>
  <c r="A9" i="65"/>
  <c r="A8" i="65"/>
  <c r="A7" i="65"/>
  <c r="A6" i="65"/>
  <c r="A5" i="65"/>
  <c r="B1" i="65"/>
  <c r="A31" i="64"/>
  <c r="A30" i="64"/>
  <c r="A29" i="64"/>
  <c r="A28" i="64"/>
  <c r="A27" i="64"/>
  <c r="A26" i="64"/>
  <c r="A25" i="64"/>
  <c r="A24" i="64"/>
  <c r="A23" i="64"/>
  <c r="A22" i="64"/>
  <c r="A21" i="64"/>
  <c r="A20" i="64"/>
  <c r="A19" i="64"/>
  <c r="A18" i="64"/>
  <c r="A17" i="64"/>
  <c r="A16" i="64"/>
  <c r="A15" i="64"/>
  <c r="A14" i="64"/>
  <c r="A13" i="64"/>
  <c r="A12" i="64"/>
  <c r="A11" i="64"/>
  <c r="A10" i="64"/>
  <c r="A9" i="64"/>
  <c r="A8" i="64"/>
  <c r="A7" i="64"/>
  <c r="A6" i="64"/>
  <c r="A5" i="64"/>
  <c r="Y4" i="29"/>
  <c r="AV4" i="29" l="1"/>
  <c r="F4" i="65"/>
  <c r="F4" i="64"/>
  <c r="A35" i="63"/>
  <c r="A34" i="63"/>
  <c r="A33" i="63"/>
  <c r="A32" i="63"/>
  <c r="A31" i="63"/>
  <c r="A30" i="63"/>
  <c r="A29" i="63"/>
  <c r="A28" i="63"/>
  <c r="A27" i="63"/>
  <c r="A26" i="63"/>
  <c r="A25" i="63"/>
  <c r="A24" i="63"/>
  <c r="A23" i="63"/>
  <c r="A22" i="63"/>
  <c r="A21" i="63"/>
  <c r="A20" i="63"/>
  <c r="A19" i="63"/>
  <c r="A18" i="63"/>
  <c r="A17" i="63"/>
  <c r="A16" i="63"/>
  <c r="A15" i="63"/>
  <c r="A14" i="63"/>
  <c r="A13" i="63"/>
  <c r="A12" i="63"/>
  <c r="A11" i="63"/>
  <c r="A10" i="63"/>
  <c r="A9" i="63"/>
  <c r="A8" i="63"/>
  <c r="A7" i="63"/>
  <c r="A6" i="63"/>
  <c r="A5" i="63"/>
  <c r="A35" i="62"/>
  <c r="A34" i="62"/>
  <c r="A33" i="62"/>
  <c r="A32" i="62"/>
  <c r="A31" i="62"/>
  <c r="A30" i="62"/>
  <c r="A29" i="62"/>
  <c r="A28" i="62"/>
  <c r="A27" i="62"/>
  <c r="A26" i="62"/>
  <c r="A25" i="62"/>
  <c r="A24" i="62"/>
  <c r="A23" i="62"/>
  <c r="A22" i="62"/>
  <c r="A21" i="62"/>
  <c r="A20" i="62"/>
  <c r="A19" i="62"/>
  <c r="A18" i="62"/>
  <c r="A17" i="62"/>
  <c r="A16" i="62"/>
  <c r="A15" i="62"/>
  <c r="A14" i="62"/>
  <c r="A13" i="62"/>
  <c r="A12" i="62"/>
  <c r="A11" i="62"/>
  <c r="A10" i="62"/>
  <c r="A9" i="62"/>
  <c r="A8" i="62"/>
  <c r="A7" i="62"/>
  <c r="A6" i="62"/>
  <c r="A5" i="62"/>
  <c r="A44" i="60"/>
  <c r="A43" i="60"/>
  <c r="A42" i="60"/>
  <c r="A41" i="60"/>
  <c r="A40" i="60"/>
  <c r="A39" i="60"/>
  <c r="A38" i="60"/>
  <c r="A37" i="60"/>
  <c r="A36" i="60"/>
  <c r="A35" i="60"/>
  <c r="A35" i="61"/>
  <c r="A34" i="61"/>
  <c r="A33" i="61"/>
  <c r="A32" i="61"/>
  <c r="A31" i="61"/>
  <c r="A30" i="61"/>
  <c r="A29" i="61"/>
  <c r="A28" i="61"/>
  <c r="A27" i="61"/>
  <c r="A26" i="61"/>
  <c r="A25" i="61"/>
  <c r="A24" i="61"/>
  <c r="A23" i="61"/>
  <c r="A22" i="61"/>
  <c r="A21" i="61"/>
  <c r="A20" i="61"/>
  <c r="A19" i="61"/>
  <c r="A18" i="61"/>
  <c r="A17" i="61"/>
  <c r="A16" i="61"/>
  <c r="A15" i="61"/>
  <c r="A14" i="61"/>
  <c r="A13" i="61"/>
  <c r="A12" i="61"/>
  <c r="A11" i="61"/>
  <c r="A10" i="61"/>
  <c r="A9" i="61"/>
  <c r="A8" i="61"/>
  <c r="A7" i="61"/>
  <c r="A6" i="61"/>
  <c r="A5" i="61"/>
  <c r="A34" i="60"/>
  <c r="A33" i="60"/>
  <c r="A32" i="60"/>
  <c r="A31" i="60"/>
  <c r="A30" i="60"/>
  <c r="A29" i="60"/>
  <c r="A28" i="60"/>
  <c r="A27" i="60"/>
  <c r="A26" i="60"/>
  <c r="A25" i="60"/>
  <c r="A24" i="60"/>
  <c r="A23" i="60"/>
  <c r="A22" i="60"/>
  <c r="A21" i="60"/>
  <c r="A20" i="60"/>
  <c r="A19" i="60"/>
  <c r="A18" i="60"/>
  <c r="A17" i="60"/>
  <c r="A16" i="60"/>
  <c r="A15" i="60"/>
  <c r="A14" i="60"/>
  <c r="A13" i="60"/>
  <c r="A12" i="60"/>
  <c r="A11" i="60"/>
  <c r="A10" i="60"/>
  <c r="A9" i="60"/>
  <c r="A8" i="60"/>
  <c r="A7" i="60"/>
  <c r="A6" i="60"/>
  <c r="A5" i="60"/>
  <c r="F4" i="60" s="1"/>
  <c r="Y6" i="29"/>
  <c r="Z4" i="29"/>
  <c r="Z6" i="29" l="1"/>
  <c r="AV6" i="29"/>
  <c r="AU6" i="29" s="1"/>
  <c r="AU4" i="29"/>
  <c r="F4" i="63"/>
  <c r="F4" i="62"/>
  <c r="F4" i="61"/>
  <c r="Y45" i="29"/>
  <c r="Y46" i="29"/>
  <c r="Y47" i="29"/>
  <c r="Z45" i="29"/>
  <c r="AV45" i="29" l="1"/>
  <c r="AU45" i="29" s="1"/>
  <c r="AV47" i="29"/>
  <c r="AV46" i="29"/>
  <c r="A35" i="36"/>
  <c r="A34" i="36"/>
  <c r="A33" i="36"/>
  <c r="A32" i="36"/>
  <c r="A31" i="36"/>
  <c r="A30" i="36"/>
  <c r="A29" i="36"/>
  <c r="A28" i="36"/>
  <c r="A27" i="36"/>
  <c r="A26" i="36"/>
  <c r="A25" i="36"/>
  <c r="A24" i="36"/>
  <c r="A23" i="36"/>
  <c r="A22" i="36"/>
  <c r="A21" i="36"/>
  <c r="A20" i="36"/>
  <c r="A19" i="36"/>
  <c r="A18" i="36"/>
  <c r="A17" i="36"/>
  <c r="A16" i="36"/>
  <c r="A15" i="36"/>
  <c r="A14" i="36"/>
  <c r="A13" i="36"/>
  <c r="A12" i="36"/>
  <c r="A11" i="36"/>
  <c r="A10" i="36"/>
  <c r="A9" i="36"/>
  <c r="A8" i="36"/>
  <c r="A7" i="36"/>
  <c r="A6" i="36"/>
  <c r="A5" i="36"/>
  <c r="Z47" i="29"/>
  <c r="Z46" i="29"/>
  <c r="AU47" i="29" l="1"/>
  <c r="AU46" i="29"/>
  <c r="A3" i="36"/>
  <c r="F3" i="36"/>
  <c r="F4" i="36"/>
  <c r="Y44" i="29"/>
  <c r="Z44" i="29"/>
  <c r="AV44" i="29" l="1"/>
  <c r="AU44" i="29" s="1"/>
</calcChain>
</file>

<file path=xl/comments1.xml><?xml version="1.0" encoding="utf-8"?>
<comments xmlns="http://schemas.openxmlformats.org/spreadsheetml/2006/main">
  <authors>
    <author>Autor</author>
  </authors>
  <commentList>
    <comment ref="N1" authorId="0" shapeId="0">
      <text>
        <r>
          <rPr>
            <b/>
            <sz val="9"/>
            <color indexed="81"/>
            <rFont val="Tahoma"/>
            <family val="2"/>
          </rPr>
          <t>RECIBO DOC      (3 AVISOS SEMANALES LOS VIERNES)
RECIBO C Y CP (2 AVISOS SEMANALES LOS VIERNES)</t>
        </r>
        <r>
          <rPr>
            <sz val="9"/>
            <color indexed="81"/>
            <rFont val="Tahoma"/>
            <family val="2"/>
          </rPr>
          <t xml:space="preserve">
</t>
        </r>
      </text>
    </comment>
    <comment ref="R1" authorId="0" shapeId="0">
      <text>
        <r>
          <rPr>
            <b/>
            <sz val="9"/>
            <color indexed="81"/>
            <rFont val="Tahoma"/>
            <family val="2"/>
          </rPr>
          <t>RECIBO DOC
ENVIO DOC
AVISO CCPP</t>
        </r>
        <r>
          <rPr>
            <sz val="9"/>
            <color indexed="81"/>
            <rFont val="Tahoma"/>
            <family val="2"/>
          </rPr>
          <t xml:space="preserve">
</t>
        </r>
      </text>
    </comment>
    <comment ref="U1" authorId="0" shapeId="0">
      <text>
        <r>
          <rPr>
            <b/>
            <sz val="9"/>
            <color indexed="81"/>
            <rFont val="Tahoma"/>
            <family val="2"/>
          </rPr>
          <t>RECIBO C Y CP
ENVIO C Y CP
AVISO C Y CP</t>
        </r>
      </text>
    </comment>
    <comment ref="O8" authorId="0" shapeId="0">
      <text>
        <r>
          <rPr>
            <sz val="9"/>
            <color indexed="81"/>
            <rFont val="Tahoma"/>
            <family val="2"/>
          </rPr>
          <t>-13/06
     - Va a convocar Asamblea... llamar el 03/07
-04/07
     - Me comenta Javier que les ha gustado pero están con los ascensores y lo postergan a septiembre.
     - Llamar a ppios de septiembre.
-01/08
     - Envío Mail con nuevo procedimiento de aceptación de Presupuesto en Acta.
-12/09
     - Siguen con el cambio de ascensores
     - En noviembre tienen Asamblea con la ITE y quieren meterlo para entonces
     - Tienen otros dos presupuestos, pero el nuestro lo ha visto mucho mejor técnica y económicamente
     - Que lo llame a principios de diciembre
-02/12
     - No han hecho Asamblea
     - Saben que tienen que hacerlo
     - Me pide que lo llame a principios de Febrero
-25/02
     - Acaban de terminar de cambiar los 2 ascensores
     - Tienen Asamblea en 2 meses para cambio de Presidente
     - Tiene idea de presentar el presupuesto
     - Que lo llame a mediados de mayo</t>
        </r>
      </text>
    </comment>
    <comment ref="M9" authorId="0" shapeId="0">
      <text>
        <r>
          <rPr>
            <b/>
            <sz val="9"/>
            <color indexed="81"/>
            <rFont val="Tahoma"/>
            <family val="2"/>
          </rPr>
          <t>Envío Pto 30/10/25
Envío Pto revisado 05/03/26</t>
        </r>
      </text>
    </comment>
    <comment ref="O9" authorId="0" shapeId="0">
      <text>
        <r>
          <rPr>
            <sz val="9"/>
            <color indexed="81"/>
            <rFont val="Tahoma"/>
            <family val="2"/>
          </rPr>
          <t>-05/11
     - Confirma recepción
     - Lo ha visto muy bien de precio
     - Me ha preguntado dónde habíamos previsto los contadores (le he dicho que 2 baterías en el cuartillo de la izquierda)
     - Que "NO lo deje dormir" y lo llame la semana del 20/11 para ver si han decidido algo
-20/11
     - No han tenido Asamblea
     - Que lo llame después del puente de la Inmaculada
-03/03/26
     - Wh - Voy a convocar la reunión en Alberto durero 2 tú presupuesto 158/25. Necesito confirmar que el precio sigue o hay que actualizarlo
-04/03
     - Ml re-envío Pto revisado
-05/03
     Confirma recepción
-08/04/26
     - ML PRESUPUESTO PENDIENTE (1 DE 3)</t>
        </r>
      </text>
    </comment>
    <comment ref="O15" authorId="0" shapeId="0">
      <text>
        <r>
          <rPr>
            <sz val="9"/>
            <color indexed="81"/>
            <rFont val="Tahoma"/>
            <family val="2"/>
          </rPr>
          <t>-01/09
     - Va conduciendo... llamar por la tarde
-12/09
     - Nos pidió presupuesto por buenas referencias para completar los que había pedido el Administrador (que dice que ha pedido otros pero no sabe si se los han enviado)
     - Fue muy bien recibido por la presentación e importe
     - Está deseando hacerlo
     - Tienen prevista Asamblea este mes
     - Que lo llame a principios de octubre si él no me ha llamado
-06/10
     - Aún no han convocado Asamblea
     - Dice que me llama en un par de días para que le dé tiempo a "presionar" al Administrador... si no, llamarlo yo
-14/10
     - Está "quemado" porque el Presidente no convoca la Asamblea (dice que parece que no tiene interés).
     - Que me va a pasar los datos del Presidente porque él prefiere desentenderse y me pide disculpas
     - Esperar entonces un par de semanas a que me pase los datos del presidente (darlo por rechazado si no lo hace)
-05/11
     - Sigue "quemado"
     - Me facilita el teléfono del Administrador para que nos informe sobre la fecha en la que piensa convocar Asamblea.
     - Tiene varios Presupuestos con ubicaciones de batería distintas y quere tener Asamblea para que los vecinos decidan donde y rehacer los presupuestos en igualdad de condiciones
     - Que lo llame a finales de noviembre (le he dicho que a principios de diciembre)
-02/12
     - Aún no han tenido Asamblea y la prevé para finales o principios de año
     - Que lo llame a mediados de enero
-25/02
     - Están priorizando humedades
     - Tienen otros Presupuestos
     - Que lo llame a principios de abril
-08/04/26
     - ML PRESUPUESTO PENDIENTE (1 DE 3)</t>
        </r>
      </text>
    </comment>
    <comment ref="O25" authorId="0" shapeId="0">
      <text>
        <r>
          <rPr>
            <b/>
            <sz val="9"/>
            <color indexed="81"/>
            <rFont val="Tahoma"/>
            <charset val="1"/>
          </rPr>
          <t>- 30/04/26
     - Me envía Ml con dudas
     - La llamo por Tf</t>
        </r>
      </text>
    </comment>
    <comment ref="O28" authorId="0" shapeId="0">
      <text>
        <r>
          <rPr>
            <sz val="9"/>
            <color indexed="81"/>
            <rFont val="Tahoma"/>
            <family val="2"/>
          </rPr>
          <t>-08/04/26
     - ML PRESUPUESTO PENDIENTE (1 DE 3)</t>
        </r>
      </text>
    </comment>
    <comment ref="O32" authorId="0" shapeId="0">
      <text>
        <r>
          <rPr>
            <sz val="9"/>
            <color indexed="81"/>
            <rFont val="Tahoma"/>
            <family val="2"/>
          </rPr>
          <t>-08/07
     - Aún no han tenido Asamblea
     - Llamar a finales de julio
-30/07
     - No contesta
-01/08
     - Envío Mail con nuevo procedimiento de aceptación de Presupuesto en Acta.
-01/08
     - Le comunico que estaré fuera del despacho hasta el próximo 10 de agosto (inclusive), por lo cual no veré su mensaje.
-11/08
     - Acuso recibo de la información
     - Indicarles que, de momento, no hay ninguna novedad al respecto, emplazándose a una futura asamblea que, aunque no está confirmada, se prevé que se celebre en el mes de septiembre
     - En cuanto se tenga alguna novedad, se os informará al respecto.
- 06/09
     - No contesta
-09/10
     - No contesta
     - WHATSAPP PERSECUCION ACEPTACION (COMUNICA)
- 09/10
     - Buenos días, disculpen no haberles podido atender
     - Informarles que, aunque los vecinos están interesados, de momento no se ha llegado a un acuerdo para el cambio a los contadores individuales en la comunidad
     - Pregúnteme para febrero, a ver si los vecinos decidiesen algo en este periodo
-08/04/26
     - ML PRESUPUESTO PENDIENTE
- 08/04/26
     -  Aún no se ha tomado ninguna decisión al respecto, estamos a expensas de que se trate en una Asamblea Extraordinaria, pero sin fecha confirmada.
     - De todos modos, le mantenemos informados, ya que seguramente el Presidente os llame para informarse al respecto nuevamente.</t>
        </r>
      </text>
    </comment>
    <comment ref="O34" authorId="0" shapeId="0">
      <text>
        <r>
          <rPr>
            <sz val="9"/>
            <color indexed="81"/>
            <rFont val="Tahoma"/>
            <family val="2"/>
          </rPr>
          <t>-05/08
     - Presidente
     - Gracias por el presupuesto y por el perfecto detalle del mismo.
     - No podré ejecutarlo ahora mismo pero iré informando a los vecinos del presupuesto del mismo para tratarlo en la próxima junta ordinaria.
     -  Están pendientes de que regrese el Administrador en Septiembre para analizar el proyeto de instalación de ascensor... verá la manera de coordinar ambos proyectos.
     - La Asamblea la suelen tener en Febrero, por lo que el asunto "va para largo".
     - Que lo llame a finales de Octubre
-05/11
     - Que no recibieron el Presupuesto (se lo envié el 05/08)
     - Que el asunto lo lleva el Presidente
     - Que los llame mañana para informarme
-18/11
     - Lo han dejado parado porque los vecinos no están por la labor
     - Lo van a volver a tratar en la Asamblea de Febrero
-08/04/26
     - ML PRESUPUESTO PENDIENTE (1 DE 3)</t>
        </r>
      </text>
    </comment>
    <comment ref="O38" authorId="0" shapeId="0">
      <text>
        <r>
          <rPr>
            <b/>
            <sz val="9"/>
            <color indexed="81"/>
            <rFont val="Tahoma"/>
            <family val="2"/>
          </rPr>
          <t>- 14/04/26
     - Comunicamos visita para mañana… no puede atendernos nadie
     - Dice que si podemos el viernes… imposible
     - Le comento que estamos saturados y lo hemos adelantado… lo posponemos cuando podamos</t>
        </r>
      </text>
    </comment>
    <comment ref="O43" authorId="0" shapeId="0">
      <text>
        <r>
          <rPr>
            <sz val="9"/>
            <color indexed="81"/>
            <rFont val="Tahoma"/>
            <family val="2"/>
          </rPr>
          <t>-29/09
     - Dice que Tienen la Asamblea la semana que viene
-09/10
     - Dice que tiene Asamblea el próximo jueves 16/10.
     - Que lo llame el viernes 17/10
-14/11
     - JM lo llama y le comentan que la CCPP no tiene dinero para la obra
     - JM le va a estudiar la financiación comunitaria (que iba incluida en el presupuesto)
     - Preguntar a JM a finales de mes
-08/04/26
     - ML PRESUPUESTO PENDIENTE (1 DE 3)
-09/04/26
     - hemos recibido correctamente su presupuesto pero hasta junio no se celebrará la Junta de Propietarios que tendrá que decidir si se lleva a cabo el cambio de contadores.
     - Les tendremos informados de la decisión que se adopte.</t>
        </r>
      </text>
    </comment>
    <comment ref="O55" authorId="0" shapeId="0">
      <text>
        <r>
          <rPr>
            <b/>
            <sz val="9"/>
            <color indexed="81"/>
            <rFont val="Tahoma"/>
            <family val="2"/>
          </rPr>
          <t>-15/11/25
     - Somos una comunidad de propietarios interesados en presupuestos para individualizar los contadores de agua.
-06/08/25
     - Whatsapp solicitando dirección
               - Buenas, nos gustaría hacer la individualización de contadores en febrero de 2026.
               - No sé si el presupuesto tendría validez para tal fecha.
               - Si es así podemos agendar la cita.
               - Sino podrían agendar la cita con nuestra comunidad un poco más adelante?
     - Debido a los trámites con EMASESA, la ejecución se está retrasando bastante... por eso le recomendamos comenzar cuanto antes...
     - … no obstante ¿nos podría facilitar la dirección para poder agendar la visita cuando estemos por su zona?
               - Si, es doctores González Meneses 10.
               - Necesitaría que me avisaran con antelación para la visita. Gracias
     - Perfecto... lo agendamos y le avisamos con antelación... muchas gracias.
-13/08/25
     - No contesta... envío WhatsAp para visitar mañana
-01/09/25
     - No contesta
-03/09/25
     - Confirma recepción
-27/02/26
     - Envían Mail ACEPTACION
-11/03/25
     - Le confirman a JM por Ml la Aceptación
     - JM les dice que tenemos que revisar el Pto
-12/03/26
     - Envío ML con Pto revisado
-20/03/25
     - JM habla con ellos???
-13/04/26
     - Llamo a Pedro Lozano por teléfono y le digo que no nos queda claro el significado de los ML que está enviando
     - Dice que no le echemos cuenta... son automáticos
     - Dice que el próximo jueves 16 tienen Asamblea y que quieren aceptar el Pto sin Subvención por lo largo de los tramites con EMASESA
     - Me comenta la cantidad del Pto inicial y le digo que el 12/03/26 le envié el modificado (tras 7 meses y habiendo pasado del 2025 al 2026 hemos tenido que revisarlo)
     - Lo había recibido... no lo había leído... se lo va a pasar al Pte
     - Cree que no van a aceptar el aumento... me dice que si tiene "arreglo", le digo que complicado
16/04/26
     - JM negocia y aceptan Pto tradicional, Abono 50%firma y 50%material en obra, sin descuento</t>
        </r>
      </text>
    </comment>
    <comment ref="O57" authorId="0" shapeId="0">
      <text>
        <r>
          <rPr>
            <sz val="9"/>
            <color indexed="81"/>
            <rFont val="Tahoma"/>
            <family val="2"/>
          </rPr>
          <t>-14/05
     - La Administradora dice que tuvieron Asamblea ayer.
     - Por lo visto quieren acometer otros arreglos que les han surgido y van a pedir presupuestos de albañilería, convocar otra Asamblea y decidir si hacen todos los trabajos o no.
     - Dice que ella me avisará.
-01/08
     - Envío Mail con nuevo procedimiento de aceptación de Presupuesto en Acta.
-01/09
     - Han acometido arreglos en la azotea y van a retomar el Plan Cinco en la próxima Asamblea en octubre
     - Que la llame a finales de octubre
-05/11
     - No contesta
-20/11
     - Tienen Asamblea antes del 15/12
     - En ella van a tratar el cambio de contadores de agua
     - Que la llame a partir del 15/12
-08/04/26
     - ML PRESUPUESTO PENDIENTE (1 DE 3)
-09/04/26
     - Por el momento se ha pospuesto la reunion para despues de verano.</t>
        </r>
      </text>
    </comment>
    <comment ref="O63" authorId="0" shapeId="0">
      <text>
        <r>
          <rPr>
            <sz val="9"/>
            <color indexed="81"/>
            <rFont val="Tahoma"/>
            <family val="2"/>
          </rPr>
          <t>-26/11
     - buenas tardes 2 temas así a bote  pronto ,
          1-¿que tiempo de ejecución lleva esta actuación ?
          2-el presupuesto debe ser válido para el 14/1 día de la reunión , es decir en vez del mes que veo de validez que sean 2 meses por favor 
     - Le respondo por Mail
-04/03
     - Han tenido humedades (bajantes rotos por las lluvias
     - Tienen la revisión de los ascensores prendiente
     - Lo retoman en la reunión de junio (pero más pronto que tarde lo tienen que hacer... dice)</t>
        </r>
      </text>
    </comment>
    <comment ref="O65" authorId="0" shapeId="0">
      <text>
        <r>
          <rPr>
            <sz val="9"/>
            <color indexed="81"/>
            <rFont val="Tahoma"/>
            <family val="2"/>
          </rPr>
          <t>-20/11
     - No contesta
-21/11
     - Tienen Asamblea el próximo miércoles 26
     - Que lo llame el 27 ó 28
-01/12
     - Dejo recado a su compañera para que me llame
-02/12
     - En la Asamblea han decidido no hacerlo por el momento
     - Me dice que lo llevarán a la próxima Asamblea
     - Que lo llame a principios de año
-08/04/26
     - ML PRESUPUESTO PENDIENTE (1 DE 3)</t>
        </r>
      </text>
    </comment>
    <comment ref="O66" authorId="0" shapeId="0">
      <text>
        <r>
          <rPr>
            <sz val="9"/>
            <color indexed="81"/>
            <rFont val="Tahoma"/>
            <family val="2"/>
          </rPr>
          <t>-01/09
     - A este presupuesto hay que darle un par de meses para que se celebre la Asamblea y decidan
     - Llamar a mediados de octubre
-08/04/26
     - ML PRESUPUESTO PENDIENTE (1 DE 3)</t>
        </r>
      </text>
    </comment>
    <comment ref="O67" authorId="0" shapeId="0">
      <text>
        <r>
          <rPr>
            <sz val="9"/>
            <color indexed="81"/>
            <rFont val="Tahoma"/>
            <family val="2"/>
          </rPr>
          <t>-14/11
     - JM lo llama y le dice que pasó el Presupuesto al Administrador para que tantease a los vecinos
     - Que lo llamemos el martes 18 para ver lo que le ha dicho el Administrador
-27/11
     - JM lo llama y no contesta
     - Le pone Wh
-04/03
     - Dice que lo dejó en manos de Arboleda
     - Dice que tienen problema con los buzones, porque hay que cambiarlos de sitio y el vecino de la pared donde habría que trasladarlos no da su permiso para empotrarlos... le he dicho que los hay de superficie (impresionante)
     - He empezado a oir voces de fondo de una mujer como de pelea... Luis me ha dicho que ahora me llama (de chiste)
-05/03
     - Tienen previsto tener Asamblea el 29/04
     - El vecino no quiere los buzones junto a su puerta
     - Que lo llame a principios de mayo</t>
        </r>
      </text>
    </comment>
    <comment ref="O72" authorId="0" shapeId="0">
      <text>
        <r>
          <rPr>
            <sz val="9"/>
            <color indexed="81"/>
            <rFont val="Tahoma"/>
            <family val="2"/>
          </rPr>
          <t>-10/02
     - JM lo envía por Wh y yo por Ml
     - Tienen la Asamblea esta tarde
- 08/04/26
     - ML PRESUPUESTO PENDIENTE (1 DE 3)
-09/04/26
     - De momento no quieren hacer nada.</t>
        </r>
      </text>
    </comment>
    <comment ref="O74" authorId="0" shapeId="0">
      <text>
        <r>
          <rPr>
            <sz val="9"/>
            <color indexed="81"/>
            <rFont val="Tahoma"/>
            <family val="2"/>
          </rPr>
          <t>-01/10
     - Van a pedir 2 Presupuestos más
-14/11
     - Tana va a preguntar a su compañero
     - Llamar el martes 18
- 08/04/26
     - ML PRESUPUESTO PENDIENTE (1 DE 3)</t>
        </r>
      </text>
    </comment>
    <comment ref="O87" authorId="0" shapeId="0">
      <text>
        <r>
          <rPr>
            <sz val="9"/>
            <color indexed="81"/>
            <rFont val="Tahoma"/>
            <family val="2"/>
          </rPr>
          <t>-26/11
     - buenas tardes 2 temas así a bote  pronto ,
          1-¿que tiempo de ejecución lleva esta actuación ?
          2-el presupuesto debe ser válido para el 14/1 día de la reunión , es decir en vez del mes que veo de validez que sean 2 meses por favor 
     - Le respondo por Mail
-04/03
     - Han tenido humedades (bajantes rotos por las lluvias
     - Tienen la revisión de los ascensores prendiente
     - Lo retoman en la reunión de junio (pero más pronto que tarde lo tienen que hacer... dice)</t>
        </r>
      </text>
    </comment>
    <comment ref="O91" authorId="0" shapeId="0">
      <text>
        <r>
          <rPr>
            <sz val="9"/>
            <color indexed="81"/>
            <rFont val="Tahoma"/>
            <family val="2"/>
          </rPr>
          <t>- 08/04/26
     - ML PRESUPUESTO PENDIENTE (1 DE 3)
- 09/04/2026
     - El próximo martes tenemos la junta de propietarios, una vez han sido informados del importe del presupuesto.
     - En cuanto tenga la decisión de la junta, se la comunicaremos.</t>
        </r>
      </text>
    </comment>
    <comment ref="O93" authorId="0" shapeId="0">
      <text>
        <r>
          <rPr>
            <sz val="9"/>
            <color indexed="81"/>
            <rFont val="Tahoma"/>
            <family val="2"/>
          </rPr>
          <t>-15/10
     - Está pendiente de Asamblea
     - Que lo llame a partir del martes 21/10
-05/11
     - No contesta
-12/11
     - No contesta
     - WHATSAPP PERSECUCION
-13/11
     - Buenas tardes, disculpe, llevo malo una semana y no he podido responder, aún no he podido reunirme con los otros dos vecinos, en cuanto me recupere no se preocupe que le respondo. Gracias y disculpe.
-21/11
     - Tiene Asamblea (con sus hermanos) el próximo miércoles 26 por la tarde
     - Que me llama el 27
-02/12
     - Son 3 hermanos, uno no quiere hacerlo y no lo quieren hacer sin su aprobación
     - Que lo llame el 09/12
-04/03
     - No contesta
-08/04/26
     - ML PRESUPUESTO PENDIENTE (1 DE 3)</t>
        </r>
      </text>
    </comment>
    <comment ref="O97" authorId="0" shapeId="0">
      <text>
        <r>
          <rPr>
            <sz val="9"/>
            <color indexed="81"/>
            <rFont val="Tahoma"/>
            <family val="2"/>
          </rPr>
          <t>-27/11
     - Respecto al presupuesto pues no puedo concretarte nada, esta Comunidad es muy compleja
     - He propuesto llevarlo a Junta extraordinaria, pero no aceptan hacer una extraordinaria para este asunto.
     - De modo que en febrero que nos toca la Junta General Ordinaria lo propondré pretendiendo hacer la votación para la aceptación o no.
     - Llegado el caso de que acepten, informaré que el presupuesto podrá verse alterado por haber pasado más de 3 meses desde que lo elaborasteis.
     - Ya he conseguido que el paso de las nuevas acometidas sean por el interior del garage.
     - Hay un punto que no valoramos en la visita que es traer el agua desde la parte trasera de la finca, en calle Santa Ana, para reducir el recorrido desde Jesús del Gran Poder y también poder ver si los grupos de presión podríamos ahorrarlos.
-14/01
     - JM llama a la Presi y le sigue diciendo que en febrero tendrán la Asamblea Ordinaria
-08/04/26
     - ML PRESUPUESTO PENDIENTE (1 DE 3)</t>
        </r>
      </text>
    </comment>
    <comment ref="T98" authorId="0" shapeId="0">
      <text>
        <r>
          <rPr>
            <b/>
            <sz val="9"/>
            <color indexed="81"/>
            <rFont val="Tahoma"/>
            <family val="2"/>
          </rPr>
          <t>- 13/04/26
     - Se los ha enviado JM</t>
        </r>
      </text>
    </comment>
    <comment ref="O99" authorId="0" shapeId="0">
      <text>
        <r>
          <rPr>
            <sz val="9"/>
            <color indexed="81"/>
            <rFont val="Tahoma"/>
            <family val="2"/>
          </rPr>
          <t>-01/08
     - Envío Mail con nuevo procedimiento de aceptación de Presupuesto en Acta.
-10/10
     - JM llama y le dicen que aún no han tenido Asamblea
- 08/04/26
     - ML PRESUPUESTO PENDIENTE (1 DE 3)</t>
        </r>
      </text>
    </comment>
    <comment ref="O100" authorId="0" shapeId="0">
      <text>
        <r>
          <rPr>
            <sz val="9"/>
            <color indexed="81"/>
            <rFont val="Tahoma"/>
            <family val="2"/>
          </rPr>
          <t>-08/04/26
     - ML PRESUPUESTO PENDIENTE (1 DE 3)
-09/04/2026
     -  Estamos a la espera de que el administrador se incorpore de baja el 06/05 para convocar reunión y tratar el presupuesto</t>
        </r>
      </text>
    </comment>
    <comment ref="O101" authorId="0" shapeId="0">
      <text>
        <r>
          <rPr>
            <sz val="9"/>
            <color indexed="81"/>
            <rFont val="Tahoma"/>
            <family val="2"/>
          </rPr>
          <t>-01/08
     - Envío Mail con nuevo procedimiento de aceptación de Presupuesto en Acta.
-12/09
     - Lo coge la compañera y le pasará aviso para que me llame
-15/09
     - Tiene las Asambleas durante los próximos meses (no las puede tener todas de golpe)
     - Nos tiene presentes... "vamos a trabajar juntos seguro".
     - Me irá avisando
-12/11
     - Le dejo aviso a un compañero para que nos llame
-29/01
     - Tienen hoy la Asamblea
-08/04/26
     - ML PRESUPUESTO PENDIENTE (1 DE 3)
-09/04/26
     - Les informo de que este proyecto finalmente no ha salido adelante</t>
        </r>
      </text>
    </comment>
    <comment ref="S112" authorId="0" shapeId="0">
      <text>
        <r>
          <rPr>
            <b/>
            <sz val="9"/>
            <color indexed="81"/>
            <rFont val="Tahoma"/>
            <family val="2"/>
          </rPr>
          <t>23/03 REENVIAMOS PRESUPUESTO MODIFICADO</t>
        </r>
      </text>
    </comment>
    <comment ref="S114" authorId="0" shapeId="0">
      <text>
        <r>
          <rPr>
            <b/>
            <sz val="9"/>
            <color indexed="81"/>
            <rFont val="Tahoma"/>
            <family val="2"/>
          </rPr>
          <t>23/03 REENVIAMOS PRESUPUESTO MODIFICADO</t>
        </r>
      </text>
    </comment>
    <comment ref="O120" authorId="0" shapeId="0">
      <text>
        <r>
          <rPr>
            <sz val="9"/>
            <color indexed="81"/>
            <rFont val="Tahoma"/>
            <family val="2"/>
          </rPr>
          <t>- 08/04/26
     - ML PRESUPUESTO PENDIENTE (1 DE 3)
- 20/04/2026
     - Aún no se ha decidido nada porque hay que llevarlo a Junta y creo que está prevista para Mayo o Junio.</t>
        </r>
      </text>
    </comment>
    <comment ref="O124" authorId="0" shapeId="0">
      <text>
        <r>
          <rPr>
            <sz val="9"/>
            <color indexed="81"/>
            <rFont val="Tahoma"/>
            <family val="2"/>
          </rPr>
          <t>-02/12
     - Nuestro precio lo veía bien (de los tres que tienen)
     - Está esperando conseguir mayoría
     - Le informo de la Subvención de EMASESA por IPREM
     - Le informo de la ventaja para echar los 2 pisos oKupados que tienen
     - Que lo llame a principios de febrero
-04/03
     - No contesta
-08/04/26
     - ML PRESUPUESTO PENDIENTE (1 DE 3)</t>
        </r>
      </text>
    </comment>
    <comment ref="O126" authorId="0" shapeId="0">
      <text>
        <r>
          <rPr>
            <sz val="9"/>
            <color indexed="81"/>
            <rFont val="Tahoma"/>
            <family val="2"/>
          </rPr>
          <t>-02/12
     - No contesta
-08/04/26
     - ML PRESUPUESTO PENDIENTE (1 DE 3)</t>
        </r>
      </text>
    </comment>
    <comment ref="O128" authorId="0" shapeId="0">
      <text>
        <r>
          <rPr>
            <sz val="9"/>
            <color indexed="81"/>
            <rFont val="Tahoma"/>
            <family val="2"/>
          </rPr>
          <t>-14/10
     - Quiere tener Asamblea el próximo fin de semana
     - Que lo llame a mediados de la semana que viene
-05/11
     - En esta semana intenta convocar Asamblea
     - Hay varios pisos alquilados con los dueños fuera de Sevilla
     - En cuanto tenga respuesta nos avisa... agradece nuestro interés
-02/12
     - Tienen Asamblea la semana que viene
    - Siguen adelante porque tienen interés
     - Que lo llame a mediados de mes
-05&gt;/03
     - Buzón de voz
-08/04/26
     - ML PRESUPUESTO PENDIENTE (1 DE 3)</t>
        </r>
      </text>
    </comment>
    <comment ref="O129" authorId="0" shapeId="0">
      <text>
        <r>
          <rPr>
            <sz val="9"/>
            <color indexed="81"/>
            <rFont val="Tahoma"/>
            <family val="2"/>
          </rPr>
          <t>-09/10
     - Lo coge su compañera
     - Le pasa recado
-05/11
     - Tienen la Asamblea en diciembre
     - Llamar la primera semana
-08/04/26
     - ML PRESUPUESTO PENDIENTE (1 DE 3)
-09/04/2026
     - Aun estamos recopilando documentación.
-09/04/2026
     - ML (No entendemos a qué se refiere... han aprobado el presupuesto y están pidiendo la documentación a los vecinos?... o es otra documentación)</t>
        </r>
      </text>
    </comment>
    <comment ref="O130" authorId="0" shapeId="0">
      <text>
        <r>
          <rPr>
            <sz val="9"/>
            <color indexed="81"/>
            <rFont val="Tahoma"/>
            <family val="2"/>
          </rPr>
          <t>-08/04/26
     - ML PRESUPUESTO PENDIENTE (1 DE 3)
-09/04/26
     - Dicha comunidad tenemos reunion próximamente y se llevara a la misma.</t>
        </r>
      </text>
    </comment>
    <comment ref="O131" authorId="0" shapeId="0">
      <text>
        <r>
          <rPr>
            <sz val="9"/>
            <color indexed="81"/>
            <rFont val="Tahoma"/>
            <family val="2"/>
          </rPr>
          <t>-02/02
     - Quiere montar la Asamblea en febrero
     - Que la llame a ppios de marzo
-08/04/26
     - ML PRESUPUESTO PENDIENTE (1 DE 3)
-08/04/26
     - Como te comenté ayer por teléfono, de momento han decidido soportar la carga de la factura de agua con subida de cuota ordinaria, más establecer cuotas extraordinarias ya que el edificio necesita mantenimiento en azotea.
     - Sumaron importes y prefirieron esta alternativa, aunque no descartan volver a valorar a finales de año, noviembre, con nueva reunión.</t>
        </r>
      </text>
    </comment>
    <comment ref="O132" authorId="0" shapeId="0">
      <text>
        <r>
          <rPr>
            <sz val="9"/>
            <color indexed="81"/>
            <rFont val="Tahoma"/>
            <family val="2"/>
          </rPr>
          <t>-08/04/26
     - ML PRESUPUESTO PENDIENTE (1 DE 3)
-09/04/26
     - Finalmente seleccionaron otra empresa.</t>
        </r>
      </text>
    </comment>
    <comment ref="O133" authorId="0" shapeId="0">
      <text>
        <r>
          <rPr>
            <sz val="9"/>
            <color indexed="81"/>
            <rFont val="Tahoma"/>
            <family val="2"/>
          </rPr>
          <t>-08/04/26
     - ML PRESUPUESTO PENDIENTE (1 DE 3)</t>
        </r>
      </text>
    </comment>
    <comment ref="O134" authorId="0" shapeId="0">
      <text>
        <r>
          <rPr>
            <b/>
            <sz val="9"/>
            <color indexed="81"/>
            <rFont val="Tahoma"/>
            <family val="2"/>
          </rPr>
          <t>-04/06/25
     - Confirma recepción.
     -Está pendiente de convocar Asamblea.
     -Llamar en 10 días
-12/06/25
     - Reenvío Pto actualizado a nueva versión
-10/07/25
     - Disculpas por no haber sido posible el contacto telefónico.
     - No obstante le he tenido presente y también su presupuesto, se lo he presentado a la comunidad quien de momento ha declinado su oferta.
     - Aunque lo lamento personalmente, quisiera seguir contando con sus servicios para otra ocasión.
-15/12/25
     - Envían Mail
     - Hola buenos días, soy Juan Rodríguez, presidente del bloque 110 de la barriada Nstra Sra de la Oliva.
     - Nos gustaría retomar el proyecto de individualización de contadores.
     - Necesito saber cómo proceder, pues ya hemos hecho una reunión y se aprobó la individualización de contadores.
     - Muchas gracias de antemano.
     - ACEPTADO
- ENVIO DOC ADMIN/PRESIDENTE
          - 16/12
- RECIBO LISTADO
          - 19/12
- ENVIO DOC VECINOS
          - ENVIO: 22/12
          - AVISO 1: 15/01
          - AVISO 2: 04/02
          - AVISO: 12/02 Ml Admin
          - AVISO: 17/02 Wh Admin
          - AVISO: 19/02 Tf y Wh Admin
- 11/03/26
     - EMASESA cambia el punto de conexión tras la reja
- 13/03/26
     - Revisamos y enviamos Pto al Pte
- 16/03/26
     - Le doy al Pte la solución de eliminar la cancela 
     - Dice que lo consulta y me contesta
- 16/03/26
     - En principio lo van a descartar</t>
        </r>
      </text>
    </comment>
    <comment ref="O135" authorId="0" shapeId="0">
      <text>
        <r>
          <rPr>
            <sz val="9"/>
            <color indexed="81"/>
            <rFont val="Tahoma"/>
            <family val="2"/>
          </rPr>
          <t>-08/04/26
     - ML PRESUPUESTO PENDIENTE (1 DE 3)
-09/04/26
     - Finalmente seleccionaron otra empresa.</t>
        </r>
      </text>
    </comment>
    <comment ref="O136" authorId="0" shapeId="0">
      <text>
        <r>
          <rPr>
            <sz val="9"/>
            <color indexed="81"/>
            <rFont val="Tahoma"/>
            <family val="2"/>
          </rPr>
          <t>-08/04/26
     - ML PRESUPUESTO PENDIENTE (1 DE 3)
-09/04/26
     - Esta comunidad todavía no se ha reunido para tratar el asunto de momento.</t>
        </r>
      </text>
    </comment>
    <comment ref="O138" authorId="0" shapeId="0">
      <text>
        <r>
          <rPr>
            <sz val="9"/>
            <color indexed="81"/>
            <rFont val="Tahoma"/>
            <family val="2"/>
          </rPr>
          <t>-08/04/26
     - ML PRESUPUESTO PENDIENTE (1 DE 3)</t>
        </r>
      </text>
    </comment>
    <comment ref="O142" authorId="0" shapeId="0">
      <text>
        <r>
          <rPr>
            <sz val="9"/>
            <color indexed="81"/>
            <rFont val="Tahoma"/>
            <family val="2"/>
          </rPr>
          <t>-13/06
     - No ha convocado Asamblea aún.
     - Pidió el Presupuesto a título personal y ahora está buscando a los vecinos para explicárselo y si hay suficientes deacuerdo pues hacerlo
     - Que ya me llamará si eso
-01/08
     - Envío Mail con nuevo procedimiento de aceptación de Presupuesto en Acta.
-15/09
     - Con las vacaciones de por medio sigue pendiente de localizar al Administrador para hacer consulta a los vecinos
     - Que lo llame en un mes
-05/11
     - El próximo sábado tienen Asamblea
     - Hay problemas de humedades y piensa que lo van a priorizar
     - Que lo llame el lunes
-12/11
     - Me dice que el asunto lo lleva a partir de ahora su gestoría y me da el contacto
-14/11
     - Reenvío Presupuesto actualizado (Rev15)(Aumenta por actualizar el Beneficio del 5% al 20%)
-02/12
     - No contesta
-08/04/26
     - ML PRESUPUESTO PENDIENTE (1 DE 3)
-09/12/26
     - Sí seguimos interesados, sólo que los trámites con las comunidades suelen ser lentos.</t>
        </r>
      </text>
    </comment>
    <comment ref="M144" authorId="0" shapeId="0">
      <text>
        <r>
          <rPr>
            <b/>
            <sz val="9"/>
            <color indexed="81"/>
            <rFont val="Tahoma"/>
            <family val="2"/>
          </rPr>
          <t>Envío Pto 09/07/25
Envío Pto revisado 03/02/26</t>
        </r>
      </text>
    </comment>
    <comment ref="O144" authorId="0" shapeId="0">
      <text>
        <r>
          <rPr>
            <sz val="9"/>
            <color indexed="81"/>
            <rFont val="Tahoma"/>
            <family val="2"/>
          </rPr>
          <t>- Están pendientes de recibir otros presupuestos y decidirse
-14/11/26
     - JM llama y Sonia le dice que pasó el Presupuesto a los vecinos pero no han contestado
     - Va a consultarles
-20/11/25
     - No contesta
-21/11/25
     - Dice una compañera que me devuelven la llamada
-29/01/26
     - Tienen Asamblea el 10 de febrero
-8/04/26
     - ML PRESUPUESTO PENDIENTE (1 DE 3)
-16/04/26
     - Les informo que el presupuesto no ha sido aceptado, seguimos en contacto para otros presupuestos.
-16/04/26
     - Muchas gracias... seguimos a su disposición para otros proyectos...
... no obstante, nos podrían indicar el motivo de la no aceptación (precio, decisión de no individualizar los contadores, otros...)?</t>
        </r>
      </text>
    </comment>
    <comment ref="M145" authorId="0" shapeId="0">
      <text>
        <r>
          <rPr>
            <b/>
            <sz val="9"/>
            <color indexed="81"/>
            <rFont val="Tahoma"/>
            <family val="2"/>
          </rPr>
          <t>Envío Pto 15/10/25
Envío Pto revisado 06/03/26</t>
        </r>
      </text>
    </comment>
    <comment ref="O145" authorId="0" shapeId="0">
      <text>
        <r>
          <rPr>
            <sz val="9"/>
            <color indexed="81"/>
            <rFont val="Tahoma"/>
            <family val="2"/>
          </rPr>
          <t>-12/11
     - Que lo llame por la tarde porque está trabajando
-20/11
     - Que está trabajando
     - Que le va a pasar nuestro contacto al nuevo Presidente para que se ponga en contacto con nosotros
-04/03/26
     - Les sigue interesando
     - Que se lo re-envíe para verlo con los vecinos (le he dicho que lo revisaremos)
     - Dice que el viernes por la tarde me contesta con lo que hayan visto
-13/03
     - Ml Presupuesto revisado a Pte
-15/03
- Confirma recepción
-08/04/26
     - ML PRESUPUESTO PENDIENTE (1 DE 3)</t>
        </r>
      </text>
    </comment>
    <comment ref="O146" authorId="0" shapeId="0">
      <text>
        <r>
          <rPr>
            <sz val="9"/>
            <color indexed="81"/>
            <rFont val="Tahoma"/>
            <family val="2"/>
          </rPr>
          <t>-04/07
     - Van a pedir la derrama y cuando tengan el dinero entonces nos avisan
-30/07
    -Tienen previsto aprobar el Presupuesto en septiembre
    - Quieren reunir el dinero en 3 ó 4 meses antes de comenzar
     - Llamar 01/09
-01/08
     - Envío Mail con nuevo procedimiento de aceptación de Presupuesto en Acta.
-01/09
     - Este mes de septiembre van a tener Asamblea para decidir si lo hacen y si van reuniendo el dinero.
     - Llamar a mediados de octubre
-16/10
     - JM llama a Estanis y le dice que siguen reuniendo el dinero
-08/04/26
     - ML PRESUPUESTO PENDIENTE (1 DE 3)</t>
        </r>
      </text>
    </comment>
    <comment ref="M150" authorId="0" shapeId="0">
      <text>
        <r>
          <rPr>
            <b/>
            <sz val="9"/>
            <color indexed="81"/>
            <rFont val="Tahoma"/>
            <family val="2"/>
          </rPr>
          <t>Envío Pto 25/07/25
Envío Pto revisado 21/04/26</t>
        </r>
      </text>
    </comment>
    <comment ref="O150" authorId="0" shapeId="0">
      <text>
        <r>
          <rPr>
            <sz val="9"/>
            <color indexed="81"/>
            <rFont val="Tahoma"/>
            <family val="2"/>
          </rPr>
          <t>-25/07
     - Que la llame en 2 semanas a ver si le ha dado tiempo a convocar Asamblea
-01/08
     - Envío Mail con nuevo procedimiento de aceptación de Presupuesto en Acta.
-15/09
     - No ha hecho aún la Asamblea por que los vecinos no habían llegado de las vacaciones, pero en esta semana la tienen
     - Ha pedido otro presupuesto pero "no han dicho ni mú".
     - Que la llame en 15 días
-29/09
    - No contesta
-30/09
     - No contesta
     - WHATSAPP PERSECUCION ACEPTACION (COMUNICA)
     - Disculpen si no he cogido el teléfono, pero he estado de médicos. Ya me pondré cuando termine en contacto con ustedes.
-09/10
     - No contesta
-13/10
     - Les vuelvo a pedir disculpas por la tardanza en ponerme en contacto.
     - Pero es que aun la comunidad no se pone de acuerdo en lo de poner los contadores individuales.
     - Así que hasta que algunos vecinos no lo tengan claro no lo podremos hacer.
     - Disculpen las molestias si consigo que haya mayoría volveré a ponerme en contacto con vosotros.
- 23/03
     - El año pasado os pedí presupuesto para poner los contadores individuales,no pudo ser porque no hubo consenso.
     - Este año lo hemos propuesto otra vez y los vecinos están más de acuerdo.
     - Por eso quisiera me volváis a dar el presupuesto para proponerlo a la comunidad.</t>
        </r>
      </text>
    </comment>
    <comment ref="O153" authorId="0" shapeId="0">
      <text>
        <r>
          <rPr>
            <sz val="9"/>
            <color indexed="81"/>
            <rFont val="Tahoma"/>
            <family val="2"/>
          </rPr>
          <t>-12/09
     - Lo coge la compañera y le pasará aviso para que me llame
-15/09
     - Tiene las Asambleas durante los próximos meses (no las puede tener todas de golpe)
     - Nos tiene presentes... "vamos a trabajar juntos seguro".
     - Me irá avisando
-12/11
     - Le dejo aviso a un compañero para que nos llame
-29/01
     - Tienen Asamblea en abril
     - Le ve buen color
-08/04/26
     - ML PRESUPUESTO PENDIENTE (1 DE 3)
-09/04/2026
     - Aún no se han tratado en la junta de propietarios. Les mantendremos informados sobre cualquier novedad al respecto.</t>
        </r>
      </text>
    </comment>
    <comment ref="O154" authorId="0" shapeId="0">
      <text>
        <r>
          <rPr>
            <sz val="9"/>
            <color indexed="81"/>
            <rFont val="Tahoma"/>
            <family val="2"/>
          </rPr>
          <t>-04/02
     - Confirma recepción
- 08/04/26
     - ML PRESUPUESTO PENDIENTE (1 DE 3)
-09/04/26
     - Llevaremos su presupuesto a la próxima junta.</t>
        </r>
      </text>
    </comment>
    <comment ref="O155" authorId="0" shapeId="0">
      <text>
        <r>
          <rPr>
            <sz val="9"/>
            <color indexed="81"/>
            <rFont val="Tahoma"/>
            <family val="2"/>
          </rPr>
          <t>-15/09
     - Lo consulta con su compañero y me llama
-29/09
     - No han tenido Asamblea aún.
     - Llamar en 3 semanas que prevé que se hayan celebrado)
-05/11
     - Esta tarde me dicen algo
-12/11
     - Aún están pendientes de Asamblea
-08/04/26
- ML PRESUPUESTO PENDIENTE (1 DE 3)
10/04/26
     - No se ha aprobado el presupuesto.
11/04/26
     - Muchas gracias... quedamos a su disposición para otros proyectos...
     - no obstante, podría confirmarnos el motivo? (no van a hacerlo, lo posponen, otro presupuesto más económico...)
13/04/26
- No, de momento han decidido no hacer nada.</t>
        </r>
      </text>
    </comment>
    <comment ref="O157" authorId="0" shapeId="0">
      <text>
        <r>
          <rPr>
            <sz val="9"/>
            <color indexed="81"/>
            <rFont val="Tahoma"/>
            <family val="2"/>
          </rPr>
          <t>-21/10
     - Si lo hiciéramos sin contar con la ayuda de EMASESA, podría abaratarse alguna partida?
-05/11
     - No contesta
-06/11
     - Han pedido (no Ignacio Meana, el otro vecino  que estuvo en la visita)cita con EMASESA para "confirmar lo que les dijimos" en cuanto al nº de tomas de la batería... ya ves... y se la han dado a fin de mes.
     - Que lo llame a principios de diciembre.
-29/01
     - HIcieron las gestiones
     - Los del 1º han pedido una toma independiente y EMASESA se la concedió... han presentado una reclamación a EMASESA
     - Les ha dicho EMASESA que puede haber problemas con URBANISMO por las tuberías por fachada y están investigando
     - Siguen interesados
     - Dice que lo llame en mes y medio
-08/04/26
- ML PRESUPUESTO PENDIENTE (1 DE 3)</t>
        </r>
      </text>
    </comment>
    <comment ref="M162" authorId="0" shapeId="0">
      <text>
        <r>
          <rPr>
            <b/>
            <sz val="9"/>
            <color indexed="81"/>
            <rFont val="Tahoma"/>
            <charset val="1"/>
          </rPr>
          <t>Envío Pto 25/07/25
Envío Pto revisado 21/04/26</t>
        </r>
      </text>
    </comment>
    <comment ref="O171" authorId="0" shapeId="0">
      <text>
        <r>
          <rPr>
            <sz val="9"/>
            <color indexed="81"/>
            <rFont val="Tahoma"/>
            <family val="2"/>
          </rPr>
          <t>-09/04
     - Quedamos pendientes de que confirmen si quieren PTO</t>
        </r>
      </text>
    </comment>
    <comment ref="O173" authorId="0" shapeId="0">
      <text>
        <r>
          <rPr>
            <sz val="9"/>
            <color indexed="81"/>
            <rFont val="Tahoma"/>
            <family val="2"/>
          </rPr>
          <t>-12/09
     - Fuera de cobertura
-15/09
     - No contestan ninguno de los dos
     - Envío WHATSAPP PERSECUCION ACEPTACION
     - Lo recibe... lo va a comentar con el Administrador y mañana me llama (no creo que lo haga.... llamarlo yo la semana que viene)
-29/09 (Juan Antonio es vecino, no Administrador)
     - Tienen aprobado el cambio de contadores
     - Están pendientes de Asamblea este mes de octubre
     - Tienen pedidos 2 Presupuestos más (nos llamarán por si ven que tenemos que hacer algo)
     - Llamar a finales de octubre
-05/11
     - Aún no han tenido la Asamblea
     - Tienen problema con el saneamiento y quizá lo prioricen
-02/12
     - Aún no han hecho Asamblea
     - Prevé hacerla este mes, pero que lo llame a finales de enero
-29/01
     - Aún no han hecho Asamblea
     - Prevé hacerla este mes, pero que lo llame a finales de febrero
 -08/04/26
     - ML PRESUPUESTO PENDIENTE (1 DE 3)
- 09/04/2026
     - Por otras cuestiones mas urgentes de la comunidad no se ha tomado aún una decisión.
     - Se está pendiente de reunión a lo largo del mes de abril o primeros de mayo.</t>
        </r>
      </text>
    </comment>
    <comment ref="O176" authorId="0" shapeId="0">
      <text>
        <r>
          <rPr>
            <sz val="9"/>
            <color indexed="81"/>
            <rFont val="Tahoma"/>
            <family val="2"/>
          </rPr>
          <t>-22/07
     - Llamar en septiembre
-01/08
     - Envío Mail con nuevo procedimiento de aceptación de Presupuesto en Acta.
-12/09
     - Lo coge la compañera y le pasará aviso para que me llame
-15/09
     - Tiene las Asambleas durante los próximos meses (no las puede tener todas de golpe)
     - Nos tiene presentes... "vamos a trabajar juntos seguro".
     - Me irá avisando
-12/11
     - Le dejo aviso a un compañero para que nos llame
-29/01
     - Tienen Asamblea en marzo
-08/04/26
     - ML PRESUPUESTO PENDIENTE (1 DE 3)
-09/04/2026
     - Aún no se han tratado en la junta de propietarios. Les mantendremos informados sobre cualquier novedad al respecto.</t>
        </r>
      </text>
    </comment>
    <comment ref="O177" authorId="0" shapeId="0">
      <text>
        <r>
          <rPr>
            <b/>
            <sz val="9"/>
            <color indexed="81"/>
            <rFont val="Tahoma"/>
            <family val="2"/>
          </rPr>
          <t>-19/02/26
     - JM me dice que lo han Pre-aceptado
     - A falta de Asamblea para Re-confirmación</t>
        </r>
      </text>
    </comment>
    <comment ref="O179" authorId="0" shapeId="0">
      <text>
        <r>
          <rPr>
            <sz val="9"/>
            <color indexed="81"/>
            <rFont val="Tahoma"/>
            <family val="2"/>
          </rPr>
          <t>-26/05
     - Están pendientes de convocar Asamblea
-05/06
     - Tienen Asamblea a mediados de junio... llamar entonces
-08/07
     - Hasta septiembre no van a decidir
     - Llamar a 1/2 de septiembre
-01/08
     - Envío Mail con nuevo procedimiento de aceptación de Presupuesto en Acta.
-08/09
     - Aprovecho que tengo que llamar para PLAN CINCO CCPP LUCEROS 4 y pregunto
     - Aún no tienen Asamblea
-29/09
     - Tienen problemas de humedades y van a priorizarlo
-29/01
     - Aún no han decidido 
-08/04/26
     - ML PRESUPUESTO PENDIENTE (1 DE 3)
-13/04
     - Lo llamo por TF y dice que tienen Asamblea después de feria
-16/04/26
     - Este presupuesto se ha dejado de momento aparcado y tratar en la próxima Junta de propietarios.</t>
        </r>
      </text>
    </comment>
    <comment ref="O182" authorId="0" shapeId="0">
      <text>
        <r>
          <rPr>
            <sz val="9"/>
            <color indexed="81"/>
            <rFont val="Tahoma"/>
            <family val="2"/>
          </rPr>
          <t>-08/04/26
     - ML PRESUPUESTO PENDIENTE (1 DE 3)
-13/04/26
     - Dice que tiene Asamblea después de Feria
     - Presentará sólo nuestro Pto para conseguir que lo acepten con la FFCC
     - Que lo más seguro que nos diga que asistamos para resolver las dudas técnicas (a ver si nos traemos el Contrato firmado como en C.Chiva 7)</t>
        </r>
      </text>
    </comment>
    <comment ref="O183" authorId="0" shapeId="0">
      <text>
        <r>
          <rPr>
            <sz val="9"/>
            <color indexed="81"/>
            <rFont val="Tahoma"/>
            <family val="2"/>
          </rPr>
          <t>-08/04/26
     - ML PRESUPUESTO PENDIENTE (1 DE 3)</t>
        </r>
      </text>
    </comment>
  </commentList>
</comments>
</file>

<file path=xl/comments2.xml><?xml version="1.0" encoding="utf-8"?>
<comments xmlns="http://schemas.openxmlformats.org/spreadsheetml/2006/main">
  <authors>
    <author>Autor</author>
  </authors>
  <commentList>
    <comment ref="E7" authorId="0" shapeId="0">
      <text>
        <r>
          <rPr>
            <b/>
            <sz val="9"/>
            <color indexed="81"/>
            <rFont val="Tahoma"/>
            <family val="2"/>
          </rPr>
          <t>13/04/26 Dice que ha enviado la documentación a la Administradora</t>
        </r>
      </text>
    </comment>
    <comment ref="E8" authorId="0" shapeId="0">
      <text>
        <r>
          <rPr>
            <b/>
            <sz val="9"/>
            <color indexed="81"/>
            <rFont val="Tahoma"/>
            <family val="2"/>
          </rPr>
          <t>13/04/26 No contesta
15/04/26 No tenía las instrucciones… se las he enviado… la vivienda está a nombre de su madre, fallecida… no hicieron testamento… le comento que envíe el certificado de defuncion de su madre, el de nacimiento suyo y el libro de familia a ver si EMASESA lo ve así suficiente</t>
        </r>
      </text>
    </comment>
    <comment ref="J8" authorId="0" shapeId="0">
      <text>
        <r>
          <rPr>
            <b/>
            <sz val="9"/>
            <color indexed="81"/>
            <rFont val="Tahoma"/>
            <charset val="1"/>
          </rPr>
          <t>- CERTIFICADO DEFUNCION
- LIBRO FAMILIA</t>
        </r>
      </text>
    </comment>
    <comment ref="E10" authorId="0" shapeId="0">
      <text>
        <r>
          <rPr>
            <b/>
            <sz val="9"/>
            <color indexed="81"/>
            <rFont val="Tahoma"/>
            <family val="2"/>
          </rPr>
          <t>13/04/26 No tenía las instrucciones… se las he enviado… dice que entre hoy y mañana lo envía</t>
        </r>
      </text>
    </comment>
    <comment ref="E13" authorId="0" shapeId="0">
      <text>
        <r>
          <rPr>
            <b/>
            <sz val="9"/>
            <color indexed="81"/>
            <rFont val="Tahoma"/>
            <family val="2"/>
          </rPr>
          <t>14/04/26 Contestador
15/04/26 Contestador
17/04/26 Contestador
30/04/26 Contestador</t>
        </r>
      </text>
    </comment>
    <comment ref="E14" authorId="0" shapeId="0">
      <text>
        <r>
          <rPr>
            <b/>
            <sz val="9"/>
            <color indexed="81"/>
            <rFont val="Tahoma"/>
            <family val="2"/>
          </rPr>
          <t>13/04/26 No tenía las instrucciones… se las he enviado… dice que va a hablar con la Administadora
17/04/26 Dice que el martes que viene su hija nos envía la documentación… está esperando Certificado de defunción</t>
        </r>
      </text>
    </comment>
  </commentList>
</comments>
</file>

<file path=xl/comments3.xml><?xml version="1.0" encoding="utf-8"?>
<comments xmlns="http://schemas.openxmlformats.org/spreadsheetml/2006/main">
  <authors>
    <author>Autor</author>
  </authors>
  <commentList>
    <comment ref="E6" authorId="0" shapeId="0">
      <text>
        <r>
          <rPr>
            <b/>
            <sz val="9"/>
            <color indexed="81"/>
            <rFont val="Tahoma"/>
            <family val="2"/>
          </rPr>
          <t>30/03 Mujer pidiéndome mi nombre completo
13/04 La misma mujer me pregunta cuánto cuesta, dónde esta el Administrador y su teléfono (se lo doy)</t>
        </r>
      </text>
    </comment>
    <comment ref="E8" authorId="0" shapeId="0">
      <text>
        <r>
          <rPr>
            <b/>
            <sz val="9"/>
            <color indexed="81"/>
            <rFont val="Tahoma"/>
            <family val="2"/>
          </rPr>
          <t>30/03 Buzón
13/04 Buzón</t>
        </r>
      </text>
    </comment>
    <comment ref="E12" authorId="0" shapeId="0">
      <text>
        <r>
          <rPr>
            <b/>
            <sz val="9"/>
            <color indexed="81"/>
            <rFont val="Tahoma"/>
            <family val="2"/>
          </rPr>
          <t>30/03 Buzón</t>
        </r>
      </text>
    </comment>
    <comment ref="J12" authorId="0" shapeId="0">
      <text>
        <r>
          <rPr>
            <b/>
            <sz val="9"/>
            <color indexed="81"/>
            <rFont val="Tahoma"/>
            <family val="2"/>
          </rPr>
          <t>IMPRESO SOLICITUD CONTADOR UNICO</t>
        </r>
      </text>
    </comment>
    <comment ref="J16" authorId="0" shapeId="0">
      <text>
        <r>
          <rPr>
            <b/>
            <sz val="9"/>
            <color indexed="81"/>
            <rFont val="Tahoma"/>
            <family val="2"/>
          </rPr>
          <t>DOCUMENTO PISO UNIDO</t>
        </r>
      </text>
    </comment>
    <comment ref="E18" authorId="0" shapeId="0">
      <text>
        <r>
          <rPr>
            <b/>
            <sz val="9"/>
            <color indexed="81"/>
            <rFont val="Tahoma"/>
            <family val="2"/>
          </rPr>
          <t>30/03 Dice que mañana se pasa por tu oficina para dejarlo listo
13/04 Dice que mañana se pasa por tu oficina para dejarlo listo</t>
        </r>
      </text>
    </comment>
    <comment ref="E20" authorId="0" shapeId="0">
      <text>
        <r>
          <rPr>
            <b/>
            <sz val="9"/>
            <color indexed="81"/>
            <rFont val="Tahoma"/>
            <family val="2"/>
          </rPr>
          <t>30/03 No contesta
13/04 No contesta</t>
        </r>
      </text>
    </comment>
    <comment ref="E21" authorId="0" shapeId="0">
      <text>
        <r>
          <rPr>
            <b/>
            <sz val="9"/>
            <color indexed="81"/>
            <rFont val="Tahoma"/>
            <family val="2"/>
          </rPr>
          <t>30/03 Dice que se va a pasar por tu oficina
13/04 No contesta</t>
        </r>
      </text>
    </comment>
    <comment ref="E26" authorId="0" shapeId="0">
      <text>
        <r>
          <rPr>
            <b/>
            <sz val="9"/>
            <color indexed="81"/>
            <rFont val="Tahoma"/>
            <family val="2"/>
          </rPr>
          <t>30/03 No contesta
13/04 No contesta</t>
        </r>
      </text>
    </comment>
    <comment ref="E27" authorId="0" shapeId="0">
      <text>
        <r>
          <rPr>
            <b/>
            <sz val="9"/>
            <color indexed="81"/>
            <rFont val="Tahoma"/>
            <family val="2"/>
          </rPr>
          <t>30/03 Lo va a enviar… dice que no estaba de acuerdo con el cambio</t>
        </r>
      </text>
    </comment>
    <comment ref="J28" authorId="0" shapeId="0">
      <text>
        <r>
          <rPr>
            <b/>
            <sz val="9"/>
            <color indexed="81"/>
            <rFont val="Tahoma"/>
            <family val="2"/>
          </rPr>
          <t>DOCUMENTO PISO UNIDO</t>
        </r>
      </text>
    </comment>
    <comment ref="E35" authorId="0" shapeId="0">
      <text>
        <r>
          <rPr>
            <b/>
            <sz val="9"/>
            <color indexed="81"/>
            <rFont val="Tahoma"/>
            <family val="2"/>
          </rPr>
          <t>30/03 No contesta
13/04 No contesta</t>
        </r>
      </text>
    </comment>
  </commentList>
</comments>
</file>

<file path=xl/comments4.xml><?xml version="1.0" encoding="utf-8"?>
<comments xmlns="http://schemas.openxmlformats.org/spreadsheetml/2006/main">
  <authors>
    <author>Autor</author>
  </authors>
  <commentList>
    <comment ref="E7" authorId="0" shapeId="0">
      <text>
        <r>
          <rPr>
            <b/>
            <sz val="9"/>
            <color indexed="81"/>
            <rFont val="Tahoma"/>
            <family val="2"/>
          </rPr>
          <t>30/03 Fuera de cobertura</t>
        </r>
      </text>
    </comment>
    <comment ref="J7" authorId="0" shapeId="0">
      <text>
        <r>
          <rPr>
            <b/>
            <sz val="9"/>
            <color indexed="81"/>
            <rFont val="Tahoma"/>
            <family val="2"/>
          </rPr>
          <t>USUFRUCTO Y CERTIFICADO NACIMIENTO</t>
        </r>
      </text>
    </comment>
    <comment ref="E11" authorId="0" shapeId="0">
      <text>
        <r>
          <rPr>
            <b/>
            <sz val="9"/>
            <color indexed="81"/>
            <rFont val="Tahoma"/>
            <family val="2"/>
          </rPr>
          <t>El Titular ha fallecido y están esperando para abrir la Herencia
30/03 No contesta
13/04 Buenas tardes. Acabo de ver la llamada, que estaba en el coche. He podido hablar con mi gestora y me dice que en 2 o 3 semanas debería estar todo listo y a mí nombre, que ha habido retrasos en la documentación por la semana santa y la feria la próxima semana</t>
        </r>
      </text>
    </comment>
    <comment ref="E18" authorId="0" shapeId="0">
      <text>
        <r>
          <rPr>
            <b/>
            <sz val="9"/>
            <color indexed="81"/>
            <rFont val="Tahoma"/>
            <family val="2"/>
          </rPr>
          <t>30/03 Buzón</t>
        </r>
      </text>
    </comment>
    <comment ref="J18" authorId="0" shapeId="0">
      <text>
        <r>
          <rPr>
            <b/>
            <sz val="9"/>
            <color indexed="81"/>
            <rFont val="Tahoma"/>
            <family val="2"/>
          </rPr>
          <t>ESCRITURA ACEPTACION HERENCIA</t>
        </r>
      </text>
    </comment>
    <comment ref="E19" authorId="0" shapeId="0">
      <text>
        <r>
          <rPr>
            <b/>
            <sz val="9"/>
            <color indexed="81"/>
            <rFont val="Tahoma"/>
            <family val="2"/>
          </rPr>
          <t>30/03 No contesta
13/04 No contesta</t>
        </r>
      </text>
    </comment>
    <comment ref="J22" authorId="0" shapeId="0">
      <text>
        <r>
          <rPr>
            <b/>
            <sz val="9"/>
            <color indexed="81"/>
            <rFont val="Tahoma"/>
            <family val="2"/>
          </rPr>
          <t>DECLARACION DE HEREDEROS</t>
        </r>
      </text>
    </comment>
    <comment ref="J23" authorId="0" shapeId="0">
      <text>
        <r>
          <rPr>
            <b/>
            <sz val="9"/>
            <color indexed="81"/>
            <rFont val="Tahoma"/>
            <family val="2"/>
          </rPr>
          <t>USUFRUCTO Y CERTIFICADO DE NACIMIENTO</t>
        </r>
      </text>
    </comment>
    <comment ref="J31" authorId="0" shapeId="0">
      <text>
        <r>
          <rPr>
            <b/>
            <sz val="9"/>
            <color indexed="81"/>
            <rFont val="Tahoma"/>
            <family val="2"/>
          </rPr>
          <t>Sentencia Judicial de cuidadora y Libro de familia</t>
        </r>
      </text>
    </comment>
    <comment ref="E32" authorId="0" shapeId="0">
      <text>
        <r>
          <rPr>
            <b/>
            <sz val="9"/>
            <color indexed="81"/>
            <rFont val="Tahoma"/>
            <family val="2"/>
          </rPr>
          <t>Vivienda de Dirección General de Patrimonio del Estado
13/04 envío ML con Instrucciones EMASESA y apercibimiento de "disidencia"
28/04 vuelvo a mandar mail por error de envío y le vuelvo a explicar la situación por teléfono</t>
        </r>
      </text>
    </comment>
    <comment ref="K34" authorId="0" shapeId="0">
      <text>
        <r>
          <rPr>
            <b/>
            <sz val="9"/>
            <color indexed="81"/>
            <rFont val="Tahoma"/>
            <family val="2"/>
          </rPr>
          <t>DNI Y LIBRO FAMILIA</t>
        </r>
      </text>
    </comment>
  </commentList>
</comments>
</file>

<file path=xl/comments5.xml><?xml version="1.0" encoding="utf-8"?>
<comments xmlns="http://schemas.openxmlformats.org/spreadsheetml/2006/main">
  <authors>
    <author>Autor</author>
  </authors>
  <commentList>
    <comment ref="E8" authorId="0" shapeId="0">
      <text>
        <r>
          <rPr>
            <b/>
            <sz val="9"/>
            <color indexed="81"/>
            <rFont val="Tahoma"/>
            <family val="2"/>
          </rPr>
          <t>19/03 Fuera de cobertura</t>
        </r>
      </text>
    </comment>
    <comment ref="E16" authorId="0" shapeId="0">
      <text>
        <r>
          <rPr>
            <b/>
            <sz val="9"/>
            <color indexed="81"/>
            <rFont val="Tahoma"/>
            <family val="2"/>
          </rPr>
          <t>19/03 Dice que lo envía en media hora</t>
        </r>
      </text>
    </comment>
  </commentList>
</comments>
</file>

<file path=xl/comments6.xml><?xml version="1.0" encoding="utf-8"?>
<comments xmlns="http://schemas.openxmlformats.org/spreadsheetml/2006/main">
  <authors>
    <author>Autor</author>
  </authors>
  <commentList>
    <comment ref="J6" authorId="0" shapeId="0">
      <text>
        <r>
          <rPr>
            <b/>
            <sz val="9"/>
            <color indexed="81"/>
            <rFont val="Tahoma"/>
            <charset val="1"/>
          </rPr>
          <t xml:space="preserve"> - DECLARACION JURADA USO FINCA
- DNI'S Y LIBROS DE FAMILIA VARIOS</t>
        </r>
      </text>
    </comment>
  </commentList>
</comments>
</file>

<file path=xl/comments7.xml><?xml version="1.0" encoding="utf-8"?>
<comments xmlns="http://schemas.openxmlformats.org/spreadsheetml/2006/main">
  <authors>
    <author>Autor</author>
  </authors>
  <commentList>
    <comment ref="E5" authorId="0" shapeId="0">
      <text>
        <r>
          <rPr>
            <b/>
            <sz val="9"/>
            <color indexed="81"/>
            <rFont val="Tahoma"/>
            <family val="2"/>
          </rPr>
          <t>13/04/26 Titular difunto… es su marido… va a enviar todo con el Testamento y Certificado defunción mañana</t>
        </r>
      </text>
    </comment>
    <comment ref="J5" authorId="0" shapeId="0">
      <text>
        <r>
          <rPr>
            <b/>
            <sz val="9"/>
            <color indexed="81"/>
            <rFont val="Tahoma"/>
            <family val="2"/>
          </rPr>
          <t>TESTAMENTO</t>
        </r>
      </text>
    </comment>
    <comment ref="K5" authorId="0" shapeId="0">
      <text>
        <r>
          <rPr>
            <b/>
            <sz val="9"/>
            <color indexed="81"/>
            <rFont val="Tahoma"/>
            <family val="2"/>
          </rPr>
          <t>CERTIFICADO DEFUNCION</t>
        </r>
      </text>
    </comment>
    <comment ref="J7" authorId="0" shapeId="0">
      <text>
        <r>
          <rPr>
            <b/>
            <sz val="9"/>
            <color indexed="81"/>
            <rFont val="Tahoma"/>
            <family val="2"/>
          </rPr>
          <t>CERTIFICADOS DEFUNCION PADRES</t>
        </r>
      </text>
    </comment>
    <comment ref="K7" authorId="0" shapeId="0">
      <text>
        <r>
          <rPr>
            <b/>
            <sz val="9"/>
            <color indexed="81"/>
            <rFont val="Tahoma"/>
            <family val="2"/>
          </rPr>
          <t>CERTIFICADO NACIMENTO</t>
        </r>
      </text>
    </comment>
    <comment ref="J15" authorId="0" shapeId="0">
      <text>
        <r>
          <rPr>
            <b/>
            <sz val="9"/>
            <color indexed="81"/>
            <rFont val="Tahoma"/>
            <family val="2"/>
          </rPr>
          <t>TESTAMENTO</t>
        </r>
      </text>
    </comment>
    <comment ref="K15" authorId="0" shapeId="0">
      <text>
        <r>
          <rPr>
            <b/>
            <sz val="9"/>
            <color indexed="81"/>
            <rFont val="Tahoma"/>
            <family val="2"/>
          </rPr>
          <t>CERTIFICADO DEFUNCION</t>
        </r>
      </text>
    </comment>
  </commentList>
</comments>
</file>

<file path=xl/comments8.xml><?xml version="1.0" encoding="utf-8"?>
<comments xmlns="http://schemas.openxmlformats.org/spreadsheetml/2006/main">
  <authors>
    <author>Autor</author>
  </authors>
  <commentList>
    <comment ref="M3" authorId="0" shapeId="0">
      <text>
        <r>
          <rPr>
            <b/>
            <sz val="9"/>
            <color indexed="81"/>
            <rFont val="Tahoma"/>
            <family val="2"/>
          </rPr>
          <t>FIRMADO POR ADMINISTRADORA</t>
        </r>
      </text>
    </comment>
    <comment ref="M4" authorId="0" shapeId="0">
      <text>
        <r>
          <rPr>
            <b/>
            <sz val="9"/>
            <color indexed="81"/>
            <rFont val="Tahoma"/>
            <family val="2"/>
          </rPr>
          <t>NUESTRO MODELO Y SIN FIRMAR</t>
        </r>
      </text>
    </comment>
  </commentList>
</comments>
</file>

<file path=xl/sharedStrings.xml><?xml version="1.0" encoding="utf-8"?>
<sst xmlns="http://schemas.openxmlformats.org/spreadsheetml/2006/main" count="19653" uniqueCount="2615">
  <si>
    <t>---</t>
  </si>
  <si>
    <t>NUMERO DE MESES A FINANCIAR</t>
  </si>
  <si>
    <t>JUSTIFICANTE DE INGRESOS
(NOMINA, PENSION, ETC...)</t>
  </si>
  <si>
    <t>PISO</t>
  </si>
  <si>
    <t>TELEFONO</t>
  </si>
  <si>
    <t>ADMINISTRADOR</t>
  </si>
  <si>
    <t>PRESIDENTE</t>
  </si>
  <si>
    <t>NP</t>
  </si>
  <si>
    <t>F</t>
  </si>
  <si>
    <t>OP</t>
  </si>
  <si>
    <t>DISIDENTE</t>
  </si>
  <si>
    <t>TOMA DE DATOS</t>
  </si>
  <si>
    <t>NIF</t>
  </si>
  <si>
    <t>TITULARIDAD DE LA VIVIENDA</t>
  </si>
  <si>
    <t>EMPADRONAMIENTO</t>
  </si>
  <si>
    <t>LICENCIA DE APERTURA
O DECLARACION RESPONSABLE</t>
  </si>
  <si>
    <t>ESCRITURAS EMPRESA</t>
  </si>
  <si>
    <t>ACREDITACION CUENTA BANCARIA</t>
  </si>
  <si>
    <t>ACTA PTE</t>
  </si>
  <si>
    <t>Fª</t>
  </si>
  <si>
    <t>NIF (TOMA DATOS)</t>
  </si>
  <si>
    <t>NIF (APODERADO)</t>
  </si>
  <si>
    <t>NIF (FINANCIADO)</t>
  </si>
  <si>
    <t>ACTA PTO</t>
  </si>
  <si>
    <t>TOMA DATOS</t>
  </si>
  <si>
    <t>NOTA SIMPLE</t>
  </si>
  <si>
    <t>RENUNCIA GP</t>
  </si>
  <si>
    <t>(T)TITULAR / (I)INQUILINO /
(U)USUFRUCTO) / © CONTACTO</t>
  </si>
  <si>
    <t>PRESUPUESTO FIRMADO</t>
  </si>
  <si>
    <t>+34661256127</t>
  </si>
  <si>
    <t>(0-2)</t>
  </si>
  <si>
    <t>(0-3)</t>
  </si>
  <si>
    <t>(0-4)</t>
  </si>
  <si>
    <t>(1-5)</t>
  </si>
  <si>
    <t>(1-6)</t>
  </si>
  <si>
    <t>(1-7)</t>
  </si>
  <si>
    <t>(1-8)</t>
  </si>
  <si>
    <t>(2-9)</t>
  </si>
  <si>
    <t>(2-10)</t>
  </si>
  <si>
    <t>(2-11)</t>
  </si>
  <si>
    <t>(2-12)</t>
  </si>
  <si>
    <t>(3-13)</t>
  </si>
  <si>
    <t>(3-14)</t>
  </si>
  <si>
    <t>(3-15)</t>
  </si>
  <si>
    <t>(3-16)</t>
  </si>
  <si>
    <t>(4-17)</t>
  </si>
  <si>
    <t>(4-18)</t>
  </si>
  <si>
    <t>(4-19)</t>
  </si>
  <si>
    <t>(4-20)</t>
  </si>
  <si>
    <t>(5-21)</t>
  </si>
  <si>
    <t>(5-22)</t>
  </si>
  <si>
    <t>(5-23)</t>
  </si>
  <si>
    <t>(5-24)</t>
  </si>
  <si>
    <t>OK</t>
  </si>
  <si>
    <t>(0-1)</t>
  </si>
  <si>
    <t>+34601504405</t>
  </si>
  <si>
    <t>+34655200143</t>
  </si>
  <si>
    <t>+34697711149</t>
  </si>
  <si>
    <t>+34616790384</t>
  </si>
  <si>
    <t>+34655480745</t>
  </si>
  <si>
    <t>+34658212099</t>
  </si>
  <si>
    <t>+34645597830</t>
  </si>
  <si>
    <t>+34635981713</t>
  </si>
  <si>
    <t>+34654102566</t>
  </si>
  <si>
    <t>+34686891420</t>
  </si>
  <si>
    <t>+34607772626</t>
  </si>
  <si>
    <t>+34622313725</t>
  </si>
  <si>
    <t>+34654990972</t>
  </si>
  <si>
    <t>+34615520147</t>
  </si>
  <si>
    <t>+34628099543</t>
  </si>
  <si>
    <t>+34605056222</t>
  </si>
  <si>
    <t>+34645229079</t>
  </si>
  <si>
    <t>+34651394337</t>
  </si>
  <si>
    <t>+34633520670</t>
  </si>
  <si>
    <t>+34607159926</t>
  </si>
  <si>
    <t>Raquel Mª Galán Raya</t>
  </si>
  <si>
    <t>Mª Angeles Martín Benítez</t>
  </si>
  <si>
    <t>+34629919660</t>
  </si>
  <si>
    <t>+34667361780</t>
  </si>
  <si>
    <t>Luis González Merlo / © Olga (HIJA)</t>
  </si>
  <si>
    <t>Frutas Verduras a Dos Santos S.L.</t>
  </si>
  <si>
    <t>Luisa Jiménez Méndez</t>
  </si>
  <si>
    <t>Rosario Valdivia Alcázar Caballero / Leonor y Rosario Baisón Valdivia</t>
  </si>
  <si>
    <t>José Alejandre Marín / Mª José Barragán Paniagua</t>
  </si>
  <si>
    <t>Andrés Herrera Onieva / Carmen Ruiz Acevedo</t>
  </si>
  <si>
    <t>Roberto Camacho López / Ana Mª Azcona Borrallo</t>
  </si>
  <si>
    <t>Mª Jesús, Juan Luis, Miguel Angel y Marco Antonio Ramos Avila</t>
  </si>
  <si>
    <t>Mª Josefa Ramos Robledo</t>
  </si>
  <si>
    <t>Luis González Merlos</t>
  </si>
  <si>
    <t>Antonio León Verdugo / Manuela Pacheco Vizcaya</t>
  </si>
  <si>
    <t>José Castro Pérez / Caridad Pérez Hernández</t>
  </si>
  <si>
    <t>Francisco González Barrera / Carmen Espinar Pozo</t>
  </si>
  <si>
    <t>Antonio Gavilán Ruiz / Josefa Capilla Pérez</t>
  </si>
  <si>
    <t>Abelardo Peral Espejo / Mª Reyes Aguilar Delgado</t>
  </si>
  <si>
    <t>Mª Concepción Sánchez García / Laura Ferreiro Sánchez</t>
  </si>
  <si>
    <t>Juan Toledo Fuentes / Mª Josefa Barrios Guerrero</t>
  </si>
  <si>
    <t>Isaac Poza Mesa / Mª Isabel Gómez Méndez</t>
  </si>
  <si>
    <t>Fernando Rueda Camacho / Justa Bartolomé Sánchez</t>
  </si>
  <si>
    <t>Benito Jaime Barroso Rodríguez</t>
  </si>
  <si>
    <t>Federico Pellicer Salom / Antonia Vázquez Roldán</t>
  </si>
  <si>
    <t>Oscar Vázquez Sanchez / Ana Mª González Blasco</t>
  </si>
  <si>
    <t>(T) Mª Luisa Herrera Ruiz</t>
  </si>
  <si>
    <t>(T) Antonio León Verdugo / © Conchi (HIJA)</t>
  </si>
  <si>
    <t>(T) Mª Josefa Barrios Guerrero</t>
  </si>
  <si>
    <t>(T) Benito Barroso Rodríguez</t>
  </si>
  <si>
    <t>(T) Federico Pellicer Salom / © Juan (HIJO)</t>
  </si>
  <si>
    <t>(T) Oscar Vázquez Sánchez</t>
  </si>
  <si>
    <t>+34619959538</t>
  </si>
  <si>
    <t>(T) Elisa Gordillo Garrido</t>
  </si>
  <si>
    <t>Elisa Gordillo Garrido / y otros</t>
  </si>
  <si>
    <t>(T) Rosario Valdivia Alcázar Caballero/ © Chari (HIJA)</t>
  </si>
  <si>
    <t>(T) Justa Bartolomé Sánchez / © Susi (HIJA)</t>
  </si>
  <si>
    <t>(T) Luisa Jiménez Mendez / © Nino (MARIDO)</t>
  </si>
  <si>
    <t>(T) Angeles Nevado Pineda</t>
  </si>
  <si>
    <t>CONTRATO</t>
  </si>
  <si>
    <t>PAGO</t>
  </si>
  <si>
    <t>CCPP</t>
  </si>
  <si>
    <t>(T) Mª Josefa Barragán Paniagua</t>
  </si>
  <si>
    <t>(T) Marco Aº Ramos Avila</t>
  </si>
  <si>
    <t>(T) Mª Isabel Gómez Méndez</t>
  </si>
  <si>
    <t>+34630074930</t>
  </si>
  <si>
    <t>+34672736523</t>
  </si>
  <si>
    <t>+34640792397</t>
  </si>
  <si>
    <t>+34681045649</t>
  </si>
  <si>
    <t>+34629839894</t>
  </si>
  <si>
    <t>+34607295780</t>
  </si>
  <si>
    <t>+34696584575</t>
  </si>
  <si>
    <t>+34686849371</t>
  </si>
  <si>
    <t>+34677652620</t>
  </si>
  <si>
    <t>Manuel Alejandro Martín Varo</t>
  </si>
  <si>
    <t>José Moya Gutiérrez</t>
  </si>
  <si>
    <t>Daniel García Claros</t>
  </si>
  <si>
    <t>(T) Daniel García Claros</t>
  </si>
  <si>
    <t>Mª Angeles Martín Domínguez</t>
  </si>
  <si>
    <t>(T) Mª Angeles Martín Domínguez / © Antonio</t>
  </si>
  <si>
    <t>José Trujillo Soler / y otros</t>
  </si>
  <si>
    <t>(T) José Trujillo Soler</t>
  </si>
  <si>
    <t>José Julio Tardío Casado / Mª Dolores Real Garzón</t>
  </si>
  <si>
    <t>(T) José Julio Tardío Casado</t>
  </si>
  <si>
    <t>Diego Vargas Salvador / Manuela Verdugo Zayas</t>
  </si>
  <si>
    <t>(T) Manuela Verdugo Zayas</t>
  </si>
  <si>
    <t>Mª Carmen, Santiago y Mª Dolores Moya González</t>
  </si>
  <si>
    <t>(T) Mª Carmen Moya González</t>
  </si>
  <si>
    <t>Francisca Calderón Olivencia</t>
  </si>
  <si>
    <t>Mª Dolores Barba García</t>
  </si>
  <si>
    <t>(T) Mª Dolores Barba García / © Marta (HIJA)</t>
  </si>
  <si>
    <t>+34661949634</t>
  </si>
  <si>
    <t>+34722604350</t>
  </si>
  <si>
    <t>Luis Antonio Rodríguez Machado (Tejadas Administradores de Fincas, S.L.)</t>
  </si>
  <si>
    <t>Oscar Vázquez Sanchez (5-24)</t>
  </si>
  <si>
    <t>+34609431566</t>
  </si>
  <si>
    <t>0A</t>
  </si>
  <si>
    <t>+34605258106</t>
  </si>
  <si>
    <t>0B</t>
  </si>
  <si>
    <t>+34665681659</t>
  </si>
  <si>
    <t>0C</t>
  </si>
  <si>
    <t>0D</t>
  </si>
  <si>
    <t>936461318</t>
  </si>
  <si>
    <t>1A</t>
  </si>
  <si>
    <t>954008786</t>
  </si>
  <si>
    <t>1B</t>
  </si>
  <si>
    <t>+34666542974</t>
  </si>
  <si>
    <t>1C</t>
  </si>
  <si>
    <t>+34630079836</t>
  </si>
  <si>
    <t>1D</t>
  </si>
  <si>
    <t>+34636357736</t>
  </si>
  <si>
    <t>2A</t>
  </si>
  <si>
    <t>954379120</t>
  </si>
  <si>
    <t>2B</t>
  </si>
  <si>
    <t>+34684052263</t>
  </si>
  <si>
    <t>2C</t>
  </si>
  <si>
    <t>+34645013037</t>
  </si>
  <si>
    <t>2D</t>
  </si>
  <si>
    <t>+34658453006</t>
  </si>
  <si>
    <t>3A</t>
  </si>
  <si>
    <t>3B</t>
  </si>
  <si>
    <t>+34627925845</t>
  </si>
  <si>
    <t>3C</t>
  </si>
  <si>
    <t>+34647173814</t>
  </si>
  <si>
    <t>3D</t>
  </si>
  <si>
    <t>+34655652238</t>
  </si>
  <si>
    <t>4A</t>
  </si>
  <si>
    <t>+34610617049</t>
  </si>
  <si>
    <t>4B</t>
  </si>
  <si>
    <t>+34676208586</t>
  </si>
  <si>
    <t>4C</t>
  </si>
  <si>
    <t>+34626717727</t>
  </si>
  <si>
    <t>4D</t>
  </si>
  <si>
    <t>+34667091753</t>
  </si>
  <si>
    <t>Ana Mª Luna Alvarez</t>
  </si>
  <si>
    <t>(T) Ana Mª Luna Alvarez</t>
  </si>
  <si>
    <t>Juan Fernández Sánchez / Manuela Rodríguez de la Cruz</t>
  </si>
  <si>
    <t>(T) Manuela Rodríguez de la Cruz</t>
  </si>
  <si>
    <t>Samuel Rebollo Díaz / Mariana Muñoz Carrera</t>
  </si>
  <si>
    <t>(T) Samuel Rebollo Díaz (HIJO DE JESUS REBOLLO)</t>
  </si>
  <si>
    <t>Worthy Investment 12 S.L.</t>
  </si>
  <si>
    <t>Guillermo Díaz Cortés</t>
  </si>
  <si>
    <t>(T) Guillermo Díaz Cortés</t>
  </si>
  <si>
    <t>Manuel Fernández Rivero / Asunción Delgado González</t>
  </si>
  <si>
    <t>(T) Asunción Delgado González</t>
  </si>
  <si>
    <t>Angel Gómez Angulo / Dolores Mármol Plata</t>
  </si>
  <si>
    <t>(T) Angel Gómez Angulo</t>
  </si>
  <si>
    <t>Juan Machado Castillo / Dolores García Gómez</t>
  </si>
  <si>
    <t>(T) Juan Machado Castillo</t>
  </si>
  <si>
    <t>Francisco Ríos Caiceos / Asunción Palomo Zapata</t>
  </si>
  <si>
    <t>(T) Asunción Palomo Zapata</t>
  </si>
  <si>
    <t>Mª Magdalena Durán González / y otros</t>
  </si>
  <si>
    <t>(T) Mª Magdalena Durán González</t>
  </si>
  <si>
    <t>Vicente Ramírez Manzano</t>
  </si>
  <si>
    <t>(T) Vicente Ramírez Manzano</t>
  </si>
  <si>
    <t>Antonio Rivas Sánchez / Natividad Machuca Pérez</t>
  </si>
  <si>
    <t>(T) Natividad Machuca Pérez</t>
  </si>
  <si>
    <t>Francisco Ríos Caiceos / Encarnación Palomo Zapata</t>
  </si>
  <si>
    <t>(T) Francisco Ríos Caiceos</t>
  </si>
  <si>
    <t>Vicente Maesso Loscertales / María Maesso Loscertales</t>
  </si>
  <si>
    <t>(T) María Maesso Loscertales</t>
  </si>
  <si>
    <t>Elena Gómez Delgado</t>
  </si>
  <si>
    <t>(T) Elena Gómez Delgado</t>
  </si>
  <si>
    <t>Antonio Gallego Granado</t>
  </si>
  <si>
    <t>(I) Christian Andrei Charría Pérez</t>
  </si>
  <si>
    <t>José Luis Gallego Granados / Eugenia Palacios Gala</t>
  </si>
  <si>
    <t>(T) José Luis Gallego Granados</t>
  </si>
  <si>
    <t>Dan Duban / Geta Mihai</t>
  </si>
  <si>
    <t>(T) Dan Duban</t>
  </si>
  <si>
    <t>José Pablo Pedraza Sánchez / Javier Mazueco Quirós</t>
  </si>
  <si>
    <t>(I) Héctor Mauricio Parra Cuesta</t>
  </si>
  <si>
    <t>Dolores León Cantón</t>
  </si>
  <si>
    <t>(T) Dolores León Cantón</t>
  </si>
  <si>
    <t>Carmen Rosa Morón</t>
  </si>
  <si>
    <t>+34646321077</t>
  </si>
  <si>
    <t>Jesús Rebollo Roldán (0C)</t>
  </si>
  <si>
    <t>(0DCHA)</t>
  </si>
  <si>
    <t>(0IZDA)</t>
  </si>
  <si>
    <t>(1DCHA)</t>
  </si>
  <si>
    <t>(1IZDA)</t>
  </si>
  <si>
    <t>(2DCHA)</t>
  </si>
  <si>
    <t>(2IZDA)</t>
  </si>
  <si>
    <t>(3DCHA)</t>
  </si>
  <si>
    <t>(3IZDA)</t>
  </si>
  <si>
    <t>(4DCHA)</t>
  </si>
  <si>
    <t>(4IZDA)</t>
  </si>
  <si>
    <t>Fincas 1982 (Almudena Caro)</t>
  </si>
  <si>
    <t>+34637377199</t>
  </si>
  <si>
    <t>+34623163897</t>
  </si>
  <si>
    <t>Isabel Casado (4-19)</t>
  </si>
  <si>
    <t>+34622660710</t>
  </si>
  <si>
    <t>+34600393030</t>
  </si>
  <si>
    <t>+34626602166</t>
  </si>
  <si>
    <t>+34645497995</t>
  </si>
  <si>
    <t>+34655753052</t>
  </si>
  <si>
    <t>+34659416210</t>
  </si>
  <si>
    <t>+34699780171</t>
  </si>
  <si>
    <t>+34677867778</t>
  </si>
  <si>
    <t>+34653310560</t>
  </si>
  <si>
    <t>+34627650832</t>
  </si>
  <si>
    <t>+34620601937</t>
  </si>
  <si>
    <t>+34635087098</t>
  </si>
  <si>
    <t>+34617997318</t>
  </si>
  <si>
    <t>+34649632171</t>
  </si>
  <si>
    <t>+34676765635</t>
  </si>
  <si>
    <t>+34657888680</t>
  </si>
  <si>
    <t>+34633030127</t>
  </si>
  <si>
    <t>+34674605544</t>
  </si>
  <si>
    <t>+34685310261</t>
  </si>
  <si>
    <t>+34625616434</t>
  </si>
  <si>
    <t>+34666254821</t>
  </si>
  <si>
    <t>+34675877733</t>
  </si>
  <si>
    <t>+34609755937</t>
  </si>
  <si>
    <t>José Antonio Segura González</t>
  </si>
  <si>
    <t>(T) José Antonio Segura González / © (HIJO)</t>
  </si>
  <si>
    <t>Miguel Romero Zarate</t>
  </si>
  <si>
    <t>(T) Miguel Romero Zarate</t>
  </si>
  <si>
    <t>Manuel Leal Amaya / Margarita Sánchez Pozo</t>
  </si>
  <si>
    <t>(T) Manuel Leal Amaya</t>
  </si>
  <si>
    <t>Alejandro García Carranco / Triana Cordón Valiente</t>
  </si>
  <si>
    <t>(T) Alejandro García Carranco</t>
  </si>
  <si>
    <t>Juan José Ramos Moreno / María Molero Fernández</t>
  </si>
  <si>
    <t>(T) María Molero Fernández / © Susana Ramos</t>
  </si>
  <si>
    <t>Antonio Roas Delgado</t>
  </si>
  <si>
    <t>(T) Antonio Roas Delgado</t>
  </si>
  <si>
    <t>Urbano Franco Menor / Manuela Gómez Albarca</t>
  </si>
  <si>
    <t>(T) Manuela Gómez Albarca / © HIJO/A</t>
  </si>
  <si>
    <t>Dolores Jiménez Rodríguez</t>
  </si>
  <si>
    <t>(T) Dolores Jiménez Rodríguez</t>
  </si>
  <si>
    <t>Purificación Fernández Molera</t>
  </si>
  <si>
    <t>Juan José Ferrera Jiménez</t>
  </si>
  <si>
    <t>(T) Juan José Ferrera Jiménez (VECINO GILIPOYAS)</t>
  </si>
  <si>
    <t>Aureliano Ortega Ramos / Eloísa Mena Lianes</t>
  </si>
  <si>
    <t>(T) Aureliano Ortega Ramos</t>
  </si>
  <si>
    <t>José Morrondo Torres / Antonia Pérez Velázquez</t>
  </si>
  <si>
    <t>(T) Antonia Pérez Velázquez / © María José (HIJA)</t>
  </si>
  <si>
    <t>Vicente García Valle / Carmen Parra Gil</t>
  </si>
  <si>
    <t>(T) Carmen Parra Gil / © (654439293)</t>
  </si>
  <si>
    <t>Enrique Diéguez Ferrari / Mª Rosa Navarro Gómez</t>
  </si>
  <si>
    <t>(T) Enrique Diéguez Ferrari</t>
  </si>
  <si>
    <t>Francisco Prior Gordito / Esperanza Jiménez Cañal</t>
  </si>
  <si>
    <t>(T) Esperanza Jiménez Cañal</t>
  </si>
  <si>
    <t>Manuel Bermejo Ruiz / Mª Luísa Fernández Librero</t>
  </si>
  <si>
    <t>(T) Manuel Bermejo Ruiz</t>
  </si>
  <si>
    <t>Concepción Ramírez Trabalón</t>
  </si>
  <si>
    <t>(T) Concepción Ramírez Trabalón</t>
  </si>
  <si>
    <t>Building Center S.A.</t>
  </si>
  <si>
    <t>Antonia Cándida Garrón Chaves / y otros</t>
  </si>
  <si>
    <t>(T) Antonia Cándida Garrón Chaves / © Isabel Casado (HIJA)</t>
  </si>
  <si>
    <t>Fernando Alvarez Barragán / Alexandra Vegua Maqueda</t>
  </si>
  <si>
    <t>(T) Fernando Alvarez Barragán</t>
  </si>
  <si>
    <t>Rosa Delia Rodríguez Rendón / y otros</t>
  </si>
  <si>
    <t>(T) Rosa Delia Rodríguez Rendón</t>
  </si>
  <si>
    <t>Juan Muñoz Rodríguez / Mª Antonia Ramos Pina</t>
  </si>
  <si>
    <t>(T) Mª Antonia Ramos Pina</t>
  </si>
  <si>
    <t>Francisco Rueda Mesa / Carmen Puente Ramos</t>
  </si>
  <si>
    <t>(T) José Manuel Rodríguez Márquez</t>
  </si>
  <si>
    <t>Rosario Martín Mateo</t>
  </si>
  <si>
    <t>(T) Rosario Martín Mateo</t>
  </si>
  <si>
    <t>+34677546543</t>
  </si>
  <si>
    <t>+34651808728</t>
  </si>
  <si>
    <t>Juan Luis Martínez Sánchez (Escalera 34 2C)</t>
  </si>
  <si>
    <t>Manuel Noguera Castillo (Escalera Dcha 1C)</t>
  </si>
  <si>
    <t>+34609617832</t>
  </si>
  <si>
    <t>+34640845195</t>
  </si>
  <si>
    <t>+34699358156</t>
  </si>
  <si>
    <t>+34665649066</t>
  </si>
  <si>
    <t>+34661013131</t>
  </si>
  <si>
    <t>+34616895685</t>
  </si>
  <si>
    <t>+34664727983</t>
  </si>
  <si>
    <t>954435518</t>
  </si>
  <si>
    <t>+34617697109</t>
  </si>
  <si>
    <t>+34699016084</t>
  </si>
  <si>
    <t>+34615332297</t>
  </si>
  <si>
    <t>+34618760034</t>
  </si>
  <si>
    <t>+34676000630</t>
  </si>
  <si>
    <t>+34619533263</t>
  </si>
  <si>
    <t>+34666809752</t>
  </si>
  <si>
    <t>+34626435639</t>
  </si>
  <si>
    <t>+34672616253</t>
  </si>
  <si>
    <t>+34673042490</t>
  </si>
  <si>
    <t>+34654752084</t>
  </si>
  <si>
    <t>5A</t>
  </si>
  <si>
    <t>+34619572826</t>
  </si>
  <si>
    <t>5B</t>
  </si>
  <si>
    <t>+34671135269</t>
  </si>
  <si>
    <t>5C</t>
  </si>
  <si>
    <t>+34651808196</t>
  </si>
  <si>
    <t>5D</t>
  </si>
  <si>
    <t>+34646317255</t>
  </si>
  <si>
    <t>6A</t>
  </si>
  <si>
    <t>+34685190363</t>
  </si>
  <si>
    <t>6B</t>
  </si>
  <si>
    <t>+34615818459</t>
  </si>
  <si>
    <t>6C</t>
  </si>
  <si>
    <t>+34652395505</t>
  </si>
  <si>
    <t>6D</t>
  </si>
  <si>
    <t>+34630389957</t>
  </si>
  <si>
    <t>7A</t>
  </si>
  <si>
    <t>7B</t>
  </si>
  <si>
    <t>+34626241971</t>
  </si>
  <si>
    <t>7C</t>
  </si>
  <si>
    <t>+34618983724</t>
  </si>
  <si>
    <t>7D</t>
  </si>
  <si>
    <t>+34649619245</t>
  </si>
  <si>
    <t>Manuel Gustavo Mundaca Vergara</t>
  </si>
  <si>
    <t>(T) Manuel Gustavo Mundaca Vergara</t>
  </si>
  <si>
    <t>Domigil Jr Ubana NacNac / Claire Domingo Gaoat</t>
  </si>
  <si>
    <t>(T) Domigil Jr Ubana NacNac</t>
  </si>
  <si>
    <t>José Jiménez Cañal / Purificación Jiménez Rivera</t>
  </si>
  <si>
    <t>(T) Purificación Jiménez Rivera</t>
  </si>
  <si>
    <t>Francisco Mancera Fernández / Pilar Villarín Díaz</t>
  </si>
  <si>
    <t>Eulalia Rodríguez Barrios / Ana Isabel Pérez Rodríguez</t>
  </si>
  <si>
    <t>(T) Eulalia Rodríguez Barrios</t>
  </si>
  <si>
    <t>Ana Neyra Benítez</t>
  </si>
  <si>
    <t>(?) Marta Neyra Lázaro</t>
  </si>
  <si>
    <t>Juan José León Perea</t>
  </si>
  <si>
    <t>(T) Juan José León Perea</t>
  </si>
  <si>
    <t>Mercedes Vargas Porras</t>
  </si>
  <si>
    <t>(T) Mercedes Vargas Porras</t>
  </si>
  <si>
    <t>Juan Carlos Muñoz Romero</t>
  </si>
  <si>
    <t>(T) Juan Carlos Muñoz Romero</t>
  </si>
  <si>
    <t>Ascensión Vaquero Ordóñez / Trinidad Ordóñez Bastida</t>
  </si>
  <si>
    <t>(T) Ascensión Vaquero Ordóñez</t>
  </si>
  <si>
    <t>Fº Manuel Rodríguez Naranjo</t>
  </si>
  <si>
    <t>(T) Fº Manuel Rodríguez Naranjo</t>
  </si>
  <si>
    <t>Antonio Conde Santos / Dolores Falcón Espino</t>
  </si>
  <si>
    <t>Isabel Carrero Dorado</t>
  </si>
  <si>
    <t>Manuel Conde Castro / María Jiménez Martínez</t>
  </si>
  <si>
    <t>Manuel Conde Castro</t>
  </si>
  <si>
    <t>Angel Joaquín Varela Gómez / Mª Josefa Vaca Cruz</t>
  </si>
  <si>
    <t>(T) Angel Joaquín Varela Gómez</t>
  </si>
  <si>
    <t>Felipe Quiñones Sánchez / Mª Carmen Cañete Sánchez</t>
  </si>
  <si>
    <t>(T) Felipe Quiñones Sánchez</t>
  </si>
  <si>
    <t>José Flores Neira / Herminia Gil Gómez</t>
  </si>
  <si>
    <t>(U) Francisco Javier Flores Gil</t>
  </si>
  <si>
    <t>Mª Josefa Martín Ortega</t>
  </si>
  <si>
    <t>(T) Mª Josefa Martín Ortega</t>
  </si>
  <si>
    <t>Alberto Soto Moreno / Alejo Soto Hernández</t>
  </si>
  <si>
    <t>(T) Alberto Soto Moreno</t>
  </si>
  <si>
    <t>Francisco Catalán Gómez / Mª Rosa Cobos Romero</t>
  </si>
  <si>
    <t>(T) Francisco Catalán Gómez</t>
  </si>
  <si>
    <t>Manuel Toro Picón / Leonor Rita Leal Quiñones</t>
  </si>
  <si>
    <t>(T) Manuel Toro Picón</t>
  </si>
  <si>
    <t>Fº Javier Monclova González</t>
  </si>
  <si>
    <t>(T) Fº Javier Monclova González</t>
  </si>
  <si>
    <t>Moisés Alejandro Vargas Ramírez / Geovanna Mercedes Rojas Torrealba</t>
  </si>
  <si>
    <t>(T) Geovanna Merdeces Rojas Torrealba</t>
  </si>
  <si>
    <t>Juan Guerrero Peralta / Carmen López Moya</t>
  </si>
  <si>
    <t>(U) Mª Carmen Guerrero López</t>
  </si>
  <si>
    <t>Dirección General de Patrimonio del Estado</t>
  </si>
  <si>
    <t>Félix Caballero Pizarro / Antonia Abril Higuero</t>
  </si>
  <si>
    <t>(T) Félix Caballero Pizarro</t>
  </si>
  <si>
    <t>José Alfonso Iglesias Soltero</t>
  </si>
  <si>
    <t>Daniel Guisado Terrero / Rocío Castizo Naranjo</t>
  </si>
  <si>
    <t>Daniel Guisado Terrero</t>
  </si>
  <si>
    <t>+34610959161</t>
  </si>
  <si>
    <t>+34614323103</t>
  </si>
  <si>
    <t>+34685641880</t>
  </si>
  <si>
    <t>+34620081761</t>
  </si>
  <si>
    <t>+34605822499</t>
  </si>
  <si>
    <t>+34640799272</t>
  </si>
  <si>
    <t>+34696269753</t>
  </si>
  <si>
    <t>+34687988166</t>
  </si>
  <si>
    <t>+34658754856</t>
  </si>
  <si>
    <t>+34616397230</t>
  </si>
  <si>
    <t>+34669860043</t>
  </si>
  <si>
    <t>+34625605327</t>
  </si>
  <si>
    <t>+34665895867</t>
  </si>
  <si>
    <t>+34637609528</t>
  </si>
  <si>
    <t>+34617700187</t>
  </si>
  <si>
    <t>+34667521925</t>
  </si>
  <si>
    <t>+34680507081</t>
  </si>
  <si>
    <t>954350690</t>
  </si>
  <si>
    <t>+34631171761</t>
  </si>
  <si>
    <t>+34632933811</t>
  </si>
  <si>
    <t>+34610697852</t>
  </si>
  <si>
    <t>+34654221518</t>
  </si>
  <si>
    <t>+34661555943</t>
  </si>
  <si>
    <t>+34638336475</t>
  </si>
  <si>
    <t>+34649377585</t>
  </si>
  <si>
    <t>José Vides Iglesias</t>
  </si>
  <si>
    <t>(T) José Vides Iglesias</t>
  </si>
  <si>
    <t>Rafael León Navarro / Mª Salud Navarro Navarro</t>
  </si>
  <si>
    <t>Juan Manuel Ruiz Ruiz / David Ruiz Muñoz</t>
  </si>
  <si>
    <t>Juan Manuel Ruiz Ruiz</t>
  </si>
  <si>
    <t>Mª Pilar Rodríguez González</t>
  </si>
  <si>
    <t>(T) Mª Pilar Rodríguez González</t>
  </si>
  <si>
    <t>Rosario Fajardo Reyes</t>
  </si>
  <si>
    <t>Francisco Torres Alvarez / Mª Dolores Sánchez Zambrano</t>
  </si>
  <si>
    <t>Adolfo Mejías Tobar / Gracia García Jiménez</t>
  </si>
  <si>
    <t>Piso unido al 2A</t>
  </si>
  <si>
    <t>Juan Luis Martínez Sánchez / Belinda Noguera Fajardo</t>
  </si>
  <si>
    <t>(T) Juan Luis Martínez Sánchez</t>
  </si>
  <si>
    <t>Manuel Parrondo Marfil</t>
  </si>
  <si>
    <t>(T) Manuel Parrondo Marfil</t>
  </si>
  <si>
    <t>Ramón Casado Cubero / Dolores Amelia Muñoz Vargas</t>
  </si>
  <si>
    <t>Piso unido al 3A</t>
  </si>
  <si>
    <t>Alfredo Teófilo Ramírez Camarena</t>
  </si>
  <si>
    <t>Carmen Gil Azo</t>
  </si>
  <si>
    <t>Manuel Daza Barrera / Mariana Molero Ruiz</t>
  </si>
  <si>
    <t>Mª José Daza Molero</t>
  </si>
  <si>
    <t>Mª Dolores Bejarano García</t>
  </si>
  <si>
    <t>José Martínez Ruiz / Isabel Leyva Ibáñez</t>
  </si>
  <si>
    <t>(T) Isabel Leyva Ibáñez</t>
  </si>
  <si>
    <t>Cinthya Montecinos Bustamante</t>
  </si>
  <si>
    <t>(T) Cinthya Montecinos Bustamante</t>
  </si>
  <si>
    <t>Francisco Cascales Mora</t>
  </si>
  <si>
    <t>Gregorio González Castaño / Mercedes Mora Jiménez</t>
  </si>
  <si>
    <t>(T) Gregorio González Castaño</t>
  </si>
  <si>
    <t>José y Juan Becerra Rodríguez / Josefa Sánchez García / Rosario Cárcamo Tenorio</t>
  </si>
  <si>
    <t>Juan Becerra Simón</t>
  </si>
  <si>
    <t>Edith Mariel Ruiz Ruiz</t>
  </si>
  <si>
    <t>José Manuel Babío Sánchez / Eloísa Gázquez López</t>
  </si>
  <si>
    <t>Piso unido al 6A</t>
  </si>
  <si>
    <t>Armine Gricoryan</t>
  </si>
  <si>
    <t>Tomás Núñez García / Marleny Bueno Ruiz</t>
  </si>
  <si>
    <t>(I) Mª Elena Torres Trujillo</t>
  </si>
  <si>
    <t>Manuel Aguilera Ramos / Junalyn Forayog Ayasao</t>
  </si>
  <si>
    <t>(T) Manuel Aguilera Ramos</t>
  </si>
  <si>
    <t>Jaime Pinto Flores / Yola Pinto Flores</t>
  </si>
  <si>
    <t>+34660283233</t>
  </si>
  <si>
    <t>+34601167243</t>
  </si>
  <si>
    <t>Adriana Heredia Nieto (Se-Fincas)(Elena)</t>
  </si>
  <si>
    <t>Mª Angeles Márquez Vacaro (4A)</t>
  </si>
  <si>
    <t>+34642587478</t>
  </si>
  <si>
    <t>+34656638847</t>
  </si>
  <si>
    <t>+34650415664</t>
  </si>
  <si>
    <t>+34647189707</t>
  </si>
  <si>
    <t>+34665264009</t>
  </si>
  <si>
    <t>+34622778022</t>
  </si>
  <si>
    <t>+34663049443</t>
  </si>
  <si>
    <t>+34697647413</t>
  </si>
  <si>
    <t>+34636708592</t>
  </si>
  <si>
    <t>+34646402196</t>
  </si>
  <si>
    <t>+34630316969</t>
  </si>
  <si>
    <t>+34630589396</t>
  </si>
  <si>
    <t>+34650542753</t>
  </si>
  <si>
    <t>+34617183844</t>
  </si>
  <si>
    <t>+34627208249</t>
  </si>
  <si>
    <t>+34669303980</t>
  </si>
  <si>
    <t>+34645941585</t>
  </si>
  <si>
    <t>+34669848789</t>
  </si>
  <si>
    <t>+34645216870</t>
  </si>
  <si>
    <t>+34649552050</t>
  </si>
  <si>
    <t>+34629143543</t>
  </si>
  <si>
    <t>+34652149887</t>
  </si>
  <si>
    <t>+34665491018</t>
  </si>
  <si>
    <t>+34651669806</t>
  </si>
  <si>
    <t>+34630081179</t>
  </si>
  <si>
    <t>8A</t>
  </si>
  <si>
    <t>+34679505330</t>
  </si>
  <si>
    <t>8B</t>
  </si>
  <si>
    <t>+34649290811</t>
  </si>
  <si>
    <t>8C</t>
  </si>
  <si>
    <t>+34627478923</t>
  </si>
  <si>
    <t>8D</t>
  </si>
  <si>
    <t>+34607317887</t>
  </si>
  <si>
    <t>9A</t>
  </si>
  <si>
    <t>+34675437521</t>
  </si>
  <si>
    <t>9B</t>
  </si>
  <si>
    <t>+34666962094</t>
  </si>
  <si>
    <t>9C</t>
  </si>
  <si>
    <t>+34625236792</t>
  </si>
  <si>
    <t>9D</t>
  </si>
  <si>
    <t>+34648199097</t>
  </si>
  <si>
    <t>10A</t>
  </si>
  <si>
    <t>+34644451808</t>
  </si>
  <si>
    <t>10B</t>
  </si>
  <si>
    <t>+34655881537</t>
  </si>
  <si>
    <t>10C</t>
  </si>
  <si>
    <t>+34663676503</t>
  </si>
  <si>
    <t>10D</t>
  </si>
  <si>
    <t>+34644596741</t>
  </si>
  <si>
    <t>Magdalena Cotarelo Rodil / Jesús Peña Cotarelo</t>
  </si>
  <si>
    <t>(T) Jesús Peña Cotarelo / © (1C) Mª Rocío Peña Cotarelo (HIJA)</t>
  </si>
  <si>
    <t>Elizabeth Carranza Hancco / Inés Hancco Cano</t>
  </si>
  <si>
    <t>(T) Elizabeth Carranza Hancco</t>
  </si>
  <si>
    <t>Magdalena Cotarelo Rodil / Mª Rocío Peña Cotarelo</t>
  </si>
  <si>
    <t>(I) Arlén Corina Palma Quiñones</t>
  </si>
  <si>
    <t>Pablo Jiménez Martín</t>
  </si>
  <si>
    <t>(T) Pablo Jiménez Martín</t>
  </si>
  <si>
    <t>Margarita Izquierdo Varas</t>
  </si>
  <si>
    <t>(T) Margarita Izquierdo Varas</t>
  </si>
  <si>
    <t>Antonio Rodríguez de las Heras / María Pascual López (fallecida)</t>
  </si>
  <si>
    <t>(T) Antonio Rodríguez de las Heras / © Rocío (HIJA)</t>
  </si>
  <si>
    <t>Tomás Tena Prieto / Antonia Partido Tapia</t>
  </si>
  <si>
    <t>(U) Rocío Tena Partido</t>
  </si>
  <si>
    <t>Mercedes Ruiz de Castro / Rosario Ruiz de Castro</t>
  </si>
  <si>
    <t>(T) Mercedes Ruiz de Castro</t>
  </si>
  <si>
    <t>Luis Miguel Lagares Crespo / José Lagares Crespo</t>
  </si>
  <si>
    <t>(T) Luis Miguel Lagares Crespo</t>
  </si>
  <si>
    <t>Jorge Martínez Gómez / Eva Mª Pérez González</t>
  </si>
  <si>
    <t>(T) Eva Mª Pérez González</t>
  </si>
  <si>
    <t>Mª Rafaela Sivianes Hernández</t>
  </si>
  <si>
    <t>(T) Mª Rafaela Sivianes Hernández</t>
  </si>
  <si>
    <t>Rafael Fº Mestres Rodríguez / Mª Rocío Mestres Rodríguez</t>
  </si>
  <si>
    <t>(T) Rafael Fº Mestres Rodríguez / © Rafael (HIJO)</t>
  </si>
  <si>
    <t>Juan Márquez Villodres / Eloísa Vacano Cremona</t>
  </si>
  <si>
    <t>(U) Mª Angeles Márquez Vacaro</t>
  </si>
  <si>
    <t>Alberto Real Borrueco</t>
  </si>
  <si>
    <t>(T) Alberto Real Borrueco</t>
  </si>
  <si>
    <t>Antonio Oller Chillón / Mª Carmen del Rosal García</t>
  </si>
  <si>
    <t>(T) Mª Carmen del Rosal García</t>
  </si>
  <si>
    <t>Fº Angel Pérez Rodríguez / Araceli Rubio Espínola</t>
  </si>
  <si>
    <t>(T) Araceli Rubio Espínola</t>
  </si>
  <si>
    <t>Manuel Ruiz Luque</t>
  </si>
  <si>
    <t>(T) Dolores Gómez Ruiz / © Desiree (HIJA)</t>
  </si>
  <si>
    <t>José Manuel Matute Lora / Noelia Santos de los Santos</t>
  </si>
  <si>
    <t>(T) José Manuel Matute Lora</t>
  </si>
  <si>
    <t>Manuel Carballar Torrado / Mª Gracia Alba García</t>
  </si>
  <si>
    <t>(T) Manuel Carballar Torrado</t>
  </si>
  <si>
    <t>José Piñero López / Rosario López Liñán</t>
  </si>
  <si>
    <t>(T) José Piñero López (pepeplopez1955@gmail.com)</t>
  </si>
  <si>
    <t>Concepción Luna Pancorbo</t>
  </si>
  <si>
    <t>(T) Concepción Luna Pancorbo</t>
  </si>
  <si>
    <t>Manuel López Navas / Dolores Liñán Reyes</t>
  </si>
  <si>
    <t>(T) Dolores Liñán Reyes / © 5D (YERNO)</t>
  </si>
  <si>
    <t>Mª Isabel Vera Delgado</t>
  </si>
  <si>
    <t>(T) Mª Isabel Vera Delgado / © Alejandro Castro Bermudo (648199097)</t>
  </si>
  <si>
    <t>Bernabé Fernández Rodríguez / Dolores Guerra Ferrusola</t>
  </si>
  <si>
    <t>(T) Bernabé Fernández Rodríguez / © Maribel</t>
  </si>
  <si>
    <t>Virginia Lucena López</t>
  </si>
  <si>
    <t>(T) Virginia Lucena López</t>
  </si>
  <si>
    <t>Alfonso Trigo Chacón / Mª Dolores Bonachera Ledro</t>
  </si>
  <si>
    <t>(T) Mª Dolores Bonachera Ledro</t>
  </si>
  <si>
    <t>Francisco García Martínez / Yolanda Oliva Domínguez</t>
  </si>
  <si>
    <t>(T) Francisco García Martínez</t>
  </si>
  <si>
    <t>Mª Victoria González Sánchez</t>
  </si>
  <si>
    <t>(T) Rosario Márquez Gonzálea</t>
  </si>
  <si>
    <t>Jorge Miguel Peral Estrada</t>
  </si>
  <si>
    <t>(T) Jorge Miguel Peral Estrada</t>
  </si>
  <si>
    <t>Mª Angeles Osto Caballero</t>
  </si>
  <si>
    <t>(T) Mª Angeles Osto Caballero</t>
  </si>
  <si>
    <t>Fº Javier García Adame / Adela Mª Carballido Sayago</t>
  </si>
  <si>
    <t>(T) Adela Mª Carballido Sayago</t>
  </si>
  <si>
    <t>Luis Ferrer Moreno</t>
  </si>
  <si>
    <t>(U) Rosa Caballero Ponce / © Victoria (HIJA)</t>
  </si>
  <si>
    <t>Sergio Miguel Peral Estrada</t>
  </si>
  <si>
    <t>(T) Sergio Miguel Peral Estrada</t>
  </si>
  <si>
    <t>Marcelino Bejarano Vega / Magdalena García Amores</t>
  </si>
  <si>
    <t>(T) Magdalena García Amores</t>
  </si>
  <si>
    <t>Daniel Varona García / Silvia Romero Romero</t>
  </si>
  <si>
    <t>(T) Silvia Romero Romero (silviaromero1975@gmail.com)</t>
  </si>
  <si>
    <t>Mª Isabel Vera Delgado / Isabel Delgado Vera</t>
  </si>
  <si>
    <t>(T) Mª Isabel Vera Delgado</t>
  </si>
  <si>
    <t>Elena Antón Rodríguez</t>
  </si>
  <si>
    <t>(T) Elena Antón Rodríguez</t>
  </si>
  <si>
    <t>Antonio Díaz Duarte / María Paz Moreno</t>
  </si>
  <si>
    <t>(T) María Paz Moreno FALLECIDA / © Remedios (HIJA)</t>
  </si>
  <si>
    <t>Agustín Bautista Pérez / Luz Mary Sánchez Alzate</t>
  </si>
  <si>
    <t>(T) Luz Mary Sánchez Alzate</t>
  </si>
  <si>
    <t>José Borja Barragán Valenzuela / Lucía Zambrano Bejarano</t>
  </si>
  <si>
    <t>(T) José Borja Barragán Valenzuela</t>
  </si>
  <si>
    <t>PTE</t>
  </si>
  <si>
    <t>RESUMEN</t>
  </si>
  <si>
    <t>+34625464896</t>
  </si>
  <si>
    <t>Sergio Carrillo Santos (Afincasa)</t>
  </si>
  <si>
    <t>Manuela Guerrero Muñoz (1ºC)</t>
  </si>
  <si>
    <t>+34677732416</t>
  </si>
  <si>
    <t>+34625811759</t>
  </si>
  <si>
    <t>+34676796482</t>
  </si>
  <si>
    <t>+34655982395</t>
  </si>
  <si>
    <t>+34685334945</t>
  </si>
  <si>
    <t>+34649502278</t>
  </si>
  <si>
    <t>+34617991258</t>
  </si>
  <si>
    <t>+34722338993</t>
  </si>
  <si>
    <t>+34699719855</t>
  </si>
  <si>
    <t>+34662534335</t>
  </si>
  <si>
    <t>+34615116950</t>
  </si>
  <si>
    <t>+34652657655</t>
  </si>
  <si>
    <t>+34645092903</t>
  </si>
  <si>
    <t>+34629520115</t>
  </si>
  <si>
    <t>+34619253269</t>
  </si>
  <si>
    <t>+34678337847</t>
  </si>
  <si>
    <t>+34666596633</t>
  </si>
  <si>
    <t>+34615054940</t>
  </si>
  <si>
    <t>+34676200509</t>
  </si>
  <si>
    <t>+34645822464</t>
  </si>
  <si>
    <t>+34618816990</t>
  </si>
  <si>
    <t>+34695805243</t>
  </si>
  <si>
    <t>+34635996112</t>
  </si>
  <si>
    <t>+34689571325</t>
  </si>
  <si>
    <t>+34635083725</t>
  </si>
  <si>
    <t>+34657030731</t>
  </si>
  <si>
    <t>Fco Javier Correa Rodríguez / María Herrera Quero</t>
  </si>
  <si>
    <t>(T) Fco Javier Correa Rodríguez</t>
  </si>
  <si>
    <t>Fernando Guerrero Hidalgo / Mª Isabel Areales Delgado</t>
  </si>
  <si>
    <t>(T) Fernando Guerrero Hidalgo</t>
  </si>
  <si>
    <t>José Manuel Ceballos Luengo / Trinidad Ceballos Sánchez</t>
  </si>
  <si>
    <t>(T) José Manuel Ceballos Luengo</t>
  </si>
  <si>
    <t>Isaac Velázquez Godino</t>
  </si>
  <si>
    <t>(T) Isaac Velázquez Godino</t>
  </si>
  <si>
    <t>José Manuel Barroso Gómez / MªDolores Franco Palencia</t>
  </si>
  <si>
    <t>(T) José Manuel Barroso Gómez</t>
  </si>
  <si>
    <t>José Mª López Salmerón / Manuela Guerrero Muñoz</t>
  </si>
  <si>
    <t>(T) Manuela Guerrero Muñoz</t>
  </si>
  <si>
    <t>Antonio Rete Díaz / Dolores Muñoz Calderón</t>
  </si>
  <si>
    <t>(T) Antonio Rete Díaz</t>
  </si>
  <si>
    <t>Noelia Mª Páez Velázquez</t>
  </si>
  <si>
    <t>(T) Noelia Mª Páez Velázquez</t>
  </si>
  <si>
    <t>Maxim Ivanov Ovtoeva / Montserrat Martín Domínguez</t>
  </si>
  <si>
    <t>(T) Maxim Ivanov Ovtoeva</t>
  </si>
  <si>
    <t>Rafael Gutiérrez Márquez / Rosario Fernández Brito</t>
  </si>
  <si>
    <t>(T) José Manuel Gutiérrez Fernández</t>
  </si>
  <si>
    <t>Fco Javier Marín Alonso</t>
  </si>
  <si>
    <t>(T) Fco Javier Marín Alonso</t>
  </si>
  <si>
    <t>San Fernando 2015 S.L.</t>
  </si>
  <si>
    <t>(T) San Fernando 2015 S.L. / © Santiago Majarón González</t>
  </si>
  <si>
    <t>José Antonio Alvarez Carretero / Mª Rosario Ramírez Cabrera</t>
  </si>
  <si>
    <t>(T) José Antonio Alvarez Carretero</t>
  </si>
  <si>
    <t>José Fernández Brito / Josefa Pavón Fortes</t>
  </si>
  <si>
    <t>(T) Josefa Pavón Fortes</t>
  </si>
  <si>
    <t>Juan Manuel Ruiz Espejo / Manuela Faustero Ferreras</t>
  </si>
  <si>
    <t>(T) Juan Manuel Ruiz Espejo</t>
  </si>
  <si>
    <t>Javier Montaño Lobo / Mª Guacimara García Jorge</t>
  </si>
  <si>
    <t>(T) Mª Guacimara García Jorge</t>
  </si>
  <si>
    <t>Mª Robledo Moreno Martín</t>
  </si>
  <si>
    <t>(T) Mª Robledo Moreno Martín</t>
  </si>
  <si>
    <t>Mª Reyes Muñoz García</t>
  </si>
  <si>
    <t>(U) Valle Talaverón Muñoz</t>
  </si>
  <si>
    <t>Julio Vidal Dorado / Estrella Caraballo Pérez</t>
  </si>
  <si>
    <t>(T) Julio Vidal Dorado</t>
  </si>
  <si>
    <t>Dolores Díaz Bogdanov</t>
  </si>
  <si>
    <t>(T) Dolores Díaz Bogdanov</t>
  </si>
  <si>
    <t>Manuel Sánchez Torres / Rosa Mª Delgado Rodríguez</t>
  </si>
  <si>
    <t>Emilio José León Lucena / Rosa Mª Vico Jimeno</t>
  </si>
  <si>
    <t>(T) Rosa Mª Vico Jimeno</t>
  </si>
  <si>
    <t>Antonio Cruz Cobos / Inés Borrego Aquino</t>
  </si>
  <si>
    <t>(T) Inés Borrego Aquino / © Inés Godino</t>
  </si>
  <si>
    <t>Enrique Montaño Fernández / Mª Jesús Jiménez Ibáñez</t>
  </si>
  <si>
    <t>(T) Enrique Montaño Fernández</t>
  </si>
  <si>
    <t>Ramón González Torres / Dolores Rodríguez Vargas</t>
  </si>
  <si>
    <t>(T) Ramón González Torres</t>
  </si>
  <si>
    <t>José Mª Mesonero Pérez / Patricia Martín Méndez</t>
  </si>
  <si>
    <t>(T) José Mª Mesonero Pérez</t>
  </si>
  <si>
    <t>Alejandro Delgado Triguero / Mª José Pichardo Díaz</t>
  </si>
  <si>
    <t>(T) Mª José Pichardo Díaz</t>
  </si>
  <si>
    <t>+34625119176</t>
  </si>
  <si>
    <t>Juan Maraver</t>
  </si>
  <si>
    <t>(T) Juan Maraver</t>
  </si>
  <si>
    <t>0DCHA</t>
  </si>
  <si>
    <t>+34626034272</t>
  </si>
  <si>
    <t>0IZDA</t>
  </si>
  <si>
    <t>+34647625794</t>
  </si>
  <si>
    <t>1DCHA</t>
  </si>
  <si>
    <t>+34608424239</t>
  </si>
  <si>
    <t>1IZDA</t>
  </si>
  <si>
    <t>+34664248051</t>
  </si>
  <si>
    <t>2DCHA</t>
  </si>
  <si>
    <t>+34662954165</t>
  </si>
  <si>
    <t>2IZDA</t>
  </si>
  <si>
    <t>+34691581553</t>
  </si>
  <si>
    <t>3DCHA</t>
  </si>
  <si>
    <t>+34600858521</t>
  </si>
  <si>
    <t>3IZDA</t>
  </si>
  <si>
    <t>Daniel Polo Garrido (0DCHA)</t>
  </si>
  <si>
    <t>Daniel Polo Garrido / Mª Agueda Gómez Coll Milla</t>
  </si>
  <si>
    <t>(T) Daniel Polo Garrido</t>
  </si>
  <si>
    <t>María Domínguez Domínguez-Adame</t>
  </si>
  <si>
    <t>(T) María Domínguez Domínguez-Adame</t>
  </si>
  <si>
    <t>Juan Aº Jiménez Portillo</t>
  </si>
  <si>
    <t>(T) Juan Aº Jiménez Portillo</t>
  </si>
  <si>
    <t>Carmen Soria Fernández / y otros</t>
  </si>
  <si>
    <t>(I) Sara Travado Muñoyerro</t>
  </si>
  <si>
    <t>Antonio Luque Castro / María Rodríguez Buzón Pére</t>
  </si>
  <si>
    <t>(T) Antonio Luque Castro</t>
  </si>
  <si>
    <t>Manuel Gómez Portillo / Clara Marcellán Crespo</t>
  </si>
  <si>
    <t>(T) Clara Marcellán Crespo</t>
  </si>
  <si>
    <t>Margarita Bohm Font</t>
  </si>
  <si>
    <t>(T) Margarita Bohm Font</t>
  </si>
  <si>
    <t>Mismo propietario que el 3DCHA</t>
  </si>
  <si>
    <t>+34691075338</t>
  </si>
  <si>
    <t>+34681939168</t>
  </si>
  <si>
    <t>+34615015003</t>
  </si>
  <si>
    <t>+34653653898</t>
  </si>
  <si>
    <t>+34699087059</t>
  </si>
  <si>
    <t>+34634973095</t>
  </si>
  <si>
    <t>+34651770945</t>
  </si>
  <si>
    <t>+34607643537</t>
  </si>
  <si>
    <t>+34657045249</t>
  </si>
  <si>
    <t>+34610525770</t>
  </si>
  <si>
    <t>+34620224960</t>
  </si>
  <si>
    <t>+34685572232</t>
  </si>
  <si>
    <t>+34654947485</t>
  </si>
  <si>
    <t>+34608963718</t>
  </si>
  <si>
    <t>+34696835666</t>
  </si>
  <si>
    <t>+34650021316</t>
  </si>
  <si>
    <t>+34676833571</t>
  </si>
  <si>
    <t>+34685793890</t>
  </si>
  <si>
    <t>+34654292664</t>
  </si>
  <si>
    <t>+34620212333</t>
  </si>
  <si>
    <t>+34630340066</t>
  </si>
  <si>
    <t>+34637691896</t>
  </si>
  <si>
    <t>+34633590013</t>
  </si>
  <si>
    <t>(6-25)</t>
  </si>
  <si>
    <t>+34676310094</t>
  </si>
  <si>
    <t>(6-26)</t>
  </si>
  <si>
    <t>+34658222471</t>
  </si>
  <si>
    <t>(6-27)</t>
  </si>
  <si>
    <t>+34605375430</t>
  </si>
  <si>
    <t>(6-28)</t>
  </si>
  <si>
    <t>+34674861396</t>
  </si>
  <si>
    <t>(7-29)</t>
  </si>
  <si>
    <t>+34616225040</t>
  </si>
  <si>
    <t>(7-30)</t>
  </si>
  <si>
    <t>+34617211471</t>
  </si>
  <si>
    <t>(7-31)</t>
  </si>
  <si>
    <t>+34658419913</t>
  </si>
  <si>
    <t>(7-32)</t>
  </si>
  <si>
    <t>+34665479846</t>
  </si>
  <si>
    <t>+34954226728</t>
  </si>
  <si>
    <t>David Alvarez Domínguez (7-30)</t>
  </si>
  <si>
    <t>Guanes Abogados (Sonia Mª Durán Galindo)(Rosa)</t>
  </si>
  <si>
    <t>Rafael Montero Cote / Aurora Arroyo Rodríguez</t>
  </si>
  <si>
    <t>(I) Jessica Matute Carey</t>
  </si>
  <si>
    <t>José Antonio Vasco Rodríguez</t>
  </si>
  <si>
    <t>(T) José Antonio Vasco Rodríguez</t>
  </si>
  <si>
    <t>Faustino Hurtado Aguilar / Genoveva García Rubio</t>
  </si>
  <si>
    <t>(T) Genoveva García Rubio</t>
  </si>
  <si>
    <t>José Manuel Valero García</t>
  </si>
  <si>
    <t>(T) José Manuel Valero García</t>
  </si>
  <si>
    <t>José Mª García Martín / Ana Cabañas Ortega</t>
  </si>
  <si>
    <t>(T) Ana Cabañas Ortega / © Ana</t>
  </si>
  <si>
    <t>Manuel Marín Giménez / Cristina Montero Arroyo</t>
  </si>
  <si>
    <t>(T) Cristina Montero Arroyo</t>
  </si>
  <si>
    <t>Mª Reyes Díaz Pérez</t>
  </si>
  <si>
    <t>(I) José Luis García Jaen</t>
  </si>
  <si>
    <t>Francisco Pérez Martínez / Ana Sancho Raya</t>
  </si>
  <si>
    <t>(T) Ana Sancho Raya</t>
  </si>
  <si>
    <t>Dolores Rivera Rodríguez</t>
  </si>
  <si>
    <t>(T) Dolores Rivera Rodríguez</t>
  </si>
  <si>
    <t>Antonio Macías Asián / Mª Dolores López de la Puente</t>
  </si>
  <si>
    <t>(T) Dolores López de la Puente / © Rosa (HIJA)</t>
  </si>
  <si>
    <t>Fernando Caro Márquez / Rocío Domínguez Ruíz</t>
  </si>
  <si>
    <t>(T) Rocío Domínguez Ruíz</t>
  </si>
  <si>
    <t>María Casado Navarro</t>
  </si>
  <si>
    <t>(T) María Casado Navarro</t>
  </si>
  <si>
    <t>Lida Vila Quiñones</t>
  </si>
  <si>
    <t>(T) Lida Vila Quiñones</t>
  </si>
  <si>
    <t>Emilio Lucas Pavón / Mª Carmen Carmona Traverso</t>
  </si>
  <si>
    <t>(T) Mª Carmen Carmona Traverso (gadiro_6@hotmail.com)</t>
  </si>
  <si>
    <t>Juan Antonio Dominguez Martínez / Mª Angela Martín Trigo</t>
  </si>
  <si>
    <t>(T) Juan Antonio Dominguez Martínez</t>
  </si>
  <si>
    <t>David Fernández Pérez / Mª Rocío Domínguez Estévez</t>
  </si>
  <si>
    <t>(T) David Fernández Pérez</t>
  </si>
  <si>
    <t>José Parra Alvarez / Ana García Dona</t>
  </si>
  <si>
    <t>(I) Elsy Morena Hernández Alvarez</t>
  </si>
  <si>
    <t>Mª Carmen Gadea Ramos / y otros</t>
  </si>
  <si>
    <t>(T) Carmen Gadea Ramos / © Eva (HIJA)</t>
  </si>
  <si>
    <t>Fº Javier Cotán Barrera / Mª Rocío Martínez Murillo</t>
  </si>
  <si>
    <t>(T) Mª Rocío Martínez Murillo</t>
  </si>
  <si>
    <t>Juan Morillo Vargas</t>
  </si>
  <si>
    <t>(U) Mercedes Leal Fernández / © Juan Manuel (HIJO)</t>
  </si>
  <si>
    <t>José Luis Baldomero García Muñoz / Josefa Rodríguez Delgado</t>
  </si>
  <si>
    <t>(T) José Luis Baldomero García Muñoz</t>
  </si>
  <si>
    <t>Ana Marta Cubillana García / Mª Loreto Cubillana García</t>
  </si>
  <si>
    <t>(T) Ana Marta Cubillana García</t>
  </si>
  <si>
    <t>Mª Carmen Pazos Castillo</t>
  </si>
  <si>
    <t>(T) Mª Carmen Pazos Castillo</t>
  </si>
  <si>
    <t>Desamparados López Jiménez</t>
  </si>
  <si>
    <t>(T) Desamparados López Jiménez</t>
  </si>
  <si>
    <t>José Rodríguez Liánez / Rosario Vera Romero</t>
  </si>
  <si>
    <t>(T) Rosario Vera Romero</t>
  </si>
  <si>
    <t>Manuel Rodríguez Rodríguez / Salvadora Escobar Martín</t>
  </si>
  <si>
    <t>(T) Salvadora Escobar Martín / © Inma Rodríguez (HIJA)</t>
  </si>
  <si>
    <t>Dolores Jiménez Pérez / y otros</t>
  </si>
  <si>
    <t>(T) Dolores Jiménez Pérez (665972182)</t>
  </si>
  <si>
    <t>Antonio Rodera Correa / Rafaela Correa García</t>
  </si>
  <si>
    <t>(T) Antonio Rodera Correa</t>
  </si>
  <si>
    <t>Mª Cruz de la Milla Alcedo</t>
  </si>
  <si>
    <t>(T) Mª Cruz de la Milla Alcedo</t>
  </si>
  <si>
    <t>Elisa Martín García</t>
  </si>
  <si>
    <t>(T) Elisa Martín García / © David (PRESIDENTE)</t>
  </si>
  <si>
    <t>Angela Tiburcio González / Rosa Mª Tiburcio González</t>
  </si>
  <si>
    <t>(T) Angela Tiburcio González</t>
  </si>
  <si>
    <t>Manuel Rodríguez González / © Palmira</t>
  </si>
  <si>
    <t>(T) Manuel Rodríguez González / © Palmira</t>
  </si>
  <si>
    <t>+34615671540</t>
  </si>
  <si>
    <t>+34622574864</t>
  </si>
  <si>
    <t>Antonio Guillena Sosa (Tu comunidad Ahorra)</t>
  </si>
  <si>
    <t>Lin Jianhong (10ºA)</t>
  </si>
  <si>
    <t>+34678932118</t>
  </si>
  <si>
    <t>+34606352562</t>
  </si>
  <si>
    <t>+34659185608</t>
  </si>
  <si>
    <t>+34648765240</t>
  </si>
  <si>
    <t>+34678501348</t>
  </si>
  <si>
    <t>+34654940599</t>
  </si>
  <si>
    <t>+34697539860</t>
  </si>
  <si>
    <t>+34676177067</t>
  </si>
  <si>
    <t>+34616102009</t>
  </si>
  <si>
    <t>+34639520869</t>
  </si>
  <si>
    <t>+34654411189</t>
  </si>
  <si>
    <t>+34680228479</t>
  </si>
  <si>
    <t>+34625590175</t>
  </si>
  <si>
    <t>+34627729117</t>
  </si>
  <si>
    <t>+34654517022</t>
  </si>
  <si>
    <t>+34646925392</t>
  </si>
  <si>
    <t>+34695795258</t>
  </si>
  <si>
    <t>+34652827971</t>
  </si>
  <si>
    <t>11A</t>
  </si>
  <si>
    <t>+34677921392</t>
  </si>
  <si>
    <t>11B</t>
  </si>
  <si>
    <t>+34627319364</t>
  </si>
  <si>
    <t>Mª Carmen Romero Luna</t>
  </si>
  <si>
    <t>(T) Mª Carmen Romero Luna</t>
  </si>
  <si>
    <t>Carlos Fº González García / Mª Inmaculada Riscart Ruiz-Verdejo</t>
  </si>
  <si>
    <t>(T) Carlos Fº González García</t>
  </si>
  <si>
    <t>Isabel Ibáñez Marquez</t>
  </si>
  <si>
    <t>(T) Isabel Ibáñez Márquez</t>
  </si>
  <si>
    <t>Teresa Antrás Franco</t>
  </si>
  <si>
    <t>(T) Mª Teresa Antrás Franco</t>
  </si>
  <si>
    <t>José Antonio Osuna García</t>
  </si>
  <si>
    <t>(T) José Antonio Osuna García</t>
  </si>
  <si>
    <t>Elisa Isabel Zunino López</t>
  </si>
  <si>
    <t>(T) Elisa Isabel Zunino López</t>
  </si>
  <si>
    <t>Andrés Garrido Barrero / Trinidad Gago Navarrete</t>
  </si>
  <si>
    <t>(T) Andrés Garrido Barrero</t>
  </si>
  <si>
    <t>Ángeles Oliva Buzón</t>
  </si>
  <si>
    <t>(U) Rafael Alvarez García</t>
  </si>
  <si>
    <t>Rafael Gallardo Pons / Mercedes Fernández Cazorla</t>
  </si>
  <si>
    <t>(T) Rafael Gallardo Pons</t>
  </si>
  <si>
    <t>Manuel Fadrique Moreno / Mª Carmen Pichardo Riquel</t>
  </si>
  <si>
    <t>(T) Manuel Fadrique Moreno</t>
  </si>
  <si>
    <t>Ángel Aº del Saz Osuna / Noemí Trinidad Garrido Gago</t>
  </si>
  <si>
    <t>(T) Ángel Aº del Saz Osuna</t>
  </si>
  <si>
    <t>Esperanza Macarena Delgado Sires</t>
  </si>
  <si>
    <t>(U) Mª Dolores Sires Pozuelo</t>
  </si>
  <si>
    <t>Isidoro Espín Estévez / Natalia García Berro</t>
  </si>
  <si>
    <t>(I) Fº Luis Cascajo Díaz</t>
  </si>
  <si>
    <t>Inversiones Diversas S.A.</t>
  </si>
  <si>
    <t>José Manuel García Niebla / Mª Merdeces Rodríguez Cortés</t>
  </si>
  <si>
    <t>(T) José Manuel García Niebla</t>
  </si>
  <si>
    <t>(T) Isidoro Espín Estévez</t>
  </si>
  <si>
    <t>José Blanco Martínez / Inocencia Priegue Sánchez</t>
  </si>
  <si>
    <t>(T) Inocencia Priegue Sánchez</t>
  </si>
  <si>
    <t>Francisco Delgado Aguilar</t>
  </si>
  <si>
    <t>(T) Francisco Delgado Aguilar</t>
  </si>
  <si>
    <t>Liu Xiaojuan</t>
  </si>
  <si>
    <t>(T) Liu Xiaojuan / © HIJO PEPE</t>
  </si>
  <si>
    <t>José Alberto Rodríguez Medina / Concepción Sánchez Torres</t>
  </si>
  <si>
    <t>(T) José Alberto Rodríguez Medina</t>
  </si>
  <si>
    <t>Agustín Aº Gallardo Gallardo</t>
  </si>
  <si>
    <t>(T) Agustín Aº Gallardo Gallardo</t>
  </si>
  <si>
    <t>Manuel Mª Mercedes y Mª José Rodríguez Cortés</t>
  </si>
  <si>
    <t>Mª Mercedes Rodríguez Cortés / © 8A</t>
  </si>
  <si>
    <t>+34954227905</t>
  </si>
  <si>
    <t>+34640343234</t>
  </si>
  <si>
    <t>Inmho (Miguel Angel Díaz)(Eugenia Martín)</t>
  </si>
  <si>
    <t>José Luis Duarte Calancha (0-1)</t>
  </si>
  <si>
    <t>+34627053130</t>
  </si>
  <si>
    <t>+34607561641</t>
  </si>
  <si>
    <t>+34661323809</t>
  </si>
  <si>
    <t>(0-5)</t>
  </si>
  <si>
    <t>+34610945949</t>
  </si>
  <si>
    <t>(0-6)</t>
  </si>
  <si>
    <t>+34691306367</t>
  </si>
  <si>
    <t>(1-1)</t>
  </si>
  <si>
    <t>+34666769182</t>
  </si>
  <si>
    <t>(1-2)</t>
  </si>
  <si>
    <t>+34657100496</t>
  </si>
  <si>
    <t>(1-3)</t>
  </si>
  <si>
    <t>+34649103130</t>
  </si>
  <si>
    <t>(1-4)</t>
  </si>
  <si>
    <t>+34633146129</t>
  </si>
  <si>
    <t>+34656596722</t>
  </si>
  <si>
    <t>+34666026153</t>
  </si>
  <si>
    <t>(2-1)</t>
  </si>
  <si>
    <t>+34666601244</t>
  </si>
  <si>
    <t>(2-2)</t>
  </si>
  <si>
    <t>+34626649805</t>
  </si>
  <si>
    <t>(2-3)</t>
  </si>
  <si>
    <t>+34679697788</t>
  </si>
  <si>
    <t>(2-4)</t>
  </si>
  <si>
    <t>+34625186921</t>
  </si>
  <si>
    <t>(2-5)</t>
  </si>
  <si>
    <t>+34666088774</t>
  </si>
  <si>
    <t>(2-6)</t>
  </si>
  <si>
    <t>+34609900919</t>
  </si>
  <si>
    <t>José Luis Duarte Calancha / Josefa Sastre Ortega</t>
  </si>
  <si>
    <t>(T) José Luis Duarte Calancha</t>
  </si>
  <si>
    <t>Mauro Ruiz Méndez</t>
  </si>
  <si>
    <t>(T) Mauro Ruiz Méndez</t>
  </si>
  <si>
    <t>Angela Ojeda Calero</t>
  </si>
  <si>
    <t>(T) Angela Ojeda Calero</t>
  </si>
  <si>
    <t>Dolores García Rouquier / Carmen García Rouquier</t>
  </si>
  <si>
    <t>(U) Mª Teresa Jesús García Castilla / © Serena (HIJA)</t>
  </si>
  <si>
    <t>Luísa Mª Rubio Postigo / Mª Luísa Sánchez Bejarano</t>
  </si>
  <si>
    <t>(I) Juan Antonio García Cascales (631660976)</t>
  </si>
  <si>
    <t>Luis Javier Bascuñana Sánchez</t>
  </si>
  <si>
    <t>Isabel Vida de la Riva</t>
  </si>
  <si>
    <t>(T) Isabel Vida de la Riva</t>
  </si>
  <si>
    <t>José García-Tapial León / Dolores Heredia Herrera</t>
  </si>
  <si>
    <t>(T) José García-Tapial León © Blanca (HIJA)</t>
  </si>
  <si>
    <t>Francisco Javier González Malaver / Ana MªGonzález Malaver</t>
  </si>
  <si>
    <t>(T) Francisco Javier González Malaver</t>
  </si>
  <si>
    <t>Verónica Yurkovska</t>
  </si>
  <si>
    <t>(T) Verónica Yurkovska</t>
  </si>
  <si>
    <t>Elena Bolaños Arroyo</t>
  </si>
  <si>
    <t>(T) Elena Bolaños Arroyo</t>
  </si>
  <si>
    <t>César Sánchez Fernández</t>
  </si>
  <si>
    <t>(T) César Sánchez Fernández</t>
  </si>
  <si>
    <t>José Pérez Escamilla / Concepción Reina Sesmero Salas</t>
  </si>
  <si>
    <t>(T) José Pérez Escamilla</t>
  </si>
  <si>
    <t>Pilar Osuna Fernández</t>
  </si>
  <si>
    <t>(U) Elena del Nido Osuna</t>
  </si>
  <si>
    <t>Mª Nieves Pérez Gómez</t>
  </si>
  <si>
    <t>(T) Mª Nieves Pérez Gómez</t>
  </si>
  <si>
    <t>José Durán Gil / Mª Isabel Arribas Amores</t>
  </si>
  <si>
    <t>(T) Mª Isabel Arribas Amores</t>
  </si>
  <si>
    <t>Manuel Caballero Martínez</t>
  </si>
  <si>
    <t>(T) Manuel Caballero Martínez</t>
  </si>
  <si>
    <t>Eugenia Mª Benaín Romero</t>
  </si>
  <si>
    <t>(T) Eugenia Mª Benaín Romero (embenain@copreca.es)</t>
  </si>
  <si>
    <t>+34607941072</t>
  </si>
  <si>
    <t>+34650375936</t>
  </si>
  <si>
    <t>Isabel Mora</t>
  </si>
  <si>
    <t>+34628802355</t>
  </si>
  <si>
    <t>+34633945387</t>
  </si>
  <si>
    <t>+34627198162</t>
  </si>
  <si>
    <t>+34679677286</t>
  </si>
  <si>
    <t>+34654449159</t>
  </si>
  <si>
    <t>+34653462633</t>
  </si>
  <si>
    <t>+34663966701</t>
  </si>
  <si>
    <t>+34697551348</t>
  </si>
  <si>
    <t>Francisco Barea Ruiz / Miguel Angel Barea Ruiz / Encarnación Barea Ruiz</t>
  </si>
  <si>
    <t>(T) Francisco Barea Ruiz</t>
  </si>
  <si>
    <t>Juan Rivas Aguilar / Manuela Pérez Baizán</t>
  </si>
  <si>
    <t>(U) José Pérez Pérez</t>
  </si>
  <si>
    <t>Archidiócesis de Sevilla</t>
  </si>
  <si>
    <t>(U) Jaime Conde Vaquero</t>
  </si>
  <si>
    <t>Ihor Hrutsa / Liliya Hrutsa</t>
  </si>
  <si>
    <t>(T) Liliya Hrutsa</t>
  </si>
  <si>
    <t>Francisco Romero Martín / Rosario Luna Rodríguez</t>
  </si>
  <si>
    <t>(U) Mª Lourdes Romero Luna</t>
  </si>
  <si>
    <t>Jorge Pina Cabello / Carlos Pina Cabello / Mª Carmen Pina Cabello</t>
  </si>
  <si>
    <t>(T) Jorge Pina Cabello</t>
  </si>
  <si>
    <t>Gaspar Enrique Coleto Romero / Antonia Bretón Caballero</t>
  </si>
  <si>
    <t>(U) José Angel Coleto Bretón</t>
  </si>
  <si>
    <t>Gabriel Cruz Jiménez</t>
  </si>
  <si>
    <t>(T) Gabriel Cruz Jiménez</t>
  </si>
  <si>
    <t>Isabel López Vergara</t>
  </si>
  <si>
    <t>(U) Fernando Gonzálvez López</t>
  </si>
  <si>
    <t>+34652490075</t>
  </si>
  <si>
    <t>+34627908412</t>
  </si>
  <si>
    <t>+34699093045</t>
  </si>
  <si>
    <t>+34677060529</t>
  </si>
  <si>
    <t>+34656943629</t>
  </si>
  <si>
    <t>+34675492572</t>
  </si>
  <si>
    <t>+34618896004</t>
  </si>
  <si>
    <t>+201008759712</t>
  </si>
  <si>
    <t>+34679752324</t>
  </si>
  <si>
    <t>Manuel Hidalgo (1A)</t>
  </si>
  <si>
    <t>Juan Carlos Sánchez Cantos</t>
  </si>
  <si>
    <t>(T) Juan Carlos Sánchez Cantos</t>
  </si>
  <si>
    <t>Juan Zambrana Díaz / Dolores Gandullo Martín</t>
  </si>
  <si>
    <t>(T) Dolores Gandullo Martín</t>
  </si>
  <si>
    <t>Abel Delgado González / Mª Gloria Zambrana Gandullo</t>
  </si>
  <si>
    <t>(T) Mª Gloria Zambrana Gandullo</t>
  </si>
  <si>
    <t>Juan Sánchez Pernia / Cándida Canto Herrera</t>
  </si>
  <si>
    <t>(T) Cándida Canto Herrera / © Susana Sánchez Canto</t>
  </si>
  <si>
    <t>Silvia Manzanares Moreno</t>
  </si>
  <si>
    <t>(T) Silvia Manzanares Moreno</t>
  </si>
  <si>
    <t>Araceli Fernández González</t>
  </si>
  <si>
    <t>(T) Araceli Fernández González</t>
  </si>
  <si>
    <t>Francisco Fernández Utrera / Josefa Vicente García</t>
  </si>
  <si>
    <t>(T) Francisco Fernández Utrera</t>
  </si>
  <si>
    <t>Jamila Benichikh Aharrare</t>
  </si>
  <si>
    <t>(I) Fernando Cerero Carballar (689038776)</t>
  </si>
  <si>
    <t>Yolanda Gavira / y otros</t>
  </si>
  <si>
    <t>(T) Yolanda Gavira</t>
  </si>
  <si>
    <t>0LOCAL</t>
  </si>
  <si>
    <t>+34609622275</t>
  </si>
  <si>
    <t>+34655145236</t>
  </si>
  <si>
    <t>+34678175238</t>
  </si>
  <si>
    <t>+34600842405</t>
  </si>
  <si>
    <t>+34699105990</t>
  </si>
  <si>
    <t>+34670536881</t>
  </si>
  <si>
    <t>+34654011948</t>
  </si>
  <si>
    <t>+34635970086</t>
  </si>
  <si>
    <t>+34677543377</t>
  </si>
  <si>
    <t>Juan Rodríguez Rodríguez (4A)</t>
  </si>
  <si>
    <t>Patronato Municipal de la Vivienda de Sevilla</t>
  </si>
  <si>
    <t>Manuel Mijens Palacios / Joaquina Tutor Díaz</t>
  </si>
  <si>
    <t>(T) Manuel Mijens Palacios</t>
  </si>
  <si>
    <t>Manuel Jesús Alvarez Valdayo / Mª José Carrascal Ruiz</t>
  </si>
  <si>
    <t>(T) Manuel Jesús Alvarez Valdayo</t>
  </si>
  <si>
    <t>José Rodríguez Mayor</t>
  </si>
  <si>
    <t>(T) José Rodríguez Mayor</t>
  </si>
  <si>
    <t>Timasa S.A.</t>
  </si>
  <si>
    <t>(U) Teula S.L. / © Golda Esponja</t>
  </si>
  <si>
    <t>José Luis Sevillano Ruiz</t>
  </si>
  <si>
    <t>(T) José Luis Sevillano Ruiz</t>
  </si>
  <si>
    <t>Carmen Cortés González</t>
  </si>
  <si>
    <t>(T) Carmen Cortés González</t>
  </si>
  <si>
    <t>Domingo Moreno Martínez</t>
  </si>
  <si>
    <t>(T) Domingo Moreno Martínez</t>
  </si>
  <si>
    <t>Juan Rodríguez Rodríguez / Irene Martínez Barranco</t>
  </si>
  <si>
    <t>(T) Juan Rodríguez Rodríguez</t>
  </si>
  <si>
    <t>Juan José Fernández Centeno</t>
  </si>
  <si>
    <t>(I) Sergio Barreda Martínez</t>
  </si>
  <si>
    <t>+34677594520</t>
  </si>
  <si>
    <t>+34637881088</t>
  </si>
  <si>
    <t>Amalia Prego Maldonado (1ºDCHA)</t>
  </si>
  <si>
    <t>Tartessos SL (Carmen Rodríguez González)(Marta)</t>
  </si>
  <si>
    <t>+34628165310</t>
  </si>
  <si>
    <t>+34658167380</t>
  </si>
  <si>
    <t>+34691725513</t>
  </si>
  <si>
    <t>+34696114916</t>
  </si>
  <si>
    <t>+34693617943</t>
  </si>
  <si>
    <t>4DCHA</t>
  </si>
  <si>
    <t>+34616705207</t>
  </si>
  <si>
    <t>4IZDA</t>
  </si>
  <si>
    <t>+34621358882</t>
  </si>
  <si>
    <t>Amalia Prego Maldonado</t>
  </si>
  <si>
    <t>(T) Amalia Prego Maldonado</t>
  </si>
  <si>
    <t>Manuel Sebastián Escuder / y otros</t>
  </si>
  <si>
    <t>(I) Rosa Mª López Rodríguez (667300381)</t>
  </si>
  <si>
    <t>Leonor Morales Muñoz</t>
  </si>
  <si>
    <t>(T) Leonor Morales Muñoz</t>
  </si>
  <si>
    <t>Dionisio Torres Andrés / Isabel Rosa Giménez Maldonado</t>
  </si>
  <si>
    <t>(U) Mª Rosa Torres Jiménez</t>
  </si>
  <si>
    <t>Mª Carmen Terrón Caro</t>
  </si>
  <si>
    <t>Juan Manuel Villalba de la Calle / Laura Casado Muñoz</t>
  </si>
  <si>
    <t>(T) Juan Manuel Villalba de la Calle</t>
  </si>
  <si>
    <t>Francisca Cruz Sánchez</t>
  </si>
  <si>
    <t>(T) Francisca Cruz Sánchez</t>
  </si>
  <si>
    <t>Eduardo Navarro Carrasco</t>
  </si>
  <si>
    <t>(T) Mª Lourdes Pineda Prats</t>
  </si>
  <si>
    <t>Palma del Rio 12</t>
  </si>
  <si>
    <t>+34627384156</t>
  </si>
  <si>
    <t>+34639713708</t>
  </si>
  <si>
    <t>Juan Manuel Iglesias Barco (2D)</t>
  </si>
  <si>
    <t>+34650673684</t>
  </si>
  <si>
    <t>+34619742084</t>
  </si>
  <si>
    <t>+34662366749</t>
  </si>
  <si>
    <t>+34660266450</t>
  </si>
  <si>
    <t>+34665971024</t>
  </si>
  <si>
    <t>+34669895442</t>
  </si>
  <si>
    <t>+34648526369</t>
  </si>
  <si>
    <t>+34692604078</t>
  </si>
  <si>
    <t>+34666115772</t>
  </si>
  <si>
    <t>+34606093946</t>
  </si>
  <si>
    <t>+34661147968</t>
  </si>
  <si>
    <t>+34682057531</t>
  </si>
  <si>
    <t>+34605841771</t>
  </si>
  <si>
    <t>+34626560664</t>
  </si>
  <si>
    <t>+34629514155</t>
  </si>
  <si>
    <t>+34679404208</t>
  </si>
  <si>
    <t>+34667861094</t>
  </si>
  <si>
    <t>Manuel José Moreno Talaverón</t>
  </si>
  <si>
    <t>Fº Enrique Riego Ramos / Mª Manuela Ramila Fernández</t>
  </si>
  <si>
    <t>Rafael Rodríguez Sierra / Petronila García Puntas</t>
  </si>
  <si>
    <t>Carmen Mª López Sánchez</t>
  </si>
  <si>
    <t>José Yuste Pastor / Carmen Muñoz Caballero</t>
  </si>
  <si>
    <t>(T) Carmen Muñoz Caballero</t>
  </si>
  <si>
    <t>Mª Lourdes González Morales / Margarita González Moreles</t>
  </si>
  <si>
    <t>(T) Mª Lourdes González Morales</t>
  </si>
  <si>
    <t>Mª Gema García Navarro</t>
  </si>
  <si>
    <t>Alvaro Capilla Corvera / Mª Concepción Borrego Torres / Alvaro Capilla Borego</t>
  </si>
  <si>
    <t>(T) Álvaro Capilla Borrego</t>
  </si>
  <si>
    <t>Rafael Navarro Ramos</t>
  </si>
  <si>
    <t>Juan Manuel y José Iglesias Barco / Herminia Barco Villar</t>
  </si>
  <si>
    <t>Gabriel Castaño Tena / Rosa Rojas Ajarilla</t>
  </si>
  <si>
    <t>Francisco Gámez Gámez / Herminia Ramírez Aguilera</t>
  </si>
  <si>
    <t>Juan Jesús Guzmán Baya / Cistobalina Fuentes Gavira</t>
  </si>
  <si>
    <t>(T) Juan Jesús Guzmán Baya</t>
  </si>
  <si>
    <t>José Manuel Villalón Prat / Mª Dolores Ruiz Hormigo</t>
  </si>
  <si>
    <t>(T) José Manuel Villalón Prat</t>
  </si>
  <si>
    <t>Francisco Javier Frías Catalán / Sebastiana Gamboa Fernández</t>
  </si>
  <si>
    <t>Luciano Luis Tesón Ramos</t>
  </si>
  <si>
    <t>(T) Luciano Luis Tesón Ramos</t>
  </si>
  <si>
    <t>Manuel Trabajo Tamarit / Rosario Pacheco Rodríguez</t>
  </si>
  <si>
    <t>Antonio Oliva Rodríguez / María Dolores García Lao</t>
  </si>
  <si>
    <t>(T) Antonio Oliva Rodríguez</t>
  </si>
  <si>
    <t>+34663600432</t>
  </si>
  <si>
    <t>Pilar Sánchez</t>
  </si>
  <si>
    <t>+34644194201</t>
  </si>
  <si>
    <t>+34677606353</t>
  </si>
  <si>
    <t>+34651611586</t>
  </si>
  <si>
    <t>+34658573143</t>
  </si>
  <si>
    <t>+34645336224</t>
  </si>
  <si>
    <t>+34628613680</t>
  </si>
  <si>
    <t>+34654301471</t>
  </si>
  <si>
    <t>+34623172270</t>
  </si>
  <si>
    <t>+34610167803</t>
  </si>
  <si>
    <t>+34671201600</t>
  </si>
  <si>
    <t>+34642431711</t>
  </si>
  <si>
    <t>+34634298318</t>
  </si>
  <si>
    <t>+34667558007</t>
  </si>
  <si>
    <t>+34665450823</t>
  </si>
  <si>
    <t>+34601414058</t>
  </si>
  <si>
    <t>Cebrián Asesores (José Domínguez)</t>
  </si>
  <si>
    <t>LLuvis Marjorie Falcones Robinzon</t>
  </si>
  <si>
    <t>LLuvis Marjorie Falcones Robinzon (3IZDA)</t>
  </si>
  <si>
    <t>Miguel Angel Montoro Ramos</t>
  </si>
  <si>
    <t>(I) Allison Massiel Anselmi Gallardo</t>
  </si>
  <si>
    <t>Lubia Amelia Vargas Villón</t>
  </si>
  <si>
    <t>Ramiro Calderón Rojas</t>
  </si>
  <si>
    <t>(T) Ramiro Calderón Rojas</t>
  </si>
  <si>
    <t>Oleiros Asesores Inmobiliarios S.L.</t>
  </si>
  <si>
    <t>Juan Hernández Alonso / Mª Teresa Rosa Escobar</t>
  </si>
  <si>
    <t>(T) Juan Hernández Alonso / HIJA (Tere 630208797)</t>
  </si>
  <si>
    <t>José Alonso Garrido / Mª Carmen Alonso Garrido</t>
  </si>
  <si>
    <t>Mihai Veliche / Alexandra Veliche-Spirache</t>
  </si>
  <si>
    <t>(T) Mihai Veliche</t>
  </si>
  <si>
    <t>Richard Saad / Fourat El Achkar Ep Richar Saad</t>
  </si>
  <si>
    <t>Patras Homes S.L.</t>
  </si>
  <si>
    <t>+34653689992</t>
  </si>
  <si>
    <t>+34653758994</t>
  </si>
  <si>
    <t>+34608870230</t>
  </si>
  <si>
    <t>+34647688489</t>
  </si>
  <si>
    <t>Gestoría Olmedo SL (Rosa Olmedo)</t>
  </si>
  <si>
    <t>Rafael Oses Giménez de Aragón (4C)</t>
  </si>
  <si>
    <t>+34686784989</t>
  </si>
  <si>
    <t>+34636774866</t>
  </si>
  <si>
    <t>+34629609555</t>
  </si>
  <si>
    <t>+34667264725</t>
  </si>
  <si>
    <t>+34667501357</t>
  </si>
  <si>
    <t>+34670884645</t>
  </si>
  <si>
    <t>+34659377867</t>
  </si>
  <si>
    <t>+34696262545</t>
  </si>
  <si>
    <t>+34699011760</t>
  </si>
  <si>
    <t>+34660176730</t>
  </si>
  <si>
    <t>+34676747026</t>
  </si>
  <si>
    <t>+34610828880</t>
  </si>
  <si>
    <t>+34616320490</t>
  </si>
  <si>
    <t>+34669495954</t>
  </si>
  <si>
    <t>+34653064600</t>
  </si>
  <si>
    <t>+34615519153</t>
  </si>
  <si>
    <t>+34687775845</t>
  </si>
  <si>
    <t>+34654429766</t>
  </si>
  <si>
    <t>+34654556735</t>
  </si>
  <si>
    <t>+34651556548</t>
  </si>
  <si>
    <t>+34609555615</t>
  </si>
  <si>
    <t>+34686481444</t>
  </si>
  <si>
    <t>+34659355124</t>
  </si>
  <si>
    <t>+34649151402</t>
  </si>
  <si>
    <t>+34639101204</t>
  </si>
  <si>
    <t>+34667598089</t>
  </si>
  <si>
    <t>Luis Romero Falcón / Amelia Santos Vázquez</t>
  </si>
  <si>
    <t>(T) Amelia Santos Vázquez / © Fº Javier</t>
  </si>
  <si>
    <t>Fº Javier Marcos Carmona / Mª Lourdes Mozo Gutiérrez</t>
  </si>
  <si>
    <t>(T) Lourdes Mozo Gutiérrez</t>
  </si>
  <si>
    <t>José Alfonso Jiménez García</t>
  </si>
  <si>
    <t>(T) José Alfonso Jiménez García (EL INSPECTOR DE HACIENDA)</t>
  </si>
  <si>
    <t>Amelia García de la Borbolla Candilejo</t>
  </si>
  <si>
    <t>(T) Amelia García de la Borbolla Candilejo</t>
  </si>
  <si>
    <t>Carlos Pata Vila / Irene López de la Cuadra</t>
  </si>
  <si>
    <t>(T) Carlos Pata Vila</t>
  </si>
  <si>
    <t>Carmen Bernaldez Domínguez</t>
  </si>
  <si>
    <t>(T) Carmen Bernaldez Domínguez</t>
  </si>
  <si>
    <t>Mª Nieves Rodríguez Amate</t>
  </si>
  <si>
    <t>(T) Mª Nieves Rodríguez Amate</t>
  </si>
  <si>
    <t>Jesús Antonio Rodríguez Amate / Patricia Díaz Lifante</t>
  </si>
  <si>
    <t>(T) Jesús Antonio Rodríguez Amate</t>
  </si>
  <si>
    <t>Margarita Díaz Estrada</t>
  </si>
  <si>
    <t>(T) Margarita Díaz Estrada</t>
  </si>
  <si>
    <t>Jorge Criado Vega / Alberto Criado Vega</t>
  </si>
  <si>
    <t>(T) Jorge Criado Vega / © Amelia</t>
  </si>
  <si>
    <t>Antonio José Ruiz Castillo</t>
  </si>
  <si>
    <t>(T) Antonio José Ruiz Castillo</t>
  </si>
  <si>
    <t>Inversiones MLD y Asociados S.L.</t>
  </si>
  <si>
    <t>Ramón Rodríguez Morales / Susana Tamayo García</t>
  </si>
  <si>
    <t>(T) Ramón Rodríguez Morales / © Susana</t>
  </si>
  <si>
    <t>Germán Rubio Delgado / Concepción Blanes Valera</t>
  </si>
  <si>
    <t>(T) Germán Rubio Delgado</t>
  </si>
  <si>
    <t>Rafael Oses Giménez de Aragón / Cora Rodríguez Balbontín</t>
  </si>
  <si>
    <t>(T) Rafael Oses Giménez de Aragón</t>
  </si>
  <si>
    <t>Mª Rocío Gómez Casas</t>
  </si>
  <si>
    <t>(T) Mª Rocío Gómez Casas</t>
  </si>
  <si>
    <t>Mateo Pares Tarres / Juana Carpio Molinos</t>
  </si>
  <si>
    <t>(U) Leonor Parés Carpio / © Leonor</t>
  </si>
  <si>
    <t>Mª Teresa Vertura Ferrer</t>
  </si>
  <si>
    <t>(T) Mª Teresa Vertura Ferrer / © Ignacio</t>
  </si>
  <si>
    <t>Ignacio Núñez Ollero</t>
  </si>
  <si>
    <t>(U) Noemí Hernández Merchán</t>
  </si>
  <si>
    <t>Juan Fª Rodríguez Flores /  Mª Sagrado Corazón Balbontín de Arce</t>
  </si>
  <si>
    <t>(T) Mª Sagrado Corazón Balbontín de Arce</t>
  </si>
  <si>
    <t>Aspius Oceanix S.L.</t>
  </si>
  <si>
    <t>(T) Aspius Oceanix S.L. / © Carlos</t>
  </si>
  <si>
    <t>Fº Javier, Guillermo y Mª Amparo López-Cepero Raigón</t>
  </si>
  <si>
    <t>(I) Francisco Góngora Valero / © Fº Javier</t>
  </si>
  <si>
    <t>Pedro Valero Arbizu / Mª Dulce Nombre Iriarte Rivero</t>
  </si>
  <si>
    <t>(T) Pedro Valero Arbizu</t>
  </si>
  <si>
    <t>José Miguel Alvarez Castro / Mª Estefanía Ríos Mejías</t>
  </si>
  <si>
    <t>José Miguel Alvarez Castro</t>
  </si>
  <si>
    <t>Mª Rocío Camacho Torres</t>
  </si>
  <si>
    <t>(T) Mª Rocío Camacho Torres</t>
  </si>
  <si>
    <t>José Angel Sánchez Cortés / Irene Llopis Piera</t>
  </si>
  <si>
    <t>(T) José Angel Sánchez Cortés</t>
  </si>
  <si>
    <t>Ismael Martín Fernández / Ana Mª Sánchez Cortés</t>
  </si>
  <si>
    <t>(T) Ismael Martín Fernández</t>
  </si>
  <si>
    <t>+34607921344</t>
  </si>
  <si>
    <t>(T) Laura Ferreiro Sánchez</t>
  </si>
  <si>
    <t>(U) Alfonsa Soltero Márquez</t>
  </si>
  <si>
    <t>DISIDENTE (David Castaño)</t>
  </si>
  <si>
    <t>(T) Lubia Amelia Vargas Villón</t>
  </si>
  <si>
    <t>(T) LLuvis Marjorie Falcones Robinzon / © Kliver Melendes 643886806</t>
  </si>
  <si>
    <t>+34669439070</t>
  </si>
  <si>
    <t>+34695067737</t>
  </si>
  <si>
    <t>+34652037310</t>
  </si>
  <si>
    <t>+34639783646</t>
  </si>
  <si>
    <t>+34646638992</t>
  </si>
  <si>
    <t>+34626702430</t>
  </si>
  <si>
    <t>+34655247542</t>
  </si>
  <si>
    <t>José Ignacio Pajares Serrano (3DCHA)</t>
  </si>
  <si>
    <t>+34687812574</t>
  </si>
  <si>
    <t>+34685137916</t>
  </si>
  <si>
    <t>+34605144924</t>
  </si>
  <si>
    <t>(I) Lina María Moreno Valencia / © Míriam</t>
  </si>
  <si>
    <t>(T) Fourat El Achkat Gharios</t>
  </si>
  <si>
    <t>Mª Dolores Muñoz Morón</t>
  </si>
  <si>
    <t>(T) Mª Dolores Muñoz Morón / © Cristian</t>
  </si>
  <si>
    <t>(T) Dolores Amelia Muñoz Vargas</t>
  </si>
  <si>
    <t>(I) Emily Alejandra Aguirre Rivadeneira</t>
  </si>
  <si>
    <t>(T) Francisco González Barrera</t>
  </si>
  <si>
    <t>(T) Mª Angeles Martín Benítez</t>
  </si>
  <si>
    <t>(T) Manuel Trabajo Tamarit</t>
  </si>
  <si>
    <t>(T) Francisco Gámez Gámez / © Herminia (HIJA)</t>
  </si>
  <si>
    <t>(I) Pablo Boza García</t>
  </si>
  <si>
    <t>(T) Antonio Gavilán Ruiz</t>
  </si>
  <si>
    <t>(T) Rafael Navarro Ramos</t>
  </si>
  <si>
    <t>(T) José Manuel Babío Sánchez</t>
  </si>
  <si>
    <t>(T) Rosario Fajardo Reyes</t>
  </si>
  <si>
    <t>(I) Mª Elisabeth Caicedo Castaño</t>
  </si>
  <si>
    <t>(T) José Luis Gracia González</t>
  </si>
  <si>
    <t>José Luis Gracia González</t>
  </si>
  <si>
    <t>(T) Pilar Victoria Villarín Díaz (otro tf 627281662)</t>
  </si>
  <si>
    <t>(T) Yola Pinto Flores</t>
  </si>
  <si>
    <t>(?) Mª José Ortega Trancoso</t>
  </si>
  <si>
    <t>+34655194916</t>
  </si>
  <si>
    <t>(?) Zuzana Duroskova Vrabcova</t>
  </si>
  <si>
    <t>Administración Arboleda (Pedro Lozano)</t>
  </si>
  <si>
    <t>954440400</t>
  </si>
  <si>
    <t>+34600732453</t>
  </si>
  <si>
    <t>(?) Delfín Ballesteros González</t>
  </si>
  <si>
    <t>+34628467004</t>
  </si>
  <si>
    <t>(?) Alberto José Galván Expósito</t>
  </si>
  <si>
    <t>+34603275477</t>
  </si>
  <si>
    <t>Sergio León Doncel</t>
  </si>
  <si>
    <t>+34633070456</t>
  </si>
  <si>
    <t>Sergio Macías Ladrón de Guevara</t>
  </si>
  <si>
    <t>+34653305571</t>
  </si>
  <si>
    <t>Gabrielle Aucello</t>
  </si>
  <si>
    <t>+34658838447</t>
  </si>
  <si>
    <t>Mercedes Trave Calatrava</t>
  </si>
  <si>
    <t>+34638448827</t>
  </si>
  <si>
    <t>Luisa Utrilla Gago</t>
  </si>
  <si>
    <t>+34661633418</t>
  </si>
  <si>
    <t>Guillermo Peinado Martín</t>
  </si>
  <si>
    <t>+34686960256</t>
  </si>
  <si>
    <t>Tomás Calvo Baeza</t>
  </si>
  <si>
    <t>+34659961806</t>
  </si>
  <si>
    <t>Mª Mar Tenorio Nogales</t>
  </si>
  <si>
    <t>(T) Mª Reyes Aguilar Delgado</t>
  </si>
  <si>
    <t>(?) Mª Angeles Delgado Vandueza</t>
  </si>
  <si>
    <t>+34609531218</t>
  </si>
  <si>
    <t>Fernanda González Chávez</t>
  </si>
  <si>
    <t>+34618389141</t>
  </si>
  <si>
    <t>Francisca López Ruiz</t>
  </si>
  <si>
    <t>+34620119341</t>
  </si>
  <si>
    <t>Andrea Dolores Herrero Varela</t>
  </si>
  <si>
    <t>+34685572280</t>
  </si>
  <si>
    <t>(T) Daniel Sánchez Jiménez</t>
  </si>
  <si>
    <t>Alvaro José Benítez Villero</t>
  </si>
  <si>
    <t>+34657061738</t>
  </si>
  <si>
    <t>(T) José Castro Pérez / © Auxi (HIJA)</t>
  </si>
  <si>
    <t>Fº Javier Castaño Fuentes</t>
  </si>
  <si>
    <t>(T) Frutas Verduras a Dos Santos S.L. / © Angel de Jesús Dos Santos Ubeda</t>
  </si>
  <si>
    <t>(T) Jairo Martínez Vázquez</t>
  </si>
  <si>
    <t>+34630553355</t>
  </si>
  <si>
    <t>Carmen Medina Rodríguez</t>
  </si>
  <si>
    <t>+34625209588</t>
  </si>
  <si>
    <t>Rev-02
18/03/2026</t>
  </si>
  <si>
    <t>PODERES
(EN CASO DE VARIOS SOCIOS)</t>
  </si>
  <si>
    <t>NIF
(PROPIETARIO ALQUILER/USUFR.)</t>
  </si>
  <si>
    <t>CONTRATO ALQUILER
USUFRUCTO</t>
  </si>
  <si>
    <t>TF</t>
  </si>
  <si>
    <t>(?) Jesús David León Morán</t>
  </si>
  <si>
    <t>+34651352886</t>
  </si>
  <si>
    <t>(?) Juan Aº Gutiérrez García</t>
  </si>
  <si>
    <t>(?) Mª Carmen Muñoz Lérida</t>
  </si>
  <si>
    <t>Consuelo Brito Fernández</t>
  </si>
  <si>
    <t>(T) Francisco Enrique Riego Ramos</t>
  </si>
  <si>
    <t>(I) Angel Ramón Llorente Moreno</t>
  </si>
  <si>
    <t>(?) José Jesús Conde Repiso</t>
  </si>
  <si>
    <t>Francisco Mendoza Cejudo</t>
  </si>
  <si>
    <t>+34654852850</t>
  </si>
  <si>
    <t>Juan Monterrubio Rudilla</t>
  </si>
  <si>
    <t>+34679668001</t>
  </si>
  <si>
    <t>David Mesa Marín</t>
  </si>
  <si>
    <t>(T) Fabián Cancio Nonalaya</t>
  </si>
  <si>
    <t>RECIBO DOC</t>
  </si>
  <si>
    <t>(?) Juan García Ortiz</t>
  </si>
  <si>
    <t>+34630155923</t>
  </si>
  <si>
    <t>(T) Daniel Díaz Machío</t>
  </si>
  <si>
    <t>ENVIO DOC</t>
  </si>
  <si>
    <t>PTO</t>
  </si>
  <si>
    <t>JM</t>
  </si>
  <si>
    <t>VISITA</t>
  </si>
  <si>
    <t>???</t>
  </si>
  <si>
    <t>954226728</t>
  </si>
  <si>
    <t>Antonio Luque Castro (Vecino del 2DCHA)</t>
  </si>
  <si>
    <t>Viñuela y Asociados (Rosalía Viñuela Rodríguez)</t>
  </si>
  <si>
    <t>Sergio (2DCHA)</t>
  </si>
  <si>
    <t>+34654756735</t>
  </si>
  <si>
    <t>(T) Francisco Javier Frías Catalán</t>
  </si>
  <si>
    <t>Daniel Díaz Machio / Carmen González Pardo (Nota Simple mal)</t>
  </si>
  <si>
    <t>(?) Fernando García Parrado</t>
  </si>
  <si>
    <t>+34685232321</t>
  </si>
  <si>
    <t>Kevin Andrés Ríos Orozco</t>
  </si>
  <si>
    <t>Julia Mª Cota Gallardo</t>
  </si>
  <si>
    <t>+34677569657</t>
  </si>
  <si>
    <t>Josefa Torres Ortiz</t>
  </si>
  <si>
    <t>+34691418277</t>
  </si>
  <si>
    <t>Meybel Liliet Salgado Martínez</t>
  </si>
  <si>
    <t>+34744603507</t>
  </si>
  <si>
    <t>Mariluz Mancilla Mostacedo</t>
  </si>
  <si>
    <t>+34632223478</t>
  </si>
  <si>
    <t>Andrés Hurtado Nogales</t>
  </si>
  <si>
    <t>Marina Sánchez Navarro</t>
  </si>
  <si>
    <t>(T) Juan Antonio Moreno Castillo</t>
  </si>
  <si>
    <t>Juan Antonio Moreno Castillo / Mª Elena Benítez Rojas</t>
  </si>
  <si>
    <t>(T) Andrés Hurtado Nogales</t>
  </si>
  <si>
    <t>Manuel Morales Capita / Rosario Guerra García</t>
  </si>
  <si>
    <t>(T) Rosario Guerra García</t>
  </si>
  <si>
    <t>(T) Marina Sánchez Navarro</t>
  </si>
  <si>
    <t>Angel Espigares Gómez / Enriqueta Jiménez Monge</t>
  </si>
  <si>
    <t>(T) Angel Espigares Gómez</t>
  </si>
  <si>
    <t>(T) José Aº Hernández Moreno</t>
  </si>
  <si>
    <t>José Aº Hernández Moreno / Mª Luisa Cordero Valle</t>
  </si>
  <si>
    <t>Andrés Hurtado Nogales (0IZDA)</t>
  </si>
  <si>
    <t>NNSS</t>
  </si>
  <si>
    <t>(?) Marleny Bueno Ruiz</t>
  </si>
  <si>
    <t>(?) Mª Luisa Alvarez Pleguezuelo</t>
  </si>
  <si>
    <t>Arturo Guerra García</t>
  </si>
  <si>
    <t>+34616658707</t>
  </si>
  <si>
    <t>José Manuel Alvarez Fernández</t>
  </si>
  <si>
    <t>Emilia Marín Vázquez</t>
  </si>
  <si>
    <t>+34651527145</t>
  </si>
  <si>
    <t>José Martínez Perea</t>
  </si>
  <si>
    <t>+34616615245</t>
  </si>
  <si>
    <t>Adolfo Manuel Catalán García / Emilio Catalán García</t>
  </si>
  <si>
    <t>Daniel Sánchez Jiménez</t>
  </si>
  <si>
    <t>Mª Angeles Jiménez Perea</t>
  </si>
  <si>
    <t>José Manuel Pérez Santana / Dolores Piña Ruiz</t>
  </si>
  <si>
    <t>(T) José González Pérez / © FºJavier (HJO)</t>
  </si>
  <si>
    <t>José González Pérez / Fº Javier González Muñoz</t>
  </si>
  <si>
    <t>Juan Carlos Muñoz Peralta / Mª Angeles Muñoz Peralta</t>
  </si>
  <si>
    <t>José Ignacio Pajares Serrano / María García Robledillo</t>
  </si>
  <si>
    <t>(T) Mª Angeles Jiménez Perea</t>
  </si>
  <si>
    <t>Juan Manuel, Reyes y Julio Roblas Regaña</t>
  </si>
  <si>
    <t>Francisca Calderón Olivencia / © Richard (643447877)</t>
  </si>
  <si>
    <t>+34683570551</t>
  </si>
  <si>
    <t xml:space="preserve"> </t>
  </si>
  <si>
    <t>+34673250702</t>
  </si>
  <si>
    <t>+34658353813</t>
  </si>
  <si>
    <t>+34670356849</t>
  </si>
  <si>
    <t>+34653214318</t>
  </si>
  <si>
    <t>+34692153938</t>
  </si>
  <si>
    <t>+34649120819</t>
  </si>
  <si>
    <t>Rafael Femenías</t>
  </si>
  <si>
    <t>Compás de seda S.L.</t>
  </si>
  <si>
    <t>Manuel David Andana Serrano</t>
  </si>
  <si>
    <t>Jaime Molina Herrera</t>
  </si>
  <si>
    <t>María de la O Encarnación Barrón Cordero</t>
  </si>
  <si>
    <t>Paco Pardo Parra</t>
  </si>
  <si>
    <t>Silvia Rus Pezzi</t>
  </si>
  <si>
    <t>(T) Compás de seda S.L.</t>
  </si>
  <si>
    <t>(T) Manuel David Andana Serrano</t>
  </si>
  <si>
    <t>(T) Jaime Molina Herrera</t>
  </si>
  <si>
    <t>(T) María de la O Encarnación Barrón Cordero</t>
  </si>
  <si>
    <t>(T) Paco Pardo Parra</t>
  </si>
  <si>
    <t>(T) Silvia Rus Pezzi</t>
  </si>
  <si>
    <t>Paco Pardo (3DCHA)</t>
  </si>
  <si>
    <t>TIEMPO</t>
  </si>
  <si>
    <t>PREVISTO</t>
  </si>
  <si>
    <t>REAL</t>
  </si>
  <si>
    <t>DESVIO</t>
  </si>
  <si>
    <t>MATERIAL</t>
  </si>
  <si>
    <t>BENEFICIO</t>
  </si>
  <si>
    <t>+34658314628</t>
  </si>
  <si>
    <t>+34692498579</t>
  </si>
  <si>
    <t>+34627318233</t>
  </si>
  <si>
    <t>+34662543766</t>
  </si>
  <si>
    <t>+34665949715</t>
  </si>
  <si>
    <t>+34692271933</t>
  </si>
  <si>
    <t>+34633768036</t>
  </si>
  <si>
    <t>+34685194945</t>
  </si>
  <si>
    <t>+34634941957</t>
  </si>
  <si>
    <t>+34638563114</t>
  </si>
  <si>
    <t>+34657804283</t>
  </si>
  <si>
    <t>+34685625494</t>
  </si>
  <si>
    <t>+34661842214</t>
  </si>
  <si>
    <t>+34665642714</t>
  </si>
  <si>
    <t>+34635651282</t>
  </si>
  <si>
    <t>+34615124852</t>
  </si>
  <si>
    <t>+34695783205</t>
  </si>
  <si>
    <t>+34695549245</t>
  </si>
  <si>
    <t>+34606623959</t>
  </si>
  <si>
    <t>+34611723115</t>
  </si>
  <si>
    <t>Estanis Rodríguez García</t>
  </si>
  <si>
    <t>+34661592498</t>
  </si>
  <si>
    <t>Isabel Mª Samada Rica</t>
  </si>
  <si>
    <t>Mª Lida Martos Machuca</t>
  </si>
  <si>
    <t>Juan Manuel de la Portilla Martínez</t>
  </si>
  <si>
    <t>Rocío Barrera Castillejo</t>
  </si>
  <si>
    <t>Francisco José García Rubio</t>
  </si>
  <si>
    <t>José Mª Lobo López</t>
  </si>
  <si>
    <t>Mª Angeles Gutiérrez Viñuela</t>
  </si>
  <si>
    <t>Mª Juana Santillán Pillajo</t>
  </si>
  <si>
    <t>Juanita Núñez Calvete</t>
  </si>
  <si>
    <t>Mª Luisa Vallejo Merino</t>
  </si>
  <si>
    <t>Araceli Escot Cabeza</t>
  </si>
  <si>
    <t>Eva Mª Galvez Olivar</t>
  </si>
  <si>
    <t>Balbina González Sierra</t>
  </si>
  <si>
    <t>Juan Carlos Martos Raya</t>
  </si>
  <si>
    <t>Natalia Ruiz Vela</t>
  </si>
  <si>
    <t>Ane Iparraguirre Maiza</t>
  </si>
  <si>
    <t>Alejandro Castillo Solano</t>
  </si>
  <si>
    <t>Antonio Nicolás Candau García</t>
  </si>
  <si>
    <t>Miguel Conde Carretero</t>
  </si>
  <si>
    <t>+34625146658</t>
  </si>
  <si>
    <t>+34656343622</t>
  </si>
  <si>
    <t>----------</t>
  </si>
  <si>
    <t>+34666286535</t>
  </si>
  <si>
    <t>+34657111807</t>
  </si>
  <si>
    <t>+34635792691</t>
  </si>
  <si>
    <t>+34651939291</t>
  </si>
  <si>
    <t>+34665245204</t>
  </si>
  <si>
    <t>+34654912325</t>
  </si>
  <si>
    <t>+34625329237</t>
  </si>
  <si>
    <t>Almudena Caro</t>
  </si>
  <si>
    <t>Jacinto García Rodríguez (3IZDA)</t>
  </si>
  <si>
    <t>Mª Nieves Castillo Gordillo</t>
  </si>
  <si>
    <t>Andrés Gómez Carrasco / Juana García Palomo</t>
  </si>
  <si>
    <t>(T) Juana García Palomo</t>
  </si>
  <si>
    <t>Otilia Uceda Carballar</t>
  </si>
  <si>
    <t>Mª Gracia Martín Alfonso</t>
  </si>
  <si>
    <t>(T) Mª Gracia Martín Alfonso (HA FALLECIDO - GLORIA HIJA)</t>
  </si>
  <si>
    <t>Mª Carmen Martín González</t>
  </si>
  <si>
    <t>(T) Mª Carmen Martín González</t>
  </si>
  <si>
    <t>María Jiménez Carbellido</t>
  </si>
  <si>
    <t>(T) María Jiménez Carbellido</t>
  </si>
  <si>
    <t>Alvaro Jiménez Guerrero</t>
  </si>
  <si>
    <t>(T) Alvaro Jiménez Guerrero</t>
  </si>
  <si>
    <t>Mª Mar Ruiz Hurtado</t>
  </si>
  <si>
    <t>(T) Mª Mar Ruiz Hurtado</t>
  </si>
  <si>
    <t>Mª Luz Cruz Martín</t>
  </si>
  <si>
    <t>(T) Mª Luz Cruz Martín</t>
  </si>
  <si>
    <t>Juan Gustavo Herrera Morcillo / Josefa Chilla Castro</t>
  </si>
  <si>
    <t>(T) Juan Gustavo Herrera Morcillo</t>
  </si>
  <si>
    <t>+34656471393</t>
  </si>
  <si>
    <t>+34636550334</t>
  </si>
  <si>
    <t>+34657647358</t>
  </si>
  <si>
    <t>+34655858263</t>
  </si>
  <si>
    <t>NO TIENE?</t>
  </si>
  <si>
    <t>+34696636421</t>
  </si>
  <si>
    <t>+34669139382</t>
  </si>
  <si>
    <t>+34676592931</t>
  </si>
  <si>
    <t>+34653621117</t>
  </si>
  <si>
    <t>+34629263538</t>
  </si>
  <si>
    <t>+34635441585</t>
  </si>
  <si>
    <t>+34655604118</t>
  </si>
  <si>
    <t>+34658313506</t>
  </si>
  <si>
    <t>+34656676156</t>
  </si>
  <si>
    <t>+34635128996</t>
  </si>
  <si>
    <t>+34607496491</t>
  </si>
  <si>
    <t>+34679377286</t>
  </si>
  <si>
    <t>+34672024669</t>
  </si>
  <si>
    <t>+34610180638</t>
  </si>
  <si>
    <t>+34674624932</t>
  </si>
  <si>
    <t>+34657814810</t>
  </si>
  <si>
    <t>+34634532876</t>
  </si>
  <si>
    <t>+34656674874</t>
  </si>
  <si>
    <t>+34687302174</t>
  </si>
  <si>
    <t>+34605729032</t>
  </si>
  <si>
    <t>+34637877227</t>
  </si>
  <si>
    <t>+34675036048</t>
  </si>
  <si>
    <t>+34638588796</t>
  </si>
  <si>
    <t>+34695707073</t>
  </si>
  <si>
    <t>+34615057953</t>
  </si>
  <si>
    <t>+34602174457</t>
  </si>
  <si>
    <t>+34639743244</t>
  </si>
  <si>
    <t>+34601237047</t>
  </si>
  <si>
    <t>+34667326449</t>
  </si>
  <si>
    <t>+34669064893</t>
  </si>
  <si>
    <t>+34652345652</t>
  </si>
  <si>
    <t>Elvira Domínguez Fuentes</t>
  </si>
  <si>
    <t>(T) Elvira Domínguez Fuentes</t>
  </si>
  <si>
    <t>Samara González Valera</t>
  </si>
  <si>
    <t>(T) Samara González Valera</t>
  </si>
  <si>
    <t>Manuel Amador Benítez / Carmen Núñez Peña</t>
  </si>
  <si>
    <t>(T) Carmen Núnez Peña</t>
  </si>
  <si>
    <t>Mª Angeles García Colomera</t>
  </si>
  <si>
    <t>(T) Mª Angeles García Colomera</t>
  </si>
  <si>
    <t>Josefa Vallejo González / y otros</t>
  </si>
  <si>
    <t>(T) Josefa Vallejo González</t>
  </si>
  <si>
    <t>Antonio Mesa Rabaez / Mª Carmen Liger Lara</t>
  </si>
  <si>
    <t>(T) Mª Carmen Liger Lara</t>
  </si>
  <si>
    <t>Concepción Infante Cerro</t>
  </si>
  <si>
    <t>(T) Concepción Infante Cerro</t>
  </si>
  <si>
    <t>Antonio Moreno García</t>
  </si>
  <si>
    <t>(I) Jesús Navas Orozco</t>
  </si>
  <si>
    <t>Víctor Manuel Ximénez de Cisneros / Mª Isabel Acero Díaz</t>
  </si>
  <si>
    <t>(T) Víctor Manuel Ximénez de Cisneros</t>
  </si>
  <si>
    <t>Antonio Cejudo Sánchez / Juana Baeza García</t>
  </si>
  <si>
    <t>(T) Antonio Cejudo Sánchez</t>
  </si>
  <si>
    <t>Mª Carmen Pina Molina</t>
  </si>
  <si>
    <t>(T) Mª Carmen Pina Molina</t>
  </si>
  <si>
    <t>Ceferino Pérez Capitas / Manuela Sánchez Roldán</t>
  </si>
  <si>
    <t>(T) Ceferino Pérez Capitas</t>
  </si>
  <si>
    <t>Sonia Sánchez Martín</t>
  </si>
  <si>
    <t>(T) Sonia Sánchez Martín</t>
  </si>
  <si>
    <t>Mercedes García Ocaña</t>
  </si>
  <si>
    <t>(T) Mercedes García Ocaña</t>
  </si>
  <si>
    <t>José Mª Domínguez Ceja</t>
  </si>
  <si>
    <t>(I) Silvio Hernán Loys Di Domenico</t>
  </si>
  <si>
    <t>Margarita Domínguez Ceja</t>
  </si>
  <si>
    <t>(I) José Manuel Briales Soriano</t>
  </si>
  <si>
    <t>Manuel Serrano Pachón</t>
  </si>
  <si>
    <t>(T) Manuel Serrano Pachón</t>
  </si>
  <si>
    <t>Rafael Jurado Moreno / Carmen Terrón Guerrero</t>
  </si>
  <si>
    <t>(I) Nelya Doeva</t>
  </si>
  <si>
    <t>Amparo Delgado Aguilar</t>
  </si>
  <si>
    <t>(T) Amparo Delgado Aguilar</t>
  </si>
  <si>
    <t>Mª Rocío Gómez Utrero</t>
  </si>
  <si>
    <t>(U) Marta de la Fuente Gómez</t>
  </si>
  <si>
    <t>Antonio Gómez Correa / Milagros García Rodríguez</t>
  </si>
  <si>
    <t>(T) Antonio Gómez Correa</t>
  </si>
  <si>
    <t>Angel Sánchez Pastor / Ana Aurora Rodríguez Rodríguez</t>
  </si>
  <si>
    <t>(T) Angel Sánchez Pastor</t>
  </si>
  <si>
    <t>Diego Hidalgo Avellaneda</t>
  </si>
  <si>
    <t>(T) Diego Hidalgo Avellaneda</t>
  </si>
  <si>
    <t>Agustín Galeano Riquelme / Mª Luísa Naranjo Matías</t>
  </si>
  <si>
    <t>(T) Mª Luísa Naranjo Matías</t>
  </si>
  <si>
    <t>Fernando Núñez Franco / Marta Buzón Suárez</t>
  </si>
  <si>
    <t>(T) Fernando Núñez Franco</t>
  </si>
  <si>
    <t>David Espínola Espínola / Rocío Gutiérrez Rodríguez</t>
  </si>
  <si>
    <t>(T) David Espínola Espínola</t>
  </si>
  <si>
    <t>Juan Antonio Torres Olgambidez</t>
  </si>
  <si>
    <t xml:space="preserve">(I) Juan José Catalán López </t>
  </si>
  <si>
    <t>José Manuel Jiménez Acevedo / Mª Isabel Naranjo López</t>
  </si>
  <si>
    <t>(T) José Manuel Jiménez Acevedo</t>
  </si>
  <si>
    <t>Jesús de los Santos Moncayo</t>
  </si>
  <si>
    <t>(T) Jesús de los Santos Moncayo</t>
  </si>
  <si>
    <t>Ana Gloria Romero Valseca</t>
  </si>
  <si>
    <t>(I) Cristian Andrés Salinas Riquelme</t>
  </si>
  <si>
    <t>Dolores Pérez López / y otros</t>
  </si>
  <si>
    <t>(I) Faith Omosefe Obed</t>
  </si>
  <si>
    <t>Encarnación Martín Rodríguez</t>
  </si>
  <si>
    <t>(T) Encarnación Martín Rodríguez</t>
  </si>
  <si>
    <t>Antonio Fernández Cubero / Ana Galindo Sánchez</t>
  </si>
  <si>
    <t>(T) Antonio Fernández Cubero</t>
  </si>
  <si>
    <t>Francisco Gómez Díaz / Mª Carmen Reyes Duarte</t>
  </si>
  <si>
    <t>(T) Francisco Gómez Díaz</t>
  </si>
  <si>
    <t>Manuel Jesús Rivera Muñoz / Rosa Mª Morillo Alvarez</t>
  </si>
  <si>
    <t>(T) Manuel Jesús Rivera Muñoz</t>
  </si>
  <si>
    <t>Lorena Navarro Hernández</t>
  </si>
  <si>
    <t>(T) Lorena Navarro Hernández</t>
  </si>
  <si>
    <t>Paco Gómez (8B)</t>
  </si>
  <si>
    <t>+34678155945</t>
  </si>
  <si>
    <t>+34678914193</t>
  </si>
  <si>
    <t>+34628893350</t>
  </si>
  <si>
    <t>Javier Sánchez (Entresuelo)</t>
  </si>
  <si>
    <t>Manuela Ferreira Garrote (1)</t>
  </si>
  <si>
    <t>Shiou-Ping-Lin</t>
  </si>
  <si>
    <t>(T) Shiou-Ping-Lin</t>
  </si>
  <si>
    <t>Manuela Ferreira Garrote</t>
  </si>
  <si>
    <t>(T) Manuela Ferreira Garrote</t>
  </si>
  <si>
    <t>Emilio Matutano García</t>
  </si>
  <si>
    <t>(I) Iñigo Galdames Larrea</t>
  </si>
  <si>
    <t>+34679861148</t>
  </si>
  <si>
    <t>+34727764166</t>
  </si>
  <si>
    <t>+34658056074</t>
  </si>
  <si>
    <t>+34644115295</t>
  </si>
  <si>
    <t>+34670633686</t>
  </si>
  <si>
    <t>+34656870681</t>
  </si>
  <si>
    <t>+34660573481</t>
  </si>
  <si>
    <t>+34659792091</t>
  </si>
  <si>
    <t>+34652550782</t>
  </si>
  <si>
    <t>+34633558763</t>
  </si>
  <si>
    <t>Juan Manuel Álvarez Quirosa</t>
  </si>
  <si>
    <t>Asunción Rodríguez (1ºA)</t>
  </si>
  <si>
    <t>Isabel María Lara Lara</t>
  </si>
  <si>
    <t>(I) Wendi Yajaira Saban Quino de Pérez</t>
  </si>
  <si>
    <t>Asunción Rodríguez Núñez</t>
  </si>
  <si>
    <t>(T) Asunción Rodríguez Núñez</t>
  </si>
  <si>
    <t>Antonio Rivero Fernández / Ramona Acemel López</t>
  </si>
  <si>
    <t>(T) Antonio Rivero Fernández</t>
  </si>
  <si>
    <t>Paloma Macarro López</t>
  </si>
  <si>
    <t>(T) Paloma Macarro López</t>
  </si>
  <si>
    <t>Pedro José López Martínez / Misany Alves Almeida</t>
  </si>
  <si>
    <t>(T) Pedro José López Martínez</t>
  </si>
  <si>
    <t>José Luis Suárez Alvarez / Esperanza Martínez Sánchez</t>
  </si>
  <si>
    <t>(T) Esperanza Martínez Sánchez</t>
  </si>
  <si>
    <t>María García León</t>
  </si>
  <si>
    <t>(T) María García León</t>
  </si>
  <si>
    <t>Helmsman Real Estate Investments (Gerardo Redondo Cáceres)</t>
  </si>
  <si>
    <t>(I) Jaira Esmeralda Alfaro de Rosales</t>
  </si>
  <si>
    <t>Juan José Carrasco Roldán / Francisca González Díaz</t>
  </si>
  <si>
    <t>(T) Juan José Carrasco Roldán</t>
  </si>
  <si>
    <t>+34635141869</t>
  </si>
  <si>
    <t>+34677487952</t>
  </si>
  <si>
    <t>+34615868346</t>
  </si>
  <si>
    <t>+34657211478</t>
  </si>
  <si>
    <t>+34659373465</t>
  </si>
  <si>
    <t>+34671629283</t>
  </si>
  <si>
    <t>+34693301525</t>
  </si>
  <si>
    <t>+34605456704</t>
  </si>
  <si>
    <t>+34629416354</t>
  </si>
  <si>
    <t>+34648959014</t>
  </si>
  <si>
    <t>+34685111983</t>
  </si>
  <si>
    <t>+34646749317</t>
  </si>
  <si>
    <t>+34640379636</t>
  </si>
  <si>
    <t>+34656401811</t>
  </si>
  <si>
    <t>+34654519111</t>
  </si>
  <si>
    <t>+34671868065</t>
  </si>
  <si>
    <t>+34667355149</t>
  </si>
  <si>
    <t>+34659537134</t>
  </si>
  <si>
    <t>Gonzalo Cordero López (0C)</t>
  </si>
  <si>
    <t>Hilaria Cabeza García</t>
  </si>
  <si>
    <t>(T) Hilaria Cabeza García / © HIJO (Julio)</t>
  </si>
  <si>
    <t>Gonzalo Cordero López</t>
  </si>
  <si>
    <t>(T) Gonzalo Cordero López</t>
  </si>
  <si>
    <t>Manuel Rodríguez Rosado / Olga Mª Palomino Prieto</t>
  </si>
  <si>
    <t>(T) Olga Mª Palomino Prieto</t>
  </si>
  <si>
    <t>Juan Manuel Sánchez Morales</t>
  </si>
  <si>
    <t>(T) Juan Manuel Sánchez Morales</t>
  </si>
  <si>
    <t>José Ramón Seoane Couso / María Ramos del Pinio</t>
  </si>
  <si>
    <t>(T) José Ramón Seoane Couso</t>
  </si>
  <si>
    <t>Rafael Mestres Vital / Dolores Ruiz Gómez</t>
  </si>
  <si>
    <t>(U) José Martín Mestres</t>
  </si>
  <si>
    <t>Mª Carmen Gómez Sánchez</t>
  </si>
  <si>
    <t>(U) Rafael Rodríguez Vidal</t>
  </si>
  <si>
    <t>Mª Pilar Gutiérrez Cabanas</t>
  </si>
  <si>
    <t>(T) Mª Pilar Gutiérrez Cabanas</t>
  </si>
  <si>
    <t>Mª Cruz Orejudo Dueñas</t>
  </si>
  <si>
    <t>(T) Mª Cruz Orejudo Dueñas</t>
  </si>
  <si>
    <t>Esperanza Nagelmann / Carmen Nagelmann</t>
  </si>
  <si>
    <t>(U) Esperanza Rodríguez Donaire</t>
  </si>
  <si>
    <t>Miguel Angel Bellido Millán / Vanessa Chipirras Navalón</t>
  </si>
  <si>
    <t>(T) Miguel Angel Bellido Millán</t>
  </si>
  <si>
    <t>Mª Carmen Reina Marín / y otros</t>
  </si>
  <si>
    <t>(T) Mª Carmen Reina Marín</t>
  </si>
  <si>
    <t>Pedro Pedrero Moreno</t>
  </si>
  <si>
    <t>(T) Pedro Pedrero Moreno</t>
  </si>
  <si>
    <t>Cristóbal Muros Dorado</t>
  </si>
  <si>
    <t>(T) Cristóbal Muros Dorado</t>
  </si>
  <si>
    <t>Caridad Centeno García</t>
  </si>
  <si>
    <t>(T) Caridad Centeno García</t>
  </si>
  <si>
    <t>José Burgos díaz / Consuelo Romero Rodríguez</t>
  </si>
  <si>
    <t>(T) José Burgos díaz</t>
  </si>
  <si>
    <t>Guillermo Gomila Haro / Herminia Román Domínguez</t>
  </si>
  <si>
    <t>(T) Herminia Román Domínguez</t>
  </si>
  <si>
    <t>Mª Cristina Pérez Rodríguez</t>
  </si>
  <si>
    <t>(T) Mª Cristina Pérez Rodríguez</t>
  </si>
  <si>
    <t>+34679658613</t>
  </si>
  <si>
    <t>+34618561613</t>
  </si>
  <si>
    <t>+34665013241</t>
  </si>
  <si>
    <t>+34607704477</t>
  </si>
  <si>
    <t>+34661844000</t>
  </si>
  <si>
    <t>Jorge González Gil de  Montes (I&amp;G Consulting)</t>
  </si>
  <si>
    <t>Ramón Sánchez Estepa</t>
  </si>
  <si>
    <t>Ramón Sánchez Estepa (2DCHA)</t>
  </si>
  <si>
    <t>Fernando Márquez de la Rubia / Isabel Mª Rodríguez Redondo</t>
  </si>
  <si>
    <t>(T) Isabel Mª Rodríguez Redondo</t>
  </si>
  <si>
    <t>Francisco Javier Contreras Rubio</t>
  </si>
  <si>
    <t>(T) Francisco Javier Contreras Rubio</t>
  </si>
  <si>
    <t>(I) José Muñoz Benítez</t>
  </si>
  <si>
    <t>Manuel Vázquez Pérez / Sagrario Santiago de Paz</t>
  </si>
  <si>
    <t>(T) Sagrario Santiago de Paz / © Manolo (HIJO)</t>
  </si>
  <si>
    <t>TOTAL</t>
  </si>
  <si>
    <t>COBRADO</t>
  </si>
  <si>
    <t>TERMINADO</t>
  </si>
  <si>
    <t>----</t>
  </si>
  <si>
    <t>RESTANTE</t>
  </si>
  <si>
    <t>Jaime Conde Vaquero (1B)</t>
  </si>
  <si>
    <t>(?) Bernardo Muñoz Martínez</t>
  </si>
  <si>
    <t>+34657858520</t>
  </si>
  <si>
    <t>(T) Juan Manuel Iglesias Barco</t>
  </si>
  <si>
    <t>(T) Francisco Torres Alvarez</t>
  </si>
  <si>
    <t>(T) Armine Gricoryan Nahapetyan</t>
  </si>
  <si>
    <t>+34652431854</t>
  </si>
  <si>
    <t>(?) Mª Elena Pérez García</t>
  </si>
  <si>
    <t>+34672157592</t>
  </si>
  <si>
    <t>(T) Adolfo Manuel Catalán García</t>
  </si>
  <si>
    <t>Carrión Gestión Fincas SL (Juan Luis Carrión / Yolanda)</t>
  </si>
  <si>
    <t>Carrión Gestión Fincas SL (Juan Luis Carrión / Javier)</t>
  </si>
  <si>
    <t>(T) Mª Gema García Navarro</t>
  </si>
  <si>
    <t>(T) Isidro Gabriel Castaño Rojas</t>
  </si>
  <si>
    <t>Rafael León Mariscal</t>
  </si>
  <si>
    <t>Mª José Medina Cabral</t>
  </si>
  <si>
    <t>Jesús Segura Busutil / Mª José Medina Cabral</t>
  </si>
  <si>
    <t>(T) Carmen Mª López Sánchez</t>
  </si>
  <si>
    <t>(?) Alberto Caballero Martín</t>
  </si>
  <si>
    <t>(0IZDA-LOCAL)</t>
  </si>
  <si>
    <t>+34606581562</t>
  </si>
  <si>
    <t>+34686291516</t>
  </si>
  <si>
    <t>Manuel Ángel Limón Pozo</t>
  </si>
  <si>
    <t>+34619719813</t>
  </si>
  <si>
    <t>+34619231120</t>
  </si>
  <si>
    <t>+34627330094</t>
  </si>
  <si>
    <t>+34672097512</t>
  </si>
  <si>
    <t>+34657562439</t>
  </si>
  <si>
    <t>Mª Paz Limeres Domínguez</t>
  </si>
  <si>
    <t>+34645630270</t>
  </si>
  <si>
    <t>Mª Luisa Serrano Benítez</t>
  </si>
  <si>
    <t>Tririnidad Fernández clavijo</t>
  </si>
  <si>
    <t>+34656465487</t>
  </si>
  <si>
    <t>Feliciana Cabeza Amorín</t>
  </si>
  <si>
    <t>+34628811794</t>
  </si>
  <si>
    <t>(T) Pilar Portales Carrero</t>
  </si>
  <si>
    <t>(T) Adolfo Mejías Tobar / © (HIJA) Macarena</t>
  </si>
  <si>
    <t>(T) Edith Mariel Ruiz Ruiz</t>
  </si>
  <si>
    <t>Cynthia Mabel Ruiz Ruiz</t>
  </si>
  <si>
    <t>(?) Fernando Marín Bonilla</t>
  </si>
  <si>
    <t>(U) Mª Casilda Ruiz Ruiz</t>
  </si>
  <si>
    <t>SEGUIMIENTO</t>
  </si>
  <si>
    <t>gomezandrade@gmail.com</t>
  </si>
  <si>
    <t>Juan Gómez Andrade</t>
  </si>
  <si>
    <t>presupuestos@guanesabogados.es</t>
  </si>
  <si>
    <t>Jesús Rebollo Roldán</t>
  </si>
  <si>
    <t>jesusrebollo@us.es</t>
  </si>
  <si>
    <t>maicaiuris.1@gmail.com</t>
  </si>
  <si>
    <t>Javier Ponce</t>
  </si>
  <si>
    <t>jponcol@gmail.com</t>
  </si>
  <si>
    <t>Víctor Montero</t>
  </si>
  <si>
    <t>Macarena Soriano</t>
  </si>
  <si>
    <t>espe.maca@hotmail.com</t>
  </si>
  <si>
    <t>serranorodriguez@gmail.com</t>
  </si>
  <si>
    <t>Mercedes</t>
  </si>
  <si>
    <t>Juan Manuel Moreno Suárez</t>
  </si>
  <si>
    <t>Antonio Martínez Cordero</t>
  </si>
  <si>
    <t>antonio.martinezcordero@gmail.com</t>
  </si>
  <si>
    <t>Cafinca (Manuel Castro)</t>
  </si>
  <si>
    <t>Manuel Rueda</t>
  </si>
  <si>
    <t>ruedamayo1960@gmail.com</t>
  </si>
  <si>
    <t>Carmen Gutiérrez Escaño</t>
  </si>
  <si>
    <t>carmen.ge.abogada@gmail.com</t>
  </si>
  <si>
    <t>Antonio Matamoros</t>
  </si>
  <si>
    <t>antoniomatamorosg@gmail.com</t>
  </si>
  <si>
    <t>NO</t>
  </si>
  <si>
    <t>palomacamaraflores@gmail.com</t>
  </si>
  <si>
    <t>Paloma Cámara Flores</t>
  </si>
  <si>
    <t>Laura</t>
  </si>
  <si>
    <t>lausanmed@hotmail.com</t>
  </si>
  <si>
    <t>José Javier Carmona Herrera (Yajaira León)</t>
  </si>
  <si>
    <t>Miguel Pastor</t>
  </si>
  <si>
    <t>info@asesoraadmfincas.com</t>
  </si>
  <si>
    <t>gestoria.olmedo@gmail.com</t>
  </si>
  <si>
    <t>Rafael Granados</t>
  </si>
  <si>
    <t>Tu Comuniad Ahorra (Antonio Guillena Sosa)</t>
  </si>
  <si>
    <t>antonio.guillena@tucomunidadahorra.com</t>
  </si>
  <si>
    <t>Cristian</t>
  </si>
  <si>
    <t>abogadadesevilla@gmail.com</t>
  </si>
  <si>
    <t>Paco Pardo</t>
  </si>
  <si>
    <t>fpardop@gmail,com</t>
  </si>
  <si>
    <t>margotchavezdiaz.1981@gmail.com</t>
  </si>
  <si>
    <t>Rafael López Santos</t>
  </si>
  <si>
    <t>rafaellopezsantos00@gmail.com</t>
  </si>
  <si>
    <t>asesoresrvr@gmail.com</t>
  </si>
  <si>
    <t>Inmho (Luis Ruiz)</t>
  </si>
  <si>
    <t>luis.ruiz@inmho.es</t>
  </si>
  <si>
    <t>Mª Mar</t>
  </si>
  <si>
    <t>Fernando Soria</t>
  </si>
  <si>
    <t>hzpania@hotmail.com</t>
  </si>
  <si>
    <t>Mª José Gavira Reina</t>
  </si>
  <si>
    <t>mjgr0000@gmail.com</t>
  </si>
  <si>
    <t>Durán Gestión de Fincas (Maribel Durán)</t>
  </si>
  <si>
    <t>despachomaribelduran@gmail.com</t>
  </si>
  <si>
    <t>Esther (4)</t>
  </si>
  <si>
    <t>Tejadas Administradores de Fincas (Luis Antonio Rodríguez Machado)</t>
  </si>
  <si>
    <t>luisrodmac@tejadasadf.com</t>
  </si>
  <si>
    <t>Roberto</t>
  </si>
  <si>
    <t>Oscar Vázquez Sánchez</t>
  </si>
  <si>
    <t>oscar.vaz.san@gmail.com</t>
  </si>
  <si>
    <t>Antonio</t>
  </si>
  <si>
    <t>ciudaddechiva16@gmail.com</t>
  </si>
  <si>
    <t>Asesoria Antonio Romero (Antonio Romero)</t>
  </si>
  <si>
    <t>692191278 / 611130301 (sólo WhatsApp)</t>
  </si>
  <si>
    <t>info@asesoriaantonioromero.com</t>
  </si>
  <si>
    <t>Antonio Castro Medina</t>
  </si>
  <si>
    <t>fincas1982@gmail.com</t>
  </si>
  <si>
    <t>Isabel Casado</t>
  </si>
  <si>
    <t>Paqui Castro</t>
  </si>
  <si>
    <t>paquicastro1987@icloud.com</t>
  </si>
  <si>
    <t>davidramosmartin@hotmail.com</t>
  </si>
  <si>
    <t>David Ramos Martín</t>
  </si>
  <si>
    <t>Angel Pérez</t>
  </si>
  <si>
    <t>Manuel Angel Lopez Mayor</t>
  </si>
  <si>
    <t>manulopezma@gmail.com</t>
  </si>
  <si>
    <t>Alberto</t>
  </si>
  <si>
    <t>Francisco Jiménez</t>
  </si>
  <si>
    <t>jimenezgarcia2007@yahoo.es</t>
  </si>
  <si>
    <t>Rafael López-Arza (Presidente)</t>
  </si>
  <si>
    <t>Elena Jiménez Oviedo (Thafincas)</t>
  </si>
  <si>
    <t>thafincas@thafincas.es</t>
  </si>
  <si>
    <t>Mª Angeles</t>
  </si>
  <si>
    <t>Fincas Guadaíra (Javier Ojeda)</t>
  </si>
  <si>
    <t>fincas@guadairaxv.com</t>
  </si>
  <si>
    <t>Juan Luis Martínez Sánchez</t>
  </si>
  <si>
    <t>julumandia@hotmail.com</t>
  </si>
  <si>
    <t>Manuel</t>
  </si>
  <si>
    <t>Yolanda</t>
  </si>
  <si>
    <t>Olivar de Quintos (Angel Medina)</t>
  </si>
  <si>
    <t>gestion@olivaradministraciones.com</t>
  </si>
  <si>
    <t>Nieves Montero</t>
  </si>
  <si>
    <t>vevesmon@gmail.com</t>
  </si>
  <si>
    <t>info@agescomfincas.com</t>
  </si>
  <si>
    <t>Lex Finca (Estanis Rodríguez García)</t>
  </si>
  <si>
    <t>erodriguez@lexfinca.com</t>
  </si>
  <si>
    <t>Asesores emPROS (Elodia Pérez Parra)</t>
  </si>
  <si>
    <t>elo@empros.es / comunidades@empros.es</t>
  </si>
  <si>
    <t>Coronada García Márquez</t>
  </si>
  <si>
    <t>garciaymarquez@gmail.com</t>
  </si>
  <si>
    <t>administradores@administracionarboleda.com</t>
  </si>
  <si>
    <t>Mario Arias Sánchez (4DCHA)</t>
  </si>
  <si>
    <t>marioariassevilla@gmail.com</t>
  </si>
  <si>
    <t>Gertrudis Salazar</t>
  </si>
  <si>
    <t>sb@sabefincaslegal.es</t>
  </si>
  <si>
    <t>Angela (2º3)</t>
  </si>
  <si>
    <t>Se-Fincas (Adriana Heredia Nieto)(Elena)</t>
  </si>
  <si>
    <t>administracion@se-fincas.es</t>
  </si>
  <si>
    <t>Araceli Rubio</t>
  </si>
  <si>
    <t>Jacinto García Rodríguez</t>
  </si>
  <si>
    <t>VAS</t>
  </si>
  <si>
    <t>info@vasasesoria.es</t>
  </si>
  <si>
    <t>Carmen</t>
  </si>
  <si>
    <t>Ignacio</t>
  </si>
  <si>
    <t>Gertrudis Osuna</t>
  </si>
  <si>
    <t>gertrudis@jmol.es</t>
  </si>
  <si>
    <t>Bufete Flores (Francisco Aguayo de Flores)</t>
  </si>
  <si>
    <t>abogados@bufeteflores.es</t>
  </si>
  <si>
    <t>Francisco o Inmaculada</t>
  </si>
  <si>
    <t>Luis Pérez</t>
  </si>
  <si>
    <t>l.perez@copitise.es</t>
  </si>
  <si>
    <t>Inmho (Estefania Fleitas)</t>
  </si>
  <si>
    <t>estefania.fleitas@inmho.es</t>
  </si>
  <si>
    <t>mrocio.obva@hotmail.es</t>
  </si>
  <si>
    <t>Rocío Obando</t>
  </si>
  <si>
    <t>Sergio</t>
  </si>
  <si>
    <t>Rafael Varo Fuentes</t>
  </si>
  <si>
    <t>varofuentes@hotmail.com</t>
  </si>
  <si>
    <t>Joaquín Alcaide Fernández</t>
  </si>
  <si>
    <t>jalcaide10@hotmail.es</t>
  </si>
  <si>
    <t>JF Servicios Inmobiliarios (José Feria)(Natalia)</t>
  </si>
  <si>
    <t>natalia@jferia.com</t>
  </si>
  <si>
    <t>Elisa</t>
  </si>
  <si>
    <t>Tana</t>
  </si>
  <si>
    <t>presupuestos@administradorsevilla.es</t>
  </si>
  <si>
    <t>Mª José Ramírez</t>
  </si>
  <si>
    <t>Alfonso Sánchez Vázquez</t>
  </si>
  <si>
    <t>alfonso.sanchez.vazquez@gmail.com</t>
  </si>
  <si>
    <t>ADF Sevilla (Jesús Galván Fernández)</t>
  </si>
  <si>
    <t>info@adfsevilla.com</t>
  </si>
  <si>
    <t>Javier Holgado</t>
  </si>
  <si>
    <t>Paco Gómez</t>
  </si>
  <si>
    <t>José Mª Idígoras</t>
  </si>
  <si>
    <t>jmariaidigorascaceres@gmail.com</t>
  </si>
  <si>
    <t>Mª Dolores Moya Caballo</t>
  </si>
  <si>
    <t>marilo61@gmx.com</t>
  </si>
  <si>
    <t>Javier Sánchez</t>
  </si>
  <si>
    <t>jsmf77@hotmail.com</t>
  </si>
  <si>
    <t>Fátima</t>
  </si>
  <si>
    <t>sergio_carrillo_santos@hotmail.com</t>
  </si>
  <si>
    <t>Rocío</t>
  </si>
  <si>
    <t>José Antonio (0C)</t>
  </si>
  <si>
    <t>José García Ruiz</t>
  </si>
  <si>
    <t>jogaru13@gmail.com</t>
  </si>
  <si>
    <t>Joaquín Montaño</t>
  </si>
  <si>
    <t>jmontib@hotmail.com</t>
  </si>
  <si>
    <t>perezdelpozo.af@gmail.com</t>
  </si>
  <si>
    <t>Francisco (3IZDA)</t>
  </si>
  <si>
    <t>Enrique</t>
  </si>
  <si>
    <t>Guillermo Sánchez Contreras</t>
  </si>
  <si>
    <t>fincasol@fincasol.es</t>
  </si>
  <si>
    <t>Javier</t>
  </si>
  <si>
    <t>gloquial@hotmail.com</t>
  </si>
  <si>
    <t>Gloria Quintero</t>
  </si>
  <si>
    <t>Carmen Ariza</t>
  </si>
  <si>
    <t>gerenciafrias@gmail.com</t>
  </si>
  <si>
    <t>jamr.maraver@gmail.com</t>
  </si>
  <si>
    <t>Marcal Nervión Asesores (Juan José Montes)</t>
  </si>
  <si>
    <t>jmontes@marcalasesores.com</t>
  </si>
  <si>
    <t>Andrés Rodríguez</t>
  </si>
  <si>
    <t>Paloma</t>
  </si>
  <si>
    <t>Pepi González</t>
  </si>
  <si>
    <t>José Antonio</t>
  </si>
  <si>
    <t>Nieves Borrego Paredes (2IZDA)</t>
  </si>
  <si>
    <t>Antonio Luque</t>
  </si>
  <si>
    <t>antonio_luq@yahoo.es</t>
  </si>
  <si>
    <t>Mª Antonia</t>
  </si>
  <si>
    <t>Mª José</t>
  </si>
  <si>
    <t>Mafincas (Lola)</t>
  </si>
  <si>
    <t>954 93 22 06</t>
  </si>
  <si>
    <t>contabilidad@mafincas.com</t>
  </si>
  <si>
    <t>Miguel Dominguez</t>
  </si>
  <si>
    <t>Raquel Cordero</t>
  </si>
  <si>
    <t>pentagonoapi@telefonica.net</t>
  </si>
  <si>
    <t>Diego</t>
  </si>
  <si>
    <t>Carlos Wtulich Moraga</t>
  </si>
  <si>
    <t>jcwtulichmoraga@gmail.com</t>
  </si>
  <si>
    <t>Cristina</t>
  </si>
  <si>
    <t>David Alvarez Domínguez</t>
  </si>
  <si>
    <t>Rafael de Tovar Reyes</t>
  </si>
  <si>
    <t>rafadetovar@hotmail.com</t>
  </si>
  <si>
    <t>gonzaleztaxi62@gmail.com</t>
  </si>
  <si>
    <t>Carlos González</t>
  </si>
  <si>
    <t>Adrián Calderón</t>
  </si>
  <si>
    <t>administracion@acfincasur.es</t>
  </si>
  <si>
    <t>José Manuel Berro</t>
  </si>
  <si>
    <t>jmberro@hotmail.com</t>
  </si>
  <si>
    <t>Consuelo Rodríguez Barrera (Rome)</t>
  </si>
  <si>
    <t>consuelo@romeabogados.net</t>
  </si>
  <si>
    <t>Inmho (Mª Carmen García)</t>
  </si>
  <si>
    <t>mcarmen.garcia@inmho.es</t>
  </si>
  <si>
    <t>Joaquín Santos</t>
  </si>
  <si>
    <t>infoadfsevilla@gmail.com</t>
  </si>
  <si>
    <t>mangel.diaz@inmho.es / eugenia.martin@inmho.es</t>
  </si>
  <si>
    <t>Francisco Cabello (recordar acometida por fachada o falso techo del bajo)</t>
  </si>
  <si>
    <t>fjcabellointeriorismo@gmail.com</t>
  </si>
  <si>
    <t>Manuel Melendo Bruggeman</t>
  </si>
  <si>
    <t>mmelendobruggeman@hotmail.es</t>
  </si>
  <si>
    <t>info@carriongestion.com</t>
  </si>
  <si>
    <t>Pedro Terol</t>
  </si>
  <si>
    <t>Rafael</t>
  </si>
  <si>
    <t>manuel_risquez@hotmail.com</t>
  </si>
  <si>
    <t>José Mª Rueda</t>
  </si>
  <si>
    <t>gestionesnervion@gmail.com</t>
  </si>
  <si>
    <t>Pepita</t>
  </si>
  <si>
    <t>Manuela</t>
  </si>
  <si>
    <t>Mafincas (Israel Espinosa Plaza)(Lola)</t>
  </si>
  <si>
    <t>Emilio José (llamar a la vecina del 3B)</t>
  </si>
  <si>
    <t>Inmaculada (3B)</t>
  </si>
  <si>
    <t>Juan Rodríguez</t>
  </si>
  <si>
    <t>juanrr79@gmail.com</t>
  </si>
  <si>
    <t>Pedro José</t>
  </si>
  <si>
    <t>Francisco Javier Álvarez (llamar al bajo e ir probando)</t>
  </si>
  <si>
    <t>Bufete Jurado (Anasol Jurado)(Isabel Mora)</t>
  </si>
  <si>
    <t>bufetejurado@bufetejurado.com</t>
  </si>
  <si>
    <t>José</t>
  </si>
  <si>
    <t>Iván</t>
  </si>
  <si>
    <t>Rafael Gamero</t>
  </si>
  <si>
    <t>rgamero1952@gmail.com</t>
  </si>
  <si>
    <t>Manuel Hidalgo</t>
  </si>
  <si>
    <t>m.hidalgo.69@hotmail.com</t>
  </si>
  <si>
    <t>fincasquirosa@gmail.com</t>
  </si>
  <si>
    <t>asuncionroguez85@gmail.com</t>
  </si>
  <si>
    <t>administracion@aliciamoya.com</t>
  </si>
  <si>
    <t>Eduardo Contreras</t>
  </si>
  <si>
    <t>eduardocontrerasmillan@gmail.com</t>
  </si>
  <si>
    <t>Sonia</t>
  </si>
  <si>
    <t>Manuel Risquez</t>
  </si>
  <si>
    <t>Amalia Priego</t>
  </si>
  <si>
    <t>amali.prego@gmail.com</t>
  </si>
  <si>
    <t>Oscar</t>
  </si>
  <si>
    <t>Eloísa Gallardo Arjona</t>
  </si>
  <si>
    <t>elo2cv@gmail.com</t>
  </si>
  <si>
    <t>Carmen Artiga</t>
  </si>
  <si>
    <t>Alvaro Capilla</t>
  </si>
  <si>
    <t>alvarocapillacorvera@gmail.com</t>
  </si>
  <si>
    <t>Mario Lozano</t>
  </si>
  <si>
    <t>Carrión Gestión Fincas SL (Yolanda / Gloria)</t>
  </si>
  <si>
    <t>Beatriz</t>
  </si>
  <si>
    <t>pilarsanchezfer55@gmail.com</t>
  </si>
  <si>
    <t>Carmen Navarro</t>
  </si>
  <si>
    <t>Ignacio Meana</t>
  </si>
  <si>
    <t>ignaciomeana@gmail.com</t>
  </si>
  <si>
    <t>Rome (Consuelo Rodríguez Barrera)</t>
  </si>
  <si>
    <t>Juan Ramírez</t>
  </si>
  <si>
    <t>gonzalogcl.0000@gmail.com</t>
  </si>
  <si>
    <t>Marcelo</t>
  </si>
  <si>
    <t>marocu01@gmail.com</t>
  </si>
  <si>
    <t>Jorge González Gil de Montes (I&amp;G Consulting)</t>
  </si>
  <si>
    <t>bufete@igconsulting.es</t>
  </si>
  <si>
    <t>ramonsanchezestepa@gmail.com</t>
  </si>
  <si>
    <t>Rosario Núñez</t>
  </si>
  <si>
    <t>Lex Finca (Marga Domínguez)</t>
  </si>
  <si>
    <t>mdominguez@lexfinca.com</t>
  </si>
  <si>
    <t>Iñigo</t>
  </si>
  <si>
    <t>Alejandro</t>
  </si>
  <si>
    <t>Loli</t>
  </si>
  <si>
    <t>Adriana Rosella Blasco</t>
  </si>
  <si>
    <t>Portero de la finca</t>
  </si>
  <si>
    <t>Rosa García (3IZDA)</t>
  </si>
  <si>
    <t>Antonio Calzadilla García</t>
  </si>
  <si>
    <t>63antoniobigote@gmail.com</t>
  </si>
  <si>
    <t>José Antonio Mármol</t>
  </si>
  <si>
    <t>dmarpisos@gmail.com</t>
  </si>
  <si>
    <t>marjoriefalcones1961@gmail.com</t>
  </si>
  <si>
    <t>comunidades@cebrianasesores.es</t>
  </si>
  <si>
    <t>Kliver Melendes</t>
  </si>
  <si>
    <t>Rafael Navidad Morales</t>
  </si>
  <si>
    <t>rafanm87@gmail.com</t>
  </si>
  <si>
    <t>Julia Ciudad</t>
  </si>
  <si>
    <t>Lola (arquitecta)</t>
  </si>
  <si>
    <t>Ignacio Pascual Pérez</t>
  </si>
  <si>
    <t>ignacioluispascual@gmail.com</t>
  </si>
  <si>
    <t>Antonio Jaime</t>
  </si>
  <si>
    <t>antoniojaime20@hotmail.com</t>
  </si>
  <si>
    <t>María José Miranda Fontán</t>
  </si>
  <si>
    <t>mariajose1651@hotmail.com</t>
  </si>
  <si>
    <t>Josefa Castro González</t>
  </si>
  <si>
    <t>info@baluartecomunidades.com</t>
  </si>
  <si>
    <t>Rogelio Selfa</t>
  </si>
  <si>
    <t>aspolo9@hotmail.com</t>
  </si>
  <si>
    <t>Antonio Ortiz</t>
  </si>
  <si>
    <t>antoniomortiz11@gmail.com</t>
  </si>
  <si>
    <t>Esther Saavedra (E2 Gestiona)</t>
  </si>
  <si>
    <t>e2.gestiona@gmail.com</t>
  </si>
  <si>
    <t>Mª Carmen (Presidenta BºIzda)</t>
  </si>
  <si>
    <t>Verónica</t>
  </si>
  <si>
    <t>Rafael Oses</t>
  </si>
  <si>
    <t>r.oses@proinarconsultores.com</t>
  </si>
  <si>
    <t>Pablo</t>
  </si>
  <si>
    <t>Alba Poveda</t>
  </si>
  <si>
    <t>Pilar Rafael</t>
  </si>
  <si>
    <t>enviado por WhatsApp</t>
  </si>
  <si>
    <t>Jesus Antonio Fernandez Sierra</t>
  </si>
  <si>
    <t>jcjfc67@gmail.com</t>
  </si>
  <si>
    <t>Daniel Simino</t>
  </si>
  <si>
    <t>danielsimino@hotmail.com</t>
  </si>
  <si>
    <t>Mario Orozco Ruiz</t>
  </si>
  <si>
    <t>marioyevapescadero@gmail.com</t>
  </si>
  <si>
    <t>Alejandro Garcia</t>
  </si>
  <si>
    <t>alejgarvaz@gmail.com</t>
  </si>
  <si>
    <t>Victoria</t>
  </si>
  <si>
    <t>dilania7@gmail.com</t>
  </si>
  <si>
    <t>mjsolisborja@gmail.com</t>
  </si>
  <si>
    <t>pavilchesa@gmail.com</t>
  </si>
  <si>
    <t>María José</t>
  </si>
  <si>
    <t>Gema Delgado</t>
  </si>
  <si>
    <t>gdelgadorufino@gmail.com</t>
  </si>
  <si>
    <t>Mar</t>
  </si>
  <si>
    <t>marelfo77@yahoo.es</t>
  </si>
  <si>
    <t>Aurora Casado</t>
  </si>
  <si>
    <t>Admin</t>
  </si>
  <si>
    <t>ML</t>
  </si>
  <si>
    <t>Presi</t>
  </si>
  <si>
    <t>Earth</t>
  </si>
  <si>
    <t>Afincasa (Sergio Carrillo Santos)</t>
  </si>
  <si>
    <t>00-PTE VISITA</t>
  </si>
  <si>
    <t>03-TRAMITADA</t>
  </si>
  <si>
    <t>04-EJECUTADA</t>
  </si>
  <si>
    <t>Zafra Administración y Gestión (José Carlos Zafra Romero)</t>
  </si>
  <si>
    <t>ACTUALIZACION FALTANTES</t>
  </si>
  <si>
    <t>08/04/26 ML PRESUPUESTO PENDIENTE (1 DE 3)</t>
  </si>
  <si>
    <t xml:space="preserve"> = TARFIA 5</t>
  </si>
  <si>
    <t>POSPONEN LA EJECUCION PARA MAS ADELANTE</t>
  </si>
  <si>
    <t>LO HACEN CON OTRA EMPRESA POR PRECIO</t>
  </si>
  <si>
    <t>ZZ-RECHAZADA</t>
  </si>
  <si>
    <t>PENDIENTES DE ASAMBLEA SIN FECHA</t>
  </si>
  <si>
    <t>PENDIENTES DE ASAMBLEA EN JUNIO</t>
  </si>
  <si>
    <t>Agescom (Antonio Moros Martínez)</t>
  </si>
  <si>
    <t>DICEN QUE ESTAN RECOPILANDO DOCUMENTACION</t>
  </si>
  <si>
    <t>Pérez del Pozo Administración (Francisco Pérez del Pozo)</t>
  </si>
  <si>
    <t>PENDIENTES DE DECIDIR</t>
  </si>
  <si>
    <t>PENDIENTES DE ASAMBLEA EN MAY'26</t>
  </si>
  <si>
    <t>PENDIENTES DE ASAMBLEA EN JUN'26</t>
  </si>
  <si>
    <t>PENDIENTES DE ASAMBLEA EN ABR'26</t>
  </si>
  <si>
    <t>PENDIENTES DE ASAMBLEA EL 14/04/'26</t>
  </si>
  <si>
    <t>PENDIENTES DE ASAMBLEA EN SEP'26</t>
  </si>
  <si>
    <t>PTE QUE NOS DIGAN SI QUIEREN PRESUPUESTO</t>
  </si>
  <si>
    <t>8V-0L</t>
  </si>
  <si>
    <t>4V-0L</t>
  </si>
  <si>
    <t>Mª Jesús Solís Borja</t>
  </si>
  <si>
    <t>48V-0L</t>
  </si>
  <si>
    <t>10V-0L</t>
  </si>
  <si>
    <t>8V-?L</t>
  </si>
  <si>
    <t>14V-?L</t>
  </si>
  <si>
    <t>20V-?L</t>
  </si>
  <si>
    <t>Jose Antonio Vilches Arrabal</t>
  </si>
  <si>
    <t>SI</t>
  </si>
  <si>
    <t>6V-0L</t>
  </si>
  <si>
    <t>18V-3L</t>
  </si>
  <si>
    <t>10V-?L</t>
  </si>
  <si>
    <t>?V-?L</t>
  </si>
  <si>
    <t>40V-?L</t>
  </si>
  <si>
    <t>11V-1L</t>
  </si>
  <si>
    <t>6V-1L</t>
  </si>
  <si>
    <t>10V?L</t>
  </si>
  <si>
    <t>Fincasol (Javier Gómez)</t>
  </si>
  <si>
    <t>42V-?L</t>
  </si>
  <si>
    <t>Serrano y Rodríguez</t>
  </si>
  <si>
    <t>9V-1L</t>
  </si>
  <si>
    <t>Durán Gestión de Fincas (Eva)</t>
  </si>
  <si>
    <t>Javier Piña Borrego</t>
  </si>
  <si>
    <t>japibo@msn.com</t>
  </si>
  <si>
    <t>Baluarte Comunidades (Pedro)</t>
  </si>
  <si>
    <t>Baluarte Comunidades (Loli García)</t>
  </si>
  <si>
    <t>Ricardo Dávila Hidalgo (2H)</t>
  </si>
  <si>
    <t>ricardodavilahidalgo@gmail.com</t>
  </si>
  <si>
    <t>Alicia Moya Fernández</t>
  </si>
  <si>
    <t>Administración Arboleda (Iván Fernández)</t>
  </si>
  <si>
    <t>marta.martinez@garrigues.com</t>
  </si>
  <si>
    <t>Marta Martinez Oñoro (1C)</t>
  </si>
  <si>
    <t>12V-?L</t>
  </si>
  <si>
    <t>Florencio</t>
  </si>
  <si>
    <t>TIENEN ASAMBLEA PROXIMAMENTE</t>
  </si>
  <si>
    <t>El mismo</t>
  </si>
  <si>
    <t>PENDIENTE CONTRATOS EMASESA</t>
  </si>
  <si>
    <t>PENDIENTE VISITA EMASESA</t>
  </si>
  <si>
    <t>(5DCHA)</t>
  </si>
  <si>
    <t>(5IZDA)</t>
  </si>
  <si>
    <t>Abogado Rafael Medina 1-05</t>
  </si>
  <si>
    <t>(C)</t>
  </si>
  <si>
    <t>(Pz)</t>
  </si>
  <si>
    <t>(C) (Dos Hermanas)</t>
  </si>
  <si>
    <t>(Av)</t>
  </si>
  <si>
    <t>(Pz de los)</t>
  </si>
  <si>
    <t>(Av. de)</t>
  </si>
  <si>
    <t>(C)(S.Juan)</t>
  </si>
  <si>
    <t>(Av de los)</t>
  </si>
  <si>
    <t>(Pz del)</t>
  </si>
  <si>
    <t>(Ur)</t>
  </si>
  <si>
    <t>(Pz El)</t>
  </si>
  <si>
    <t>(Pz de las)</t>
  </si>
  <si>
    <t>(Bª)</t>
  </si>
  <si>
    <t>(Rª)</t>
  </si>
  <si>
    <t>(Pz de)</t>
  </si>
  <si>
    <t>(La)(Bª)</t>
  </si>
  <si>
    <t>(Av)(S.Juan)</t>
  </si>
  <si>
    <t>(Av de la)</t>
  </si>
  <si>
    <t>(Núcleo Residencial)</t>
  </si>
  <si>
    <t>(Pza)</t>
  </si>
  <si>
    <t>(Las)(C)</t>
  </si>
  <si>
    <t>(C)(Dos Hermanas)</t>
  </si>
  <si>
    <t>(Alcalá Gra)</t>
  </si>
  <si>
    <t>Abogado Rafael Medina 1-06</t>
  </si>
  <si>
    <t>Adelantado 21B</t>
  </si>
  <si>
    <t>Agata 7</t>
  </si>
  <si>
    <t>Alberche 17</t>
  </si>
  <si>
    <t>Alberche 6C</t>
  </si>
  <si>
    <t>Alberto Durero 2</t>
  </si>
  <si>
    <t>Alborea 1</t>
  </si>
  <si>
    <t>Alcazarquivir 2</t>
  </si>
  <si>
    <t>Alfareros 3</t>
  </si>
  <si>
    <t>Alvar Núñez 45</t>
  </si>
  <si>
    <t>Alegre 13</t>
  </si>
  <si>
    <t>Amparo 4</t>
  </si>
  <si>
    <t>Alvaro de Luna 7</t>
  </si>
  <si>
    <t>Anjolí 1, Bloque 26</t>
  </si>
  <si>
    <t>Aragón ???</t>
  </si>
  <si>
    <t>Argantonio 5</t>
  </si>
  <si>
    <t>Asunción 22</t>
  </si>
  <si>
    <t>Arcángel San Miguel 6</t>
  </si>
  <si>
    <t>Atanasio Barrón 2</t>
  </si>
  <si>
    <t>Ballena 6</t>
  </si>
  <si>
    <t>Betis 20</t>
  </si>
  <si>
    <t>Brújula 4</t>
  </si>
  <si>
    <t>Calesera 8</t>
  </si>
  <si>
    <t>Chaves Rey 5</t>
  </si>
  <si>
    <t>Chicuelo II 1</t>
  </si>
  <si>
    <t>Ciudad de Alfafar 2A</t>
  </si>
  <si>
    <t>Carlos Marx 18, Bloque 3</t>
  </si>
  <si>
    <t>Carretera de Carmona 26</t>
  </si>
  <si>
    <t>Ciudad de Ayora 6</t>
  </si>
  <si>
    <t>Ciudad de Carcagente 2</t>
  </si>
  <si>
    <t>Collao 4</t>
  </si>
  <si>
    <t>Ciudad de Chiva 16</t>
  </si>
  <si>
    <t>Ciudad de Chiva 7</t>
  </si>
  <si>
    <t>Comunidad Extremeña 10</t>
  </si>
  <si>
    <t>Cristo de la Sed 81</t>
  </si>
  <si>
    <t>Cruz del Campo 9</t>
  </si>
  <si>
    <t>Delfín 1</t>
  </si>
  <si>
    <t>Cruz del Sur 13</t>
  </si>
  <si>
    <t>Cueva de la Pileta 2, Bloque 10</t>
  </si>
  <si>
    <t>Diego Martínez Barrio 7</t>
  </si>
  <si>
    <t>Diego Puerta 1-34</t>
  </si>
  <si>
    <t>Diego Puerta 1-35</t>
  </si>
  <si>
    <t>Doctor Fedriani 17</t>
  </si>
  <si>
    <t>Doctor Fedriani 29</t>
  </si>
  <si>
    <t>Doctor Fedriani 31</t>
  </si>
  <si>
    <t>Diego Puerta 5-38</t>
  </si>
  <si>
    <t>Diego Puerta 5-39</t>
  </si>
  <si>
    <t>Doctor Marañón 11</t>
  </si>
  <si>
    <t>Doctor Fedriani 39</t>
  </si>
  <si>
    <t>Doctores González Meneses 14</t>
  </si>
  <si>
    <t>Doctor Fleming 6</t>
  </si>
  <si>
    <t>Doctores González Meneses 10</t>
  </si>
  <si>
    <t>Doña Francisquita 32</t>
  </si>
  <si>
    <t>Doña Francisquita 34</t>
  </si>
  <si>
    <t>Doña Clarines 2</t>
  </si>
  <si>
    <t>Doña Francisquita 20</t>
  </si>
  <si>
    <t>Duendes de Sevilla 1</t>
  </si>
  <si>
    <t>Eduardo Dato 32</t>
  </si>
  <si>
    <t>Duendes de Sevilla 2</t>
  </si>
  <si>
    <t>Eduardo Dato 22, Bloque H3</t>
  </si>
  <si>
    <t>Eduardo Dato 39</t>
  </si>
  <si>
    <t>Enladrillada 61</t>
  </si>
  <si>
    <t>Fausto 7</t>
  </si>
  <si>
    <t>Eduardo Dato 40</t>
  </si>
  <si>
    <t>El Greco 26</t>
  </si>
  <si>
    <t>Fernando IV 14</t>
  </si>
  <si>
    <t>Felipe II 20</t>
  </si>
  <si>
    <t>Francisco Madrigal Marín 2, 4</t>
  </si>
  <si>
    <t>Gavilanes 58</t>
  </si>
  <si>
    <t>Fernández Espino 1</t>
  </si>
  <si>
    <t>Génova 10</t>
  </si>
  <si>
    <t>Geranio 10</t>
  </si>
  <si>
    <t>Fernando IV 44</t>
  </si>
  <si>
    <t>Francisco Elías Riquelme 2</t>
  </si>
  <si>
    <t>Francisco Meneses 4</t>
  </si>
  <si>
    <t>Guardiola 1</t>
  </si>
  <si>
    <t>Galicia 10</t>
  </si>
  <si>
    <t>Generalife 13</t>
  </si>
  <si>
    <t>Imaginero Luis Alvarez Duarte 10</t>
  </si>
  <si>
    <t>Goya 21</t>
  </si>
  <si>
    <t>Jacinta Martos 1</t>
  </si>
  <si>
    <t>Guadiato 7</t>
  </si>
  <si>
    <t>Guardabosques 3</t>
  </si>
  <si>
    <t>Jericó 2</t>
  </si>
  <si>
    <t>Higuera de la Sierra 13</t>
  </si>
  <si>
    <t>Igueldo 1</t>
  </si>
  <si>
    <t>Imperial 31</t>
  </si>
  <si>
    <t>Jabugo 38</t>
  </si>
  <si>
    <t>José Val del Omar 16</t>
  </si>
  <si>
    <t>Juan Castillo Sánchez 5B</t>
  </si>
  <si>
    <t>Jaime Balmes 10</t>
  </si>
  <si>
    <t>Jarama 14</t>
  </si>
  <si>
    <t>Jesús del Gran Poder 73</t>
  </si>
  <si>
    <t>Jorge de Montemayor 34</t>
  </si>
  <si>
    <t>José Arpa 6</t>
  </si>
  <si>
    <t>López de Gomara 53</t>
  </si>
  <si>
    <t>José María Obando 14</t>
  </si>
  <si>
    <t>Lorenzo Leal 8</t>
  </si>
  <si>
    <t>Luceros 10</t>
  </si>
  <si>
    <t>Juan Díaz de Solís 10</t>
  </si>
  <si>
    <t>Juan Pablos 17</t>
  </si>
  <si>
    <t>Juan Pablos 23</t>
  </si>
  <si>
    <t>Mar Caspio 3</t>
  </si>
  <si>
    <t>Juan Rabadán 17</t>
  </si>
  <si>
    <t>Mar Egeo 7</t>
  </si>
  <si>
    <t>Juan Talavera Heredia 3</t>
  </si>
  <si>
    <t>Lorenzo de Sepúlveda 6</t>
  </si>
  <si>
    <t>Luceros 4</t>
  </si>
  <si>
    <t>Macarena Tres Huertas</t>
  </si>
  <si>
    <t>Mandarinas 2</t>
  </si>
  <si>
    <t>Manuel Casana 7</t>
  </si>
  <si>
    <t>Mar de Alborán 14</t>
  </si>
  <si>
    <t>Marqués del Nervión 114-1</t>
  </si>
  <si>
    <t>Morería 3</t>
  </si>
  <si>
    <t>Mayo 2</t>
  </si>
  <si>
    <t>Mejorana 10</t>
  </si>
  <si>
    <t>Miguel Cid 62</t>
  </si>
  <si>
    <t>Nicasio Gallego 1</t>
  </si>
  <si>
    <t>Nuestra Señora de la Oliva 081</t>
  </si>
  <si>
    <t>Mijares 3</t>
  </si>
  <si>
    <t>Mirabrás 1</t>
  </si>
  <si>
    <t>Nuestra Señora de la Oliva 134</t>
  </si>
  <si>
    <t>Moncayo 6</t>
  </si>
  <si>
    <t>Monjas 4</t>
  </si>
  <si>
    <t>Nalón 5</t>
  </si>
  <si>
    <t>Nuestra Señora de la Oliva 2-6</t>
  </si>
  <si>
    <t>Naranco 8</t>
  </si>
  <si>
    <t>Nescania 25</t>
  </si>
  <si>
    <t>Nuestra Señora de la Oliva 109</t>
  </si>
  <si>
    <t>Nuestra Señora de la Oliva 110</t>
  </si>
  <si>
    <t>Nuestra Señora de la Oliva 137</t>
  </si>
  <si>
    <t>Nuestra Señora de la Oliva 2</t>
  </si>
  <si>
    <t>Nuestra Señora de la Oliva 2-3</t>
  </si>
  <si>
    <t>Nuestra Señora de la Oliva 67</t>
  </si>
  <si>
    <t>Palomares 2, Portal 4</t>
  </si>
  <si>
    <t>Nuestra Señora de la Oliva 94</t>
  </si>
  <si>
    <t>Paulo Orosio 9</t>
  </si>
  <si>
    <t>Nuestra Señora de la Oliva 98</t>
  </si>
  <si>
    <t>Nuestro Padre Jesús Cautivo 1</t>
  </si>
  <si>
    <t>Otelo 4</t>
  </si>
  <si>
    <t>Otelo 8</t>
  </si>
  <si>
    <t>Palacio Valdés 2</t>
  </si>
  <si>
    <t>Palma del Río 12</t>
  </si>
  <si>
    <t>Palmilla</t>
  </si>
  <si>
    <t>Playa de Chipiona 2</t>
  </si>
  <si>
    <t>Playa de Estepona 3</t>
  </si>
  <si>
    <t>Parque Amate 12</t>
  </si>
  <si>
    <t>Paz 29</t>
  </si>
  <si>
    <t>Regimiento de Soria 9 4</t>
  </si>
  <si>
    <t>Pedro Romero 1</t>
  </si>
  <si>
    <t>Peñaflor 5</t>
  </si>
  <si>
    <t>Peñuelas 13</t>
  </si>
  <si>
    <t>Perdiz 5</t>
  </si>
  <si>
    <t>Pérez Galdós 1</t>
  </si>
  <si>
    <t>Pintor Amalio García del Moral 8</t>
  </si>
  <si>
    <t>Puerto de Viella 5</t>
  </si>
  <si>
    <t>Rafael Laffón 7</t>
  </si>
  <si>
    <t>Regimiento de Soria 9 2</t>
  </si>
  <si>
    <t>Rodrigo de Triana 9</t>
  </si>
  <si>
    <t>Ronda del Tamarguillo 15</t>
  </si>
  <si>
    <t>San Ignacio 5</t>
  </si>
  <si>
    <t>San Jorge 21</t>
  </si>
  <si>
    <t>Santa Isabel 4</t>
  </si>
  <si>
    <t>Teba 4</t>
  </si>
  <si>
    <t>Teodosio 59</t>
  </si>
  <si>
    <t>Santo Angel 1</t>
  </si>
  <si>
    <t>Santo Domingo de la Calzada 14</t>
  </si>
  <si>
    <t>Sella 4</t>
  </si>
  <si>
    <t>Venus del Espejo 5</t>
  </si>
  <si>
    <t>Sevillanas 2</t>
  </si>
  <si>
    <t>Vicente Pastor 7</t>
  </si>
  <si>
    <t>Sextante 4</t>
  </si>
  <si>
    <t>Sinaí 39</t>
  </si>
  <si>
    <t>Virgen de la Antigua 24</t>
  </si>
  <si>
    <t>Tarfia 5</t>
  </si>
  <si>
    <t>Tarfia 53</t>
  </si>
  <si>
    <t>Virgen de la Encarnación 7</t>
  </si>
  <si>
    <t>Teniente Rodríguez Carmona 5</t>
  </si>
  <si>
    <t>Viseu 5</t>
  </si>
  <si>
    <t>Tordo 18</t>
  </si>
  <si>
    <t>Trabajadores Inmigrantes 5</t>
  </si>
  <si>
    <t>Triángulo 6</t>
  </si>
  <si>
    <t>Verdiales 8</t>
  </si>
  <si>
    <t>Viñadores 2</t>
  </si>
  <si>
    <t>Virgen de Gracia 6</t>
  </si>
  <si>
    <t>Virgen de la Antigua 26</t>
  </si>
  <si>
    <t>Virgen de la Encarnación 5</t>
  </si>
  <si>
    <t>Virgen de la Esperanza 54</t>
  </si>
  <si>
    <t>Zaragoza 44</t>
  </si>
  <si>
    <t>wyllye@icloud.com</t>
  </si>
  <si>
    <t>01</t>
  </si>
  <si>
    <t>02</t>
  </si>
  <si>
    <t>03</t>
  </si>
  <si>
    <t>04</t>
  </si>
  <si>
    <t>05</t>
  </si>
  <si>
    <t>06</t>
  </si>
  <si>
    <t>administracion@instalacionesaraujo.com</t>
  </si>
  <si>
    <t>Habiendo transcurrido con creces la fecha límite de envío de la documentación solicitada, sin que hasta el momento hayamos recibido respuesta por parte de estos dos propietarios y con el fin de poder avanzar en la tramitación del expediente evitando demoras que puedan afectar al resto de los vecinos, les remitimos las declaraciones de disidencia de ambos interesados.
Les agradeceríamos, en la medida de lo posible, que pudieran ayudarnos a resolver la situación a la mayor brevedad, preferiblemente antes del próximo viernes 17 de abril de 2026, mediante una de las siguientes opciones:
     - Recepción de la documentación pendiente por parte de los vecinos afectados, o bien
     - Devolución de las declaraciones de disidencia adjuntas, firmadas por el Presidente.
Agradecemos de antemano su colaboración y comprensión.</t>
  </si>
  <si>
    <t>ACEPTADOS</t>
  </si>
  <si>
    <t>RECHAZADOS</t>
  </si>
  <si>
    <t>PENDIENTES DE RESPUESTA</t>
  </si>
  <si>
    <t>SOLICITUDES</t>
  </si>
  <si>
    <t>PRESUPUESTOS</t>
  </si>
  <si>
    <t>PENDIENTES DE VISITA</t>
  </si>
  <si>
    <t>javier@squevedo.com / leonyajaira22@gmail.com</t>
  </si>
  <si>
    <t>josecarloszafra@zafraadministracion.com</t>
  </si>
  <si>
    <t>Doctores González Meneses 03</t>
  </si>
  <si>
    <t>MANO DE OBRA</t>
  </si>
  <si>
    <t>EJECUTADOS</t>
  </si>
  <si>
    <t>PENDIENTES DE EJECUCION</t>
  </si>
  <si>
    <t>1 CUADRILLA</t>
  </si>
  <si>
    <t>2 CUADRILLAS</t>
  </si>
  <si>
    <t>MESES (20d)</t>
  </si>
  <si>
    <t>IMPORTE</t>
  </si>
  <si>
    <t>LISTOS PARA EJECUCION</t>
  </si>
  <si>
    <t>Bº REAL</t>
  </si>
  <si>
    <t>Bº PREVISTO</t>
  </si>
  <si>
    <t>Juan Miguel Roldán</t>
  </si>
  <si>
    <t>Eloisa Gallardo Arjona</t>
  </si>
  <si>
    <t>28V-2L</t>
  </si>
  <si>
    <t xml:space="preserve">Enrique Escobar </t>
  </si>
  <si>
    <t>enesccab@gmail.com</t>
  </si>
  <si>
    <t>48V-1L</t>
  </si>
  <si>
    <t xml:space="preserve"> - Recibiendo documentación</t>
  </si>
  <si>
    <t xml:space="preserve"> - ENVIO C Y CP</t>
  </si>
  <si>
    <t>0-LOCAL</t>
  </si>
  <si>
    <t>Antonio Conde Falcón (El 30/03 responde al TF como un borde)</t>
  </si>
  <si>
    <t>PENDIENTES DE ASAMBLEA DESPUES DE FERIA</t>
  </si>
  <si>
    <t>ENVIO DOC, AVISO 2 (Hablamos por TF va a enviar la Doc a los vecinos)</t>
  </si>
  <si>
    <t>(U) Alberto Rodríguez García</t>
  </si>
  <si>
    <t xml:space="preserve"> - ENVIO DOC, AVISO 6
 - TF le he dicho a JL que los reactive</t>
  </si>
  <si>
    <t>+34622679862</t>
  </si>
  <si>
    <t>AUMENTO DEL PRESUPUESTO POR EMASESA</t>
  </si>
  <si>
    <t>(T) José Ignacio Pajares Serrano / © José Ignacio (HIJO)</t>
  </si>
  <si>
    <t>(T) José Manuel Pérez Santana</t>
  </si>
  <si>
    <t>INSISTE</t>
  </si>
  <si>
    <t>COMUNICA INTERES</t>
  </si>
  <si>
    <t>36V-?L ASAMBLEA DESPUES DE FERIA</t>
  </si>
  <si>
    <t>ASAMBLEA EL</t>
  </si>
  <si>
    <t>COMUNICA INTERES ASAMBLEA</t>
  </si>
  <si>
    <t>20V-?L INSISTE</t>
  </si>
  <si>
    <t>Jerez 108 (Bellavista)</t>
  </si>
  <si>
    <t>00-PTE VISITA PROXIMA</t>
  </si>
  <si>
    <t>ACTA PTO (DE PALABRA)</t>
  </si>
  <si>
    <t>18V-2L ACTA PTO</t>
  </si>
  <si>
    <t>14V-0L ACTA PTO</t>
  </si>
  <si>
    <t>9V-?L - ASAMBLEA EN ABRIL Y HAN PEDIDO PRESUPUESTO EN ASAMBLEA ANTERIOR</t>
  </si>
  <si>
    <t>?V-?L ASAMBLEA EN MAYO - QUIEREN GP</t>
  </si>
  <si>
    <t>?V-?L ACTA PTO (DE PALABRA)</t>
  </si>
  <si>
    <t>Gaviota 1</t>
  </si>
  <si>
    <t>Hafsa</t>
  </si>
  <si>
    <t>Margot Chávez Díaz</t>
  </si>
  <si>
    <t>(?) Esperanza Montes Sancho / © Eduardo (HIJO 657929139)</t>
  </si>
  <si>
    <t>(T) Mª Angeles Muñoz Peralta</t>
  </si>
  <si>
    <t>+34615424759</t>
  </si>
  <si>
    <t>(U) Mª Carmen León Sánchez</t>
  </si>
  <si>
    <t>(?) Mª Carmen Rodríguez Ramírez</t>
  </si>
  <si>
    <t>(?) Remedios Martínez Fernández</t>
  </si>
  <si>
    <t>PEDIDA</t>
  </si>
  <si>
    <t>(?) Rafael Campaña Campaña</t>
  </si>
  <si>
    <t>+34636411575</t>
  </si>
  <si>
    <t>Antonia Luna Sánchez</t>
  </si>
  <si>
    <t>(?) José Tejada Molero???</t>
  </si>
  <si>
    <t>+34675395647</t>
  </si>
  <si>
    <t>(?) Mª Carmen Fernández santana</t>
  </si>
  <si>
    <t>+34652696365</t>
  </si>
  <si>
    <t>(?) Mª Carmen Navarro Galván</t>
  </si>
  <si>
    <t>Mª Carmen Navarro Galván (2DCHA)</t>
  </si>
  <si>
    <t>+34635078738</t>
  </si>
  <si>
    <t>(?) Hilda Cristina Rolón Giménez</t>
  </si>
  <si>
    <t>+34623477573</t>
  </si>
  <si>
    <t>(?) Mª Pilar Sánchez Fernández</t>
  </si>
  <si>
    <t>Mª Pilar Sánchez Fernández (1DCHA)</t>
  </si>
  <si>
    <t>(?) José Ramón Cerquides bueno</t>
  </si>
  <si>
    <t xml:space="preserve"> - Falta Acta aprobación Pto
 - 0DCHA confirmar apellido
 -1IZDA Y 2IZDA los llama JM
 - 3IZDA rescatar dni</t>
  </si>
  <si>
    <t>(T) Purificación Fernández Molera</t>
  </si>
  <si>
    <t xml:space="preserve"> - Ponen fecha tope el 16/04/26</t>
  </si>
  <si>
    <t>Raúl Gallardo Ibáñez</t>
  </si>
  <si>
    <t>+34627454905</t>
  </si>
  <si>
    <t>(?) Isabel Rabadán del Saz</t>
  </si>
  <si>
    <t>+34655490664</t>
  </si>
  <si>
    <t>+34629036138</t>
  </si>
  <si>
    <t>Mario Arias Sánchez</t>
  </si>
  <si>
    <t>+34637959456</t>
  </si>
  <si>
    <t>Mª José Cayuela</t>
  </si>
  <si>
    <t>rechecayuela@gmail.com</t>
  </si>
  <si>
    <t xml:space="preserve"> - PTE (JM modificar Pto)</t>
  </si>
  <si>
    <t xml:space="preserve"> - PTE (JM reactivar respuestas)</t>
  </si>
  <si>
    <t xml:space="preserve"> - PTE (JM reformar Pto a Tradicional y enviar)</t>
  </si>
  <si>
    <t xml:space="preserve"> - PTE (JM modificar Pto y enviar a EMASESA)</t>
  </si>
  <si>
    <t>954500163 (Ext 21878)</t>
  </si>
  <si>
    <t>(?) Jesús Bellido Marín</t>
  </si>
  <si>
    <t>+34680401417</t>
  </si>
  <si>
    <t>FINANCIACION IPREM</t>
  </si>
  <si>
    <t>(I) Míriam Ramírez Márquez (DISIDENTE)</t>
  </si>
  <si>
    <t xml:space="preserve"> - ENVIO C Y CP (Recepción confirmada)</t>
  </si>
  <si>
    <t>(?) Kevin Corti</t>
  </si>
  <si>
    <t>+34635310392</t>
  </si>
  <si>
    <t xml:space="preserve"> - PTE (Pto enviado a Admin para vuelta a firmar por Pte por modificaciones técnicas de EMASESA en la visita)</t>
  </si>
  <si>
    <t>ASAMBLEA A PRIMEROS DE MAY'26</t>
  </si>
  <si>
    <t>ASAMBLEA EN MAY'26 O JUN'26</t>
  </si>
  <si>
    <t>(T) Manuel Sánchez Torres</t>
  </si>
  <si>
    <t>(T) Manuel Alejandro Martín Varo</t>
  </si>
  <si>
    <t>ENVIO DE DISIDENCIA</t>
  </si>
  <si>
    <t xml:space="preserve"> Para adjuntar al escrito de persecución</t>
  </si>
  <si>
    <t>Solicitud de documentación para presupuestar</t>
  </si>
  <si>
    <t>Presupuesto individualización contadores</t>
  </si>
  <si>
    <t>Solicitud de documentación</t>
  </si>
  <si>
    <t>Estimado/a Sr/Sra:
Gracias por confiar en Instalaciones Araujo para valorar la individualización de contadores de agua en la CCPP {C} {CCPP}.
Le facilitamos el presupuesto adjunto esperando que sea de su agrado.
Tenga en cuenta que tiene una validez de 1 mes.
En caso de ser merecedores de su aceptación, necesitamos que nos faciliten:
- PRESUPUESTO firmado por el Presidente/a de la CCPP (no Administrador).
- LISTADO de piso-vecino-teléfono.
***ROGAMOS CONFIRMACION DE RECEPCION***
Quedamos a su disposición para resolver cualquier duda
Atentamente, Instalaciones Araujo</t>
  </si>
  <si>
    <t>Solicitud de firma de Contrato y Pago</t>
  </si>
  <si>
    <t>07</t>
  </si>
  <si>
    <t>Recepción de Documentación</t>
  </si>
  <si>
    <t>08</t>
  </si>
  <si>
    <t>%CCPP</t>
  </si>
  <si>
    <t>%VECINOS</t>
  </si>
  <si>
    <t>09</t>
  </si>
  <si>
    <t>Estimado/a Sr/Sra:
Nos ponemos en contacto desde Instalaciones Araujo, la empresa encargada para la individualización de contadores de agua en la CCPP {C} {CCPP}, agradeciéndole la confianza depositada en nosotros.
A continuación le indicamos la documentación necesaria para iniciar la tramitación de su expediente.
DOCUMENTACION URGENTE (imprescindible para comenzar):
- PRESUPUESTO firmado por el Presidente/a de la CCPP (EMASESA no admite la firma del Administrador/a)
- LISTADO de piso-vecino-teléfono (le rogamos que nos lo facilite completo)
DOCUMENTACION CCPP Y VECINOS (archivo adjunto):
- IMPORTANTE ENVÍEN ESTAS INSTRUCCIONES A LOS VECINOS (fecha límite {FECHA+20})
- RECEPCIÓN DE DOCUMENTACION (fotografías o pdf en el WhatsApp 634 379 632)
***ROGAMOS CONFIRMACION DE RECEPCION***
Quedamos a su disposición para resolver cualquier duda
Atentamente, Instalaciones Araujo</t>
  </si>
  <si>
    <t>Estimado/a Sr/Sra:
Nos ponemos en contacto desde Instalaciones Araujo, la empresa encargada para la individualización de contadores de agua en la CCPP {C} {CCPP}, agradeciéndole la confianza depositada en nosotros.
Le comunicamos que con fecha {FECHA_ENVIO_DOC} solicitamos a la CCPP la entrega de la documentación necesaria para iniciar la tramitación del expediente con EMASESA.
Con fecha de hoy {FECHA_RECIBO_DOC} hemos recibido la correspondiente al último propietario, por lo que a partir de este momento quedamos pendientes de la visita del técnico de EMASESA.
Le mantendremos informado, rogándole que igualmente informe de este particular a los propietarios.
***ROGAMOS CONFIRMACION DE RECEPCION***
Quedamos a su disposición para resolver cualquier duda
Atentamente, Instalaciones Araujo</t>
  </si>
  <si>
    <t>Estimado/a Sr/Sra:
Nos ponemos en contacto desde Instalaciones Araujo, la empresa encargada para la individualización de contadores de agua en la CCPP {C} {CCPP}, agradeciéndole la confianza depositada en nosotros.
Le comunicamos que con fecha {FECHA_ENVIO_CYCP} solicitamos a la CCPP la entrega de los Contratos y Justificantes de Pago necesarios para terminar la tramitación del expediente con EMASESA.
Con fecha de hoy {FECHA_RECIBO_CYCP} hemos recibido los correspondientes al último propietario, por lo que a partir de este momento quedamos pendientes de la aprobación de la financiación de los vecinos que la han solicitado y de la orden de inicio de EMASESA.
Le mantendremos informado, rogándole que igualmente informe de este particular a los propietarios.
***ROGAMOS CONFIRMACION DE RECEPCION***
Quedamos a su disposición para resolver cualquier duda
Atentamente, Instalaciones Araujo</t>
  </si>
  <si>
    <t>DOC CCPP</t>
  </si>
  <si>
    <t>DOC PISOS</t>
  </si>
  <si>
    <t>Estimado/a Sr/Sra:
Nos ponemos en contacto desde Instalaciones Araujo, la empresa encargada para la individualización de contadores de agua en la CCPP {C} {CCPP}, agradeciéndole la confianza depositada en nosotros.
Le comunicamos que con fecha {FECHA_ENVIO_DOC}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{FECHA+20}.
Comunicación confidencial conforme al RGPD y la LOPDGDD, en el marco del contrato suscrito con la CCPP.
***ROGAMOS CONFIRMACION DE RECEPCION***
Quedamos a su disposición para resolver cualquier duda
Atentamente, Instalaciones Araujo</t>
  </si>
  <si>
    <t>Estimado/a Sr/Sra:
Nos ponemos en contacto desde Instalaciones Araujo, la empresa encargada para la individualización de contadores de agua en la CCPP {C} {CCPP}, agradeciéndole la confianza depositada en nosotros.
Le comunicamos que con fecha {FECHA_ENVIO_CYCP} remitimos instrucciones (para su traslado a los vecinos) con los Contratos y Pagos necesarios para terminar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{FECHA+10}.
Comunicación confidencial conforme al RGPD y la LOPDGDD, en el marco del contrato suscrito con la CCPP.
***ROGAMOS CONFIRMACION DE RECEPCION***
Quedamos a su disposición para resolver cualquier duda
Atentamente, Instalaciones Araujo</t>
  </si>
  <si>
    <t>7V/0L ACTA PTO</t>
  </si>
  <si>
    <t>Proceso de Contratos y Cartas de pago</t>
  </si>
  <si>
    <t>Proceso de Documentación</t>
  </si>
  <si>
    <t>Recepción de Contratos y Pagos</t>
  </si>
  <si>
    <t>Presupuesto pendiente de adjudicación</t>
  </si>
  <si>
    <t>Estimado/a Sr/Sra:
Desde Instalaciones Araujo nos ponemos en contacto con ud, en relación con el Presupuesto de individualización de contadores de agua que le facilitamos el pasado {FECHA_PTO} para la CCPP {C} {CCPP}.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t>
  </si>
  <si>
    <t>00-SOLICITUD ACTA PTO</t>
  </si>
  <si>
    <t>RESCATAR MAIL Y ENVIAR 00-SOLICITUD ACTA PTO</t>
  </si>
  <si>
    <t>COMPLETO</t>
  </si>
  <si>
    <t>Estimado/a Sr/Sra:
Gracias por contactar con Instalaciones Araujo para valorar la individualización de contadores de agua en la CCPP {C} {CCPP}.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t>
  </si>
  <si>
    <t>02-ENVIO DOC</t>
  </si>
  <si>
    <t>01-ENVIO PTO</t>
  </si>
  <si>
    <t>02-RECIBO DOC</t>
  </si>
  <si>
    <t>02-PERSIGO DOC</t>
  </si>
  <si>
    <t>01-PERSIGO PTO</t>
  </si>
  <si>
    <t>Estimado/a Sr./Sra.:
Nos ponemos en contacto desde Instalaciones Araujo, la empresa encargada para la individualización de contadores de agua en la CCPP {C} {CCPP}, agradeciéndole la confianza depositada en nosotros.
Para proceder con la contratación y el inicio de las obras, le facilitamos los CONTRATOS DE EMASESA y las CARTAS DE PAGO de todos los vecinos. Para ello, necesitamos:
- ENVÍEN el contrato y la carta de pago con estas instrucciones a cada vecino.
- Remitir las DOS copias del contrato firmadas.
- Remitir justificante de abono de la Carta de Pago (o, en caso de financiar el pago, justificante de ingresos actualizado y certificado de cuenta bancaria).
- RECEPCIÓN DE DOCUMENTACION en el WhatsApp 634-379-632 (fecha límite: {FECHA+10}).
*** En caso de haber algún piso declarado DISIDENTE, su abono corresponderá a la CCPP ***
*** FORMA DE PAGO ***
- En las oficinas de EMASESA, C/ Escuelas Pías 1 (en el cajero habilitado, en efectivo o con tarjeta).
- En su cajero, utilizando el código de barras del documento (como cualquier pago de recibo municipal).
- A través de su banca online.
- Mediante transferencia bancaria a la cuenta de LA CAIXA de EMASESA Nº ES11 2100 1683 1002 0003 1492 (indicando siempre el concepto PLAN 5, nombre y piso del ordenante).
***ROGAMOS CONFIRMACION DE RECEPCION***
Quedamos a su disposición para resolver cualquier duda
Atentamente, Instalaciones Araujo</t>
  </si>
  <si>
    <t>02-ENVIO CYCP</t>
  </si>
  <si>
    <t>02-PERSIGO CYCP</t>
  </si>
  <si>
    <t>02-RECIBO CYCP</t>
  </si>
  <si>
    <t>02-EMASESA TECNICO</t>
  </si>
  <si>
    <t>02-EMASESA CYCP</t>
  </si>
  <si>
    <t>02-TRADICIONAL</t>
  </si>
  <si>
    <t>15 de cada mes</t>
  </si>
  <si>
    <t>PLAN CINCO CCPP  Z SIN DIRECCION - Solicitud de documentación para presupuestar</t>
  </si>
  <si>
    <t>Si L tiene fecha</t>
  </si>
  <si>
    <t>3 días y cada 7 días (o manual y se cambia siempre que llegue a la fecha)</t>
  </si>
  <si>
    <t>Si Q tiene fecha</t>
  </si>
  <si>
    <t>🔒</t>
  </si>
  <si>
    <t>02_TIPO</t>
  </si>
  <si>
    <t>01_ESTADO</t>
  </si>
  <si>
    <t>03_ASUNTO</t>
  </si>
  <si>
    <t>04_MENSAJE</t>
  </si>
  <si>
    <t>05_CUANDO</t>
  </si>
  <si>
    <t>DESTINO</t>
  </si>
  <si>
    <t>ORIGEN</t>
  </si>
  <si>
    <t>ENVIO</t>
  </si>
  <si>
    <t>ENVIO PTO</t>
  </si>
  <si>
    <t>SOLICITUD</t>
  </si>
  <si>
    <t>DIRECCION</t>
  </si>
  <si>
    <t>VISITA TECNICO</t>
  </si>
  <si>
    <t>ENVIO CYCP</t>
  </si>
  <si>
    <t>RECIBO CYCP</t>
  </si>
  <si>
    <t>PROCESO PRESUPUESTO</t>
  </si>
  <si>
    <t>ORDEN</t>
  </si>
  <si>
    <t>ESTADO</t>
  </si>
  <si>
    <t>01-SOLICITUD ACTA PTO</t>
  </si>
  <si>
    <t>ZZ-RECHAZADO</t>
  </si>
  <si>
    <t>ACCIÓN</t>
  </si>
  <si>
    <t>Cerrar expediente</t>
  </si>
  <si>
    <t>02-PTE VISITA</t>
  </si>
  <si>
    <t>03-ENVÍO PTO</t>
  </si>
  <si>
    <t>04-SEGUIMIENTO PTO</t>
  </si>
  <si>
    <t>05-RESOLUCIÓN PTO</t>
  </si>
  <si>
    <t>Click manual</t>
  </si>
  <si>
    <t>Seguimiento automático</t>
  </si>
  <si>
    <t>DISPARADOR</t>
  </si>
  <si>
    <t>AUTOMATIZACIÓN</t>
  </si>
  <si>
    <t>SIGUIENTE ESTADO</t>
  </si>
  <si>
    <t>Creación manual de registro</t>
  </si>
  <si>
    <t>Registrar datos iniciales</t>
  </si>
  <si>
    <t>Email AR222-AU222 cada 30 días + seguimiento de acta</t>
  </si>
  <si>
    <t>Preparar visita</t>
  </si>
  <si>
    <t>Enviar presupuesto AR225-AU225</t>
  </si>
  <si>
    <t>Registro automático de envío</t>
  </si>
  <si>
    <t>Activación por sistema</t>
  </si>
  <si>
    <t>Primer seguimiento a los 3 días</t>
  </si>
  <si>
    <t>Siguientes seguimientos cada 15 días AR226-AU226</t>
  </si>
  <si>
    <t>Click decisión ACEPTADO</t>
  </si>
  <si>
    <t>Registrar decisión ACEPTADO</t>
  </si>
  <si>
    <t>Enviar a ejecución</t>
  </si>
  <si>
    <t>06-ENVÍO DOC</t>
  </si>
  <si>
    <t>Click decisión RECHAZADO</t>
  </si>
  <si>
    <t>Registrar decisión RECHAZADO</t>
  </si>
  <si>
    <t>Expediente
 ├── Datos CCPP
 ├── Proceso presupuesto 
 ├── Proceso datos
 ├── Proceso de ejecución
 ├── Módulo de datos económicos
 └── Módulo de comunicaciones</t>
  </si>
  <si>
    <t>(U) Fº Javier Cabello Amaya</t>
  </si>
  <si>
    <t>+34630916656</t>
  </si>
  <si>
    <t>(?) Fº Javier Martínez Castro</t>
  </si>
  <si>
    <t>(U) Teresa Santos Pintor</t>
  </si>
  <si>
    <t>José Santos Santana / María Pintor Molina</t>
  </si>
  <si>
    <t>(?) Lisardo Remesal Martín</t>
  </si>
  <si>
    <t>+34657680287</t>
  </si>
  <si>
    <t>Dirección General de Patrimonio del Estado (Alejandra)</t>
  </si>
  <si>
    <t>(?) Leandro Barrero Benito / (Otro 699809875)</t>
  </si>
  <si>
    <t>(?) Pedro Terol Toledo</t>
  </si>
  <si>
    <t>(?) José Luis Rofa Barragán</t>
  </si>
  <si>
    <t>(?) Dolores Santos Delgado</t>
  </si>
  <si>
    <t>PENDIENTES DE ASAMBLEA PROXIMA</t>
  </si>
  <si>
    <t>(U) Juan José Muñoz Luna</t>
  </si>
  <si>
    <t xml:space="preserve"> - ENVIO DOC, AVISO 2</t>
  </si>
  <si>
    <t xml:space="preserve"> - ENVIO DOC, AVISO 8</t>
  </si>
  <si>
    <t>Juan Manuel Roblas Regaña</t>
  </si>
  <si>
    <t xml:space="preserve"> - ENVIO DOC, AVISO 6</t>
  </si>
  <si>
    <t>Z SIN DIRECCION 1</t>
  </si>
  <si>
    <t>Z SIN DIRECCION 2</t>
  </si>
  <si>
    <t>Z SIN DIRECCION 3</t>
  </si>
  <si>
    <t>Z SIN DIRECCION 4</t>
  </si>
  <si>
    <t>Z SIN DIRECCION 5</t>
  </si>
  <si>
    <t>Z SIN DIRECCION 6</t>
  </si>
  <si>
    <t>Z SIN DIRECCION 7</t>
  </si>
  <si>
    <t>Z SIN DIRECCION 8</t>
  </si>
  <si>
    <t>Z SIN DIRECCION 9</t>
  </si>
  <si>
    <t>Z SIN DIRECCION 10</t>
  </si>
  <si>
    <t>Z SIN DIRECCION 11</t>
  </si>
  <si>
    <t>Antonio Invernón Jurado</t>
  </si>
  <si>
    <t>+34667731816</t>
  </si>
  <si>
    <t>Mª Luz Benítez Galiano</t>
  </si>
  <si>
    <t>+34654978965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</si>
</sst>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_-* #,##0\ _P_t_s_-;\-* #,##0\ _P_t_s_-;_-* &quot;-&quot;\ _P_t_s_-;_-@_-"/>
    <numFmt numFmtId="165" formatCode="#,##0.00\ &quot;€&quot;"/>
    <numFmt numFmtId="166" formatCode="#,###\ &quot;días/1q&quot;"/>
    <numFmt numFmtId="167" formatCode="#,###\ &quot;días/2q&quot;"/>
    <numFmt numFmtId="168" formatCode="#,##0\ &quot;€&quot;"/>
    <numFmt numFmtId="169" formatCode="000\-000\-000"/>
  </numFmts>
  <fonts count="30" x14ac:knownFonts="1">
    <font>
      <sz val="11"/>
      <color theme="1"/>
      <name val="Calibri"/>
      <family val="2"/>
      <scheme val="minor"/>
    </font>
    <font>
      <b/>
      <sz val="11"/>
      <color theme="1"/>
      <name val="Arial Narrow"/>
      <family val="2"/>
    </font>
    <font>
      <sz val="11"/>
      <color theme="1"/>
      <name val="Arial Narrow"/>
      <family val="2"/>
    </font>
    <font>
      <sz val="11"/>
      <color theme="1"/>
      <name val="Calibri"/>
      <family val="2"/>
      <scheme val="minor"/>
    </font>
    <font>
      <b/>
      <sz val="18"/>
      <color theme="3"/>
      <name val="Calibri Light"/>
      <family val="2"/>
      <scheme val="major"/>
    </font>
    <font>
      <u/>
      <sz val="11"/>
      <color theme="10"/>
      <name val="Calibri"/>
      <family val="2"/>
    </font>
    <font>
      <sz val="10"/>
      <name val="Arial"/>
      <family val="2"/>
    </font>
    <font>
      <sz val="10"/>
      <name val="Arial"/>
      <family val="2"/>
    </font>
    <font>
      <b/>
      <sz val="11"/>
      <color theme="0"/>
      <name val="Arial Narrow"/>
      <family val="2"/>
    </font>
    <font>
      <sz val="11"/>
      <color theme="0"/>
      <name val="Arial Narrow"/>
      <family val="2"/>
    </font>
    <font>
      <b/>
      <sz val="10"/>
      <color rgb="FFFFFFFF"/>
      <name val="Arial Narrow"/>
      <family val="2"/>
    </font>
    <font>
      <b/>
      <sz val="10"/>
      <color rgb="FF004079"/>
      <name val="Arial Narrow"/>
      <family val="2"/>
    </font>
    <font>
      <sz val="11"/>
      <color theme="1"/>
      <name val="Calibri"/>
      <family val="2"/>
      <scheme val="minor"/>
    </font>
    <font>
      <b/>
      <sz val="9"/>
      <color indexed="81"/>
      <name val="Tahoma"/>
      <family val="2"/>
    </font>
    <font>
      <b/>
      <sz val="12"/>
      <color theme="0"/>
      <name val="Arial Narrow"/>
      <family val="2"/>
    </font>
    <font>
      <b/>
      <sz val="11"/>
      <color rgb="FF004079"/>
      <name val="Arial Narrow"/>
      <family val="2"/>
    </font>
    <font>
      <sz val="9"/>
      <color indexed="81"/>
      <name val="Tahoma"/>
      <family val="2"/>
    </font>
    <font>
      <b/>
      <sz val="10"/>
      <color rgb="FFFFC000"/>
      <name val="Arial Narrow"/>
      <family val="2"/>
    </font>
    <font>
      <b/>
      <u/>
      <sz val="18"/>
      <color rgb="FF004079"/>
      <name val="Arial Narrow"/>
      <family val="2"/>
    </font>
    <font>
      <b/>
      <sz val="18"/>
      <color theme="0"/>
      <name val="Arial Narrow"/>
      <family val="2"/>
    </font>
    <font>
      <b/>
      <u/>
      <sz val="18"/>
      <color theme="0"/>
      <name val="Arial Narrow"/>
      <family val="2"/>
    </font>
    <font>
      <u/>
      <sz val="12"/>
      <color theme="0"/>
      <name val="Arial Narrow"/>
      <family val="2"/>
    </font>
    <font>
      <sz val="12"/>
      <color theme="0"/>
      <name val="Arial Narrow"/>
      <family val="2"/>
    </font>
    <font>
      <i/>
      <sz val="12"/>
      <color theme="0"/>
      <name val="Arial Narrow"/>
      <family val="2"/>
    </font>
    <font>
      <sz val="12"/>
      <color theme="7"/>
      <name val="Arial Narrow"/>
      <family val="2"/>
    </font>
    <font>
      <b/>
      <sz val="12"/>
      <name val="Arial Narrow"/>
      <family val="2"/>
    </font>
    <font>
      <sz val="12"/>
      <name val="Arial Narrow"/>
      <family val="2"/>
    </font>
    <font>
      <b/>
      <sz val="9"/>
      <color indexed="81"/>
      <name val="Tahoma"/>
      <charset val="1"/>
    </font>
    <font>
      <sz val="12"/>
      <color rgb="FFFF0000"/>
      <name val="Arial Narrow"/>
      <family val="2"/>
    </font>
    <font>
      <b/>
      <sz val="12"/>
      <color rgb="FFFF0000"/>
      <name val="Arial Narrow"/>
      <family val="2"/>
    </font>
  </fonts>
  <fills count="11">
    <fill>
      <patternFill patternType="none"/>
    </fill>
    <fill>
      <patternFill patternType="gray125"/>
    </fill>
    <fill>
      <patternFill patternType="solid">
        <fgColor theme="0" tint="-0.249977111117893"/>
        <bgColor indexed="64"/>
      </patternFill>
    </fill>
    <fill>
      <patternFill patternType="solid">
        <fgColor rgb="FF004079"/>
        <bgColor indexed="64"/>
      </patternFill>
    </fill>
    <fill>
      <patternFill patternType="solid">
        <fgColor rgb="FFFFC000"/>
        <bgColor indexed="64"/>
      </patternFill>
    </fill>
    <fill>
      <patternFill patternType="solid">
        <fgColor rgb="FFFF0000"/>
        <bgColor indexed="64"/>
      </patternFill>
    </fill>
    <fill>
      <patternFill patternType="solid">
        <fgColor theme="8" tint="-0.249977111117893"/>
        <bgColor indexed="64"/>
      </patternFill>
    </fill>
    <fill>
      <patternFill patternType="solid">
        <fgColor theme="8" tint="-0.499984740745262"/>
        <bgColor indexed="64"/>
      </patternFill>
    </fill>
    <fill>
      <patternFill patternType="solid">
        <fgColor theme="8" tint="0.39997558519241921"/>
        <bgColor indexed="64"/>
      </patternFill>
    </fill>
    <fill>
      <patternFill patternType="solid">
        <fgColor rgb="FF203764"/>
        <bgColor indexed="64"/>
      </patternFill>
    </fill>
    <fill>
      <patternFill patternType="solid">
        <fgColor theme="8" tint="-0.24994659260841701"/>
        <bgColor indexed="64"/>
      </patternFill>
    </fill>
  </fills>
  <borders count="58">
    <border>
      <left/>
      <right/>
      <top/>
      <bottom/>
      <diagonal/>
    </border>
    <border>
      <left/>
      <right/>
      <top style="thin">
        <color theme="0"/>
      </top>
      <bottom style="thin">
        <color theme="0"/>
      </bottom>
      <diagonal/>
    </border>
    <border>
      <left/>
      <right/>
      <top style="thin">
        <color theme="0"/>
      </top>
      <bottom/>
      <diagonal/>
    </border>
    <border>
      <left/>
      <right/>
      <top style="thin">
        <color rgb="FF7030A0"/>
      </top>
      <bottom/>
      <diagonal/>
    </border>
    <border>
      <left style="thin">
        <color theme="0"/>
      </left>
      <right style="thin">
        <color theme="0"/>
      </right>
      <top style="thin">
        <color theme="0"/>
      </top>
      <bottom/>
      <diagonal/>
    </border>
    <border>
      <left style="dotted">
        <color theme="0"/>
      </left>
      <right style="dotted">
        <color theme="0"/>
      </right>
      <top style="thin">
        <color theme="0"/>
      </top>
      <bottom style="thin">
        <color theme="0"/>
      </bottom>
      <diagonal/>
    </border>
    <border>
      <left style="dotted">
        <color theme="0"/>
      </left>
      <right/>
      <top style="thin">
        <color theme="0"/>
      </top>
      <bottom style="thin">
        <color theme="0"/>
      </bottom>
      <diagonal/>
    </border>
    <border>
      <left/>
      <right/>
      <top style="thin">
        <color theme="0" tint="-0.34998626667073579"/>
      </top>
      <bottom style="thin">
        <color theme="0" tint="-0.34998626667073579"/>
      </bottom>
      <diagonal/>
    </border>
    <border>
      <left style="dotted">
        <color auto="1"/>
      </left>
      <right style="dotted">
        <color auto="1"/>
      </right>
      <top style="thin">
        <color theme="0" tint="-0.34998626667073579"/>
      </top>
      <bottom style="thin">
        <color theme="0" tint="-0.34998626667073579"/>
      </bottom>
      <diagonal/>
    </border>
    <border>
      <left style="thin">
        <color theme="0"/>
      </left>
      <right style="thin">
        <color theme="0"/>
      </right>
      <top/>
      <bottom style="thin">
        <color theme="0"/>
      </bottom>
      <diagonal/>
    </border>
    <border>
      <left style="dotted">
        <color auto="1"/>
      </left>
      <right style="dotted">
        <color auto="1"/>
      </right>
      <top style="thin">
        <color theme="0" tint="-0.34998626667073579"/>
      </top>
      <bottom/>
      <diagonal/>
    </border>
    <border>
      <left style="dotted">
        <color auto="1"/>
      </left>
      <right style="dotted">
        <color auto="1"/>
      </right>
      <top/>
      <bottom style="thin">
        <color theme="0" tint="-0.34998626667073579"/>
      </bottom>
      <diagonal/>
    </border>
    <border>
      <left/>
      <right style="dotted">
        <color auto="1"/>
      </right>
      <top style="thin">
        <color theme="0" tint="-0.34998626667073579"/>
      </top>
      <bottom/>
      <diagonal/>
    </border>
    <border>
      <left/>
      <right style="dotted">
        <color auto="1"/>
      </right>
      <top/>
      <bottom style="thin">
        <color theme="0" tint="-0.34998626667073579"/>
      </bottom>
      <diagonal/>
    </border>
    <border>
      <left/>
      <right style="dotted">
        <color theme="0"/>
      </right>
      <top style="thin">
        <color theme="0"/>
      </top>
      <bottom/>
      <diagonal/>
    </border>
    <border>
      <left/>
      <right style="dotted">
        <color theme="0"/>
      </right>
      <top/>
      <bottom style="thin">
        <color theme="0"/>
      </bottom>
      <diagonal/>
    </border>
    <border>
      <left style="dotted">
        <color theme="0"/>
      </left>
      <right style="dotted">
        <color theme="0"/>
      </right>
      <top style="thin">
        <color theme="0"/>
      </top>
      <bottom/>
      <diagonal/>
    </border>
    <border>
      <left style="dotted">
        <color theme="0"/>
      </left>
      <right style="dotted">
        <color theme="0"/>
      </right>
      <top/>
      <bottom style="thin">
        <color theme="0"/>
      </bottom>
      <diagonal/>
    </border>
    <border>
      <left/>
      <right/>
      <top style="thin">
        <color theme="0" tint="-0.34998626667073579"/>
      </top>
      <bottom/>
      <diagonal/>
    </border>
    <border>
      <left/>
      <right/>
      <top/>
      <bottom style="thin">
        <color theme="0" tint="-0.34998626667073579"/>
      </bottom>
      <diagonal/>
    </border>
    <border>
      <left style="dotted">
        <color theme="0" tint="-0.34998626667073579"/>
      </left>
      <right style="dotted">
        <color theme="0" tint="-0.34998626667073579"/>
      </right>
      <top style="thin">
        <color theme="0" tint="-0.34998626667073579"/>
      </top>
      <bottom/>
      <diagonal/>
    </border>
    <border>
      <left style="dotted">
        <color theme="0" tint="-0.34998626667073579"/>
      </left>
      <right style="dotted">
        <color theme="0" tint="-0.34998626667073579"/>
      </right>
      <top/>
      <bottom style="thin">
        <color theme="0" tint="-0.34998626667073579"/>
      </bottom>
      <diagonal/>
    </border>
    <border>
      <left style="dotted">
        <color theme="0" tint="-0.34998626667073579"/>
      </left>
      <right style="dotted">
        <color theme="0" tint="-0.34998626667073579"/>
      </right>
      <top style="thin">
        <color theme="0" tint="-0.34998626667073579"/>
      </top>
      <bottom style="thin">
        <color theme="0" tint="-0.34998626667073579"/>
      </bottom>
      <diagonal/>
    </border>
    <border>
      <left style="dotted">
        <color auto="1"/>
      </left>
      <right/>
      <top style="thin">
        <color theme="0" tint="-0.34998626667073579"/>
      </top>
      <bottom/>
      <diagonal/>
    </border>
    <border>
      <left style="dotted">
        <color auto="1"/>
      </left>
      <right/>
      <top/>
      <bottom style="thin">
        <color theme="0" tint="-0.34998626667073579"/>
      </bottom>
      <diagonal/>
    </border>
    <border>
      <left style="dotted">
        <color theme="0" tint="-0.34998626667073579"/>
      </left>
      <right/>
      <top style="thin">
        <color theme="0" tint="-0.34998626667073579"/>
      </top>
      <bottom/>
      <diagonal/>
    </border>
    <border>
      <left/>
      <right style="dotted">
        <color theme="0" tint="-0.34998626667073579"/>
      </right>
      <top style="thin">
        <color theme="0" tint="-0.34998626667073579"/>
      </top>
      <bottom/>
      <diagonal/>
    </border>
    <border>
      <left style="dotted">
        <color theme="0" tint="-0.34998626667073579"/>
      </left>
      <right style="dotted">
        <color auto="1"/>
      </right>
      <top/>
      <bottom style="thin">
        <color theme="0" tint="-0.34998626667073579"/>
      </bottom>
      <diagonal/>
    </border>
    <border>
      <left style="dotted">
        <color auto="1"/>
      </left>
      <right style="dotted">
        <color theme="0" tint="-0.34998626667073579"/>
      </right>
      <top/>
      <bottom style="thin">
        <color theme="0" tint="-0.34998626667073579"/>
      </bottom>
      <diagonal/>
    </border>
    <border>
      <left style="dotted">
        <color theme="0" tint="-0.34998626667073579"/>
      </left>
      <right/>
      <top style="thin">
        <color theme="0" tint="-0.34998626667073579"/>
      </top>
      <bottom style="thin">
        <color theme="0" tint="-0.34998626667073579"/>
      </bottom>
      <diagonal/>
    </border>
    <border>
      <left/>
      <right style="dotted">
        <color theme="0" tint="-0.34998626667073579"/>
      </right>
      <top style="thin">
        <color theme="0" tint="-0.34998626667073579"/>
      </top>
      <bottom style="thin">
        <color theme="0" tint="-0.34998626667073579"/>
      </bottom>
      <diagonal/>
    </border>
    <border>
      <left style="dotted">
        <color auto="1"/>
      </left>
      <right style="dotted">
        <color theme="0" tint="-0.34998626667073579"/>
      </right>
      <top style="thin">
        <color theme="0" tint="-0.34998626667073579"/>
      </top>
      <bottom/>
      <diagonal/>
    </border>
    <border>
      <left/>
      <right style="dotted">
        <color theme="0" tint="-0.34998626667073579"/>
      </right>
      <top/>
      <bottom style="thin">
        <color theme="0" tint="-0.34998626667073579"/>
      </bottom>
      <diagonal/>
    </border>
    <border>
      <left style="dotted">
        <color theme="0" tint="-0.34998626667073579"/>
      </left>
      <right/>
      <top/>
      <bottom style="thin">
        <color theme="0" tint="-0.34998626667073579"/>
      </bottom>
      <diagonal/>
    </border>
    <border>
      <left/>
      <right style="dotted">
        <color theme="0" tint="-0.34998626667073579"/>
      </right>
      <top/>
      <bottom/>
      <diagonal/>
    </border>
    <border>
      <left style="dotted">
        <color theme="0" tint="-0.34998626667073579"/>
      </left>
      <right style="dotted">
        <color theme="0" tint="-0.34998626667073579"/>
      </right>
      <top style="thin">
        <color theme="0" tint="-0.34998626667073579"/>
      </top>
      <bottom style="dotted">
        <color theme="0" tint="-0.34998626667073579"/>
      </bottom>
      <diagonal/>
    </border>
    <border>
      <left style="dotted">
        <color theme="0" tint="-0.34998626667073579"/>
      </left>
      <right style="dotted">
        <color theme="0" tint="-0.34998626667073579"/>
      </right>
      <top style="dotted">
        <color theme="0" tint="-0.34998626667073579"/>
      </top>
      <bottom style="dotted">
        <color theme="0" tint="-0.34998626667073579"/>
      </bottom>
      <diagonal/>
    </border>
    <border>
      <left style="dotted">
        <color theme="0" tint="-0.34998626667073579"/>
      </left>
      <right style="dotted">
        <color theme="0" tint="-0.34998626667073579"/>
      </right>
      <top style="dotted">
        <color theme="0" tint="-0.34998626667073579"/>
      </top>
      <bottom style="thin">
        <color theme="0" tint="-0.34998626667073579"/>
      </bottom>
      <diagonal/>
    </border>
    <border>
      <left/>
      <right/>
      <top style="thin">
        <color theme="0" tint="-0.34998626667073579"/>
      </top>
      <bottom style="thick">
        <color theme="0" tint="-0.34998626667073579"/>
      </bottom>
      <diagonal/>
    </border>
    <border>
      <left style="dotted">
        <color theme="0" tint="-0.34998626667073579"/>
      </left>
      <right style="dotted">
        <color theme="0" tint="-0.34998626667073579"/>
      </right>
      <top style="thin">
        <color theme="0" tint="-0.34998626667073579"/>
      </top>
      <bottom style="thick">
        <color theme="0" tint="-0.34998626667073579"/>
      </bottom>
      <diagonal/>
    </border>
    <border>
      <left style="dotted">
        <color auto="1"/>
      </left>
      <right style="dotted">
        <color auto="1"/>
      </right>
      <top style="thin">
        <color theme="0" tint="-0.34998626667073579"/>
      </top>
      <bottom style="thick">
        <color theme="0" tint="-0.34998626667073579"/>
      </bottom>
      <diagonal/>
    </border>
    <border>
      <left/>
      <right style="dotted">
        <color theme="0" tint="-0.34998626667073579"/>
      </right>
      <top style="thin">
        <color theme="0" tint="-0.34998626667073579"/>
      </top>
      <bottom style="thick">
        <color theme="0" tint="-0.34998626667073579"/>
      </bottom>
      <diagonal/>
    </border>
    <border>
      <left style="dotted">
        <color theme="0" tint="-0.34998626667073579"/>
      </left>
      <right/>
      <top style="thin">
        <color theme="0" tint="-0.34998626667073579"/>
      </top>
      <bottom style="thick">
        <color theme="0" tint="-0.34998626667073579"/>
      </bottom>
      <diagonal/>
    </border>
    <border>
      <left/>
      <right/>
      <top style="thick">
        <color theme="0" tint="-0.34998626667073579"/>
      </top>
      <bottom/>
      <diagonal/>
    </border>
    <border>
      <left/>
      <right style="dotted">
        <color theme="0" tint="-0.34998626667073579"/>
      </right>
      <top style="thick">
        <color theme="0" tint="-0.34998626667073579"/>
      </top>
      <bottom/>
      <diagonal/>
    </border>
    <border>
      <left/>
      <right style="dotted">
        <color theme="0" tint="-0.34998626667073579"/>
      </right>
      <top style="thick">
        <color theme="0" tint="-0.34998626667073579"/>
      </top>
      <bottom style="thin">
        <color theme="0" tint="-0.34998626667073579"/>
      </bottom>
      <diagonal/>
    </border>
    <border>
      <left/>
      <right style="dotted">
        <color theme="0" tint="-0.34998626667073579"/>
      </right>
      <top style="thin">
        <color theme="0"/>
      </top>
      <bottom style="thin">
        <color theme="0"/>
      </bottom>
      <diagonal/>
    </border>
    <border>
      <left style="dotted">
        <color theme="0" tint="-0.34998626667073579"/>
      </left>
      <right/>
      <top style="thin">
        <color theme="0"/>
      </top>
      <bottom style="thin">
        <color theme="0"/>
      </bottom>
      <diagonal/>
    </border>
    <border>
      <left/>
      <right style="dotted">
        <color theme="0" tint="-0.34998626667073579"/>
      </right>
      <top style="thick">
        <color theme="0" tint="-0.34998626667073579"/>
      </top>
      <bottom style="thick">
        <color theme="0"/>
      </bottom>
      <diagonal/>
    </border>
    <border>
      <left style="dotted">
        <color theme="0" tint="-0.34998626667073579"/>
      </left>
      <right style="dotted">
        <color theme="0" tint="-0.34998626667073579"/>
      </right>
      <top style="thick">
        <color theme="0" tint="-0.34998626667073579"/>
      </top>
      <bottom style="thick">
        <color theme="0"/>
      </bottom>
      <diagonal/>
    </border>
    <border>
      <left/>
      <right style="dotted">
        <color theme="0" tint="-0.34998626667073579"/>
      </right>
      <top style="thick">
        <color theme="0"/>
      </top>
      <bottom style="thin">
        <color theme="0"/>
      </bottom>
      <diagonal/>
    </border>
    <border>
      <left style="dotted">
        <color theme="0" tint="-0.34998626667073579"/>
      </left>
      <right style="dotted">
        <color theme="0" tint="-0.34998626667073579"/>
      </right>
      <top style="thick">
        <color theme="0"/>
      </top>
      <bottom style="thin">
        <color theme="0"/>
      </bottom>
      <diagonal/>
    </border>
    <border>
      <left style="dotted">
        <color theme="0" tint="-0.34998626667073579"/>
      </left>
      <right/>
      <top style="thick">
        <color theme="0" tint="-0.34998626667073579"/>
      </top>
      <bottom style="thick">
        <color theme="0"/>
      </bottom>
      <diagonal/>
    </border>
    <border>
      <left/>
      <right/>
      <top style="thick">
        <color theme="0" tint="-0.34998626667073579"/>
      </top>
      <bottom style="thick">
        <color theme="0"/>
      </bottom>
      <diagonal/>
    </border>
    <border>
      <left style="dotted">
        <color theme="0" tint="-0.34998626667073579"/>
      </left>
      <right/>
      <top style="thick">
        <color theme="0"/>
      </top>
      <bottom style="thin">
        <color theme="0"/>
      </bottom>
      <diagonal/>
    </border>
    <border>
      <left/>
      <right/>
      <top style="thick">
        <color theme="0"/>
      </top>
      <bottom style="thin">
        <color theme="0"/>
      </bottom>
      <diagonal/>
    </border>
    <border>
      <left/>
      <right/>
      <top style="thick">
        <color theme="0" tint="-0.34998626667073579"/>
      </top>
      <bottom style="thin">
        <color theme="0" tint="-0.34998626667073579"/>
      </bottom>
      <diagonal/>
    </border>
    <border>
      <left style="dotted">
        <color theme="0" tint="-0.34998626667073579"/>
      </left>
      <right style="dotted">
        <color theme="0" tint="-0.34998626667073579"/>
      </right>
      <top style="thick">
        <color theme="0" tint="-0.34998626667073579"/>
      </top>
      <bottom style="thin">
        <color theme="0" tint="-0.34998626667073579"/>
      </bottom>
      <diagonal/>
    </border>
  </borders>
  <cellStyleXfs count="9">
    <xf numFmtId="0" fontId="0" fillId="0" borderId="0"/>
    <xf numFmtId="0" fontId="21" fillId="0" borderId="0" applyNumberFormat="0" applyFill="0" applyBorder="0" applyAlignment="0" applyProtection="0"/>
    <xf numFmtId="9" fontId="3" fillId="0" borderId="0" applyFon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alignment vertical="top"/>
      <protection locked="0"/>
    </xf>
    <xf numFmtId="0" fontId="6" fillId="0" borderId="0"/>
    <xf numFmtId="164" fontId="7" fillId="0" borderId="0" applyFont="0" applyFill="0" applyBorder="0" applyAlignment="0" applyProtection="0"/>
    <xf numFmtId="0" fontId="12" fillId="0" borderId="0"/>
    <xf numFmtId="0" fontId="20" fillId="7" borderId="0" applyNumberFormat="0" applyBorder="0" applyAlignment="0" applyProtection="0"/>
  </cellStyleXfs>
  <cellXfs count="389">
    <xf numFmtId="0" fontId="0" fillId="0" borderId="0" xfId="0"/>
    <xf numFmtId="0" fontId="1" fillId="0" borderId="0" xfId="0" applyFont="1" applyAlignment="1">
      <alignment horizontal="center" vertical="center"/>
    </xf>
    <xf numFmtId="0" fontId="8" fillId="3" borderId="3" xfId="0" applyFont="1" applyFill="1" applyBorder="1" applyAlignment="1">
      <alignment horizontal="center" vertical="center"/>
    </xf>
    <xf numFmtId="0" fontId="2" fillId="0" borderId="0" xfId="0" applyFont="1" applyAlignment="1"/>
    <xf numFmtId="0" fontId="2" fillId="0" borderId="0" xfId="0" applyFont="1" applyAlignment="1">
      <alignment vertical="top"/>
    </xf>
    <xf numFmtId="0" fontId="8" fillId="3" borderId="2" xfId="0" applyFont="1" applyFill="1" applyBorder="1" applyAlignment="1">
      <alignment horizontal="center" vertical="center"/>
    </xf>
    <xf numFmtId="49" fontId="8" fillId="3" borderId="2" xfId="0" applyNumberFormat="1" applyFont="1" applyFill="1" applyBorder="1" applyAlignment="1">
      <alignment horizontal="center" vertical="center"/>
    </xf>
    <xf numFmtId="0" fontId="2" fillId="2" borderId="5" xfId="0" applyFont="1" applyFill="1" applyBorder="1" applyAlignment="1">
      <alignment horizontal="center" vertical="top"/>
    </xf>
    <xf numFmtId="0" fontId="1" fillId="2" borderId="5" xfId="0" applyFont="1" applyFill="1" applyBorder="1" applyAlignment="1">
      <alignment horizontal="center" vertical="top"/>
    </xf>
    <xf numFmtId="0" fontId="2" fillId="0" borderId="0" xfId="0" applyFont="1" applyAlignment="1">
      <alignment horizontal="center" vertical="top"/>
    </xf>
    <xf numFmtId="0" fontId="8" fillId="3" borderId="5" xfId="0" applyFont="1" applyFill="1" applyBorder="1" applyAlignment="1">
      <alignment vertical="top"/>
    </xf>
    <xf numFmtId="0" fontId="9" fillId="3" borderId="5" xfId="0" applyFont="1" applyFill="1" applyBorder="1" applyAlignment="1">
      <alignment horizontal="center" vertical="top"/>
    </xf>
    <xf numFmtId="0" fontId="9" fillId="3" borderId="6" xfId="0" applyFont="1" applyFill="1" applyBorder="1" applyAlignment="1">
      <alignment horizontal="center" vertical="top"/>
    </xf>
    <xf numFmtId="49" fontId="2" fillId="0" borderId="0" xfId="0" applyNumberFormat="1" applyFont="1" applyAlignment="1">
      <alignment horizontal="center" vertical="top"/>
    </xf>
    <xf numFmtId="0" fontId="8" fillId="3" borderId="2" xfId="0" applyFont="1" applyFill="1" applyBorder="1" applyAlignment="1">
      <alignment horizontal="center" vertical="center" wrapText="1"/>
    </xf>
    <xf numFmtId="0" fontId="8" fillId="3" borderId="3" xfId="0" applyFont="1" applyFill="1" applyBorder="1" applyAlignment="1">
      <alignment horizontal="center" vertical="center" wrapText="1"/>
    </xf>
    <xf numFmtId="0" fontId="8" fillId="3" borderId="3" xfId="0" applyFont="1" applyFill="1" applyBorder="1" applyAlignment="1">
      <alignment vertical="center"/>
    </xf>
    <xf numFmtId="49" fontId="15" fillId="2" borderId="5" xfId="0" applyNumberFormat="1" applyFont="1" applyFill="1" applyBorder="1" applyAlignment="1">
      <alignment horizontal="center" vertical="top"/>
    </xf>
    <xf numFmtId="0" fontId="15" fillId="2" borderId="5" xfId="0" applyFont="1" applyFill="1" applyBorder="1" applyAlignment="1">
      <alignment vertical="top"/>
    </xf>
    <xf numFmtId="0" fontId="15" fillId="2" borderId="1" xfId="0" applyFont="1" applyFill="1" applyBorder="1" applyAlignment="1">
      <alignment horizontal="center" vertical="top"/>
    </xf>
    <xf numFmtId="0" fontId="15" fillId="2" borderId="5" xfId="0" applyFont="1" applyFill="1" applyBorder="1" applyAlignment="1">
      <alignment horizontal="center" vertical="top"/>
    </xf>
    <xf numFmtId="49" fontId="15" fillId="4" borderId="5" xfId="0" applyNumberFormat="1" applyFont="1" applyFill="1" applyBorder="1" applyAlignment="1">
      <alignment horizontal="center" vertical="top"/>
    </xf>
    <xf numFmtId="0" fontId="15" fillId="4" borderId="5" xfId="0" applyFont="1" applyFill="1" applyBorder="1" applyAlignment="1">
      <alignment vertical="top"/>
    </xf>
    <xf numFmtId="49" fontId="8" fillId="3" borderId="5" xfId="0" applyNumberFormat="1" applyFont="1" applyFill="1" applyBorder="1" applyAlignment="1">
      <alignment horizontal="center" vertical="top"/>
    </xf>
    <xf numFmtId="0" fontId="8" fillId="3" borderId="5" xfId="0" applyFont="1" applyFill="1" applyBorder="1" applyAlignment="1">
      <alignment horizontal="right" vertical="top"/>
    </xf>
    <xf numFmtId="0" fontId="8" fillId="3" borderId="5" xfId="0" applyFont="1" applyFill="1" applyBorder="1" applyAlignment="1">
      <alignment horizontal="center" vertical="top"/>
    </xf>
    <xf numFmtId="0" fontId="15" fillId="5" borderId="5" xfId="0" applyFont="1" applyFill="1" applyBorder="1" applyAlignment="1">
      <alignment vertical="top"/>
    </xf>
    <xf numFmtId="0" fontId="15" fillId="2" borderId="5" xfId="0" quotePrefix="1" applyFont="1" applyFill="1" applyBorder="1" applyAlignment="1">
      <alignment vertical="top"/>
    </xf>
    <xf numFmtId="0" fontId="8" fillId="3" borderId="5" xfId="0" quotePrefix="1" applyFont="1" applyFill="1" applyBorder="1" applyAlignment="1">
      <alignment vertical="top"/>
    </xf>
    <xf numFmtId="0" fontId="8" fillId="3" borderId="1" xfId="0" quotePrefix="1" applyFont="1" applyFill="1" applyBorder="1" applyAlignment="1">
      <alignment horizontal="right" vertical="top"/>
    </xf>
    <xf numFmtId="9" fontId="17" fillId="3" borderId="5" xfId="2" applyFont="1" applyFill="1" applyBorder="1" applyAlignment="1">
      <alignment horizontal="right" vertical="top"/>
    </xf>
    <xf numFmtId="9" fontId="18" fillId="2" borderId="3" xfId="2" applyFont="1" applyFill="1" applyBorder="1" applyAlignment="1">
      <alignment horizontal="center" vertical="center"/>
    </xf>
    <xf numFmtId="0" fontId="19" fillId="3" borderId="3" xfId="0" applyFont="1" applyFill="1" applyBorder="1" applyAlignment="1">
      <alignment vertical="center"/>
    </xf>
    <xf numFmtId="14" fontId="14" fillId="9" borderId="21" xfId="2" applyNumberFormat="1" applyFont="1" applyFill="1" applyBorder="1" applyAlignment="1">
      <alignment horizontal="center" vertical="top"/>
    </xf>
    <xf numFmtId="0" fontId="14" fillId="7" borderId="18" xfId="0" applyFont="1" applyFill="1" applyBorder="1" applyAlignment="1" applyProtection="1">
      <alignment horizontal="center" vertical="top"/>
      <protection locked="0"/>
    </xf>
    <xf numFmtId="14" fontId="14" fillId="7" borderId="20" xfId="2" applyNumberFormat="1" applyFont="1" applyFill="1" applyBorder="1" applyAlignment="1">
      <alignment horizontal="center" vertical="top"/>
    </xf>
    <xf numFmtId="14" fontId="14" fillId="7" borderId="12" xfId="2" applyNumberFormat="1" applyFont="1" applyFill="1" applyBorder="1" applyAlignment="1">
      <alignment horizontal="center" vertical="top"/>
    </xf>
    <xf numFmtId="9" fontId="14" fillId="7" borderId="10" xfId="2" applyFont="1" applyFill="1" applyBorder="1" applyAlignment="1">
      <alignment horizontal="center" vertical="top"/>
    </xf>
    <xf numFmtId="165" fontId="14" fillId="7" borderId="20" xfId="2" applyNumberFormat="1" applyFont="1" applyFill="1" applyBorder="1" applyAlignment="1">
      <alignment horizontal="center" vertical="top"/>
    </xf>
    <xf numFmtId="14" fontId="14" fillId="7" borderId="18" xfId="0" applyNumberFormat="1" applyFont="1" applyFill="1" applyBorder="1" applyAlignment="1" applyProtection="1">
      <alignment horizontal="center" vertical="top"/>
      <protection locked="0"/>
    </xf>
    <xf numFmtId="49" fontId="14" fillId="7" borderId="18" xfId="0" applyNumberFormat="1" applyFont="1" applyFill="1" applyBorder="1" applyAlignment="1" applyProtection="1">
      <alignment horizontal="center" vertical="top"/>
      <protection locked="0"/>
    </xf>
    <xf numFmtId="49" fontId="21" fillId="7" borderId="7" xfId="1" applyNumberFormat="1" applyFont="1" applyFill="1" applyBorder="1" applyAlignment="1" applyProtection="1">
      <alignment vertical="center"/>
      <protection locked="0"/>
    </xf>
    <xf numFmtId="9" fontId="22" fillId="7" borderId="18" xfId="1" applyNumberFormat="1" applyFont="1" applyFill="1" applyBorder="1" applyAlignment="1" applyProtection="1">
      <alignment horizontal="center" vertical="center"/>
      <protection locked="0"/>
    </xf>
    <xf numFmtId="0" fontId="22" fillId="7" borderId="18" xfId="1" applyFont="1" applyFill="1" applyBorder="1" applyAlignment="1" applyProtection="1">
      <alignment vertical="center"/>
      <protection locked="0"/>
    </xf>
    <xf numFmtId="14" fontId="22" fillId="7" borderId="18" xfId="1" applyNumberFormat="1" applyFont="1" applyFill="1" applyBorder="1" applyAlignment="1" applyProtection="1">
      <alignment vertical="center"/>
      <protection locked="0"/>
    </xf>
    <xf numFmtId="14" fontId="22" fillId="7" borderId="22" xfId="2" applyNumberFormat="1" applyFont="1" applyFill="1" applyBorder="1" applyAlignment="1">
      <alignment horizontal="center" vertical="center"/>
    </xf>
    <xf numFmtId="0" fontId="22" fillId="6" borderId="7" xfId="2" applyNumberFormat="1" applyFont="1" applyFill="1" applyBorder="1" applyAlignment="1">
      <alignment horizontal="center" vertical="center"/>
    </xf>
    <xf numFmtId="9" fontId="22" fillId="6" borderId="8" xfId="2" applyFont="1" applyFill="1" applyBorder="1" applyAlignment="1">
      <alignment horizontal="center" vertical="center"/>
    </xf>
    <xf numFmtId="9" fontId="22" fillId="8" borderId="30" xfId="2" applyFont="1" applyFill="1" applyBorder="1" applyAlignment="1">
      <alignment horizontal="center" vertical="center"/>
    </xf>
    <xf numFmtId="2" fontId="22" fillId="7" borderId="29" xfId="2" applyNumberFormat="1" applyFont="1" applyFill="1" applyBorder="1" applyAlignment="1">
      <alignment horizontal="center" vertical="center"/>
    </xf>
    <xf numFmtId="2" fontId="22" fillId="7" borderId="7" xfId="2" applyNumberFormat="1" applyFont="1" applyFill="1" applyBorder="1" applyAlignment="1">
      <alignment horizontal="center" vertical="center"/>
    </xf>
    <xf numFmtId="9" fontId="22" fillId="7" borderId="7" xfId="2" applyFont="1" applyFill="1" applyBorder="1" applyAlignment="1">
      <alignment horizontal="center" vertical="center"/>
    </xf>
    <xf numFmtId="165" fontId="22" fillId="7" borderId="22" xfId="2" applyNumberFormat="1" applyFont="1" applyFill="1" applyBorder="1" applyAlignment="1">
      <alignment horizontal="center" vertical="center"/>
    </xf>
    <xf numFmtId="165" fontId="22" fillId="7" borderId="7" xfId="2" applyNumberFormat="1" applyFont="1" applyFill="1" applyBorder="1" applyAlignment="1">
      <alignment horizontal="center" vertical="center"/>
    </xf>
    <xf numFmtId="165" fontId="22" fillId="7" borderId="29" xfId="2" applyNumberFormat="1" applyFont="1" applyFill="1" applyBorder="1" applyAlignment="1">
      <alignment horizontal="center" vertical="center"/>
    </xf>
    <xf numFmtId="165" fontId="22" fillId="7" borderId="30" xfId="2" applyNumberFormat="1" applyFont="1" applyFill="1" applyBorder="1" applyAlignment="1">
      <alignment horizontal="center" vertical="center"/>
    </xf>
    <xf numFmtId="0" fontId="22" fillId="7" borderId="22" xfId="2" applyNumberFormat="1" applyFont="1" applyFill="1" applyBorder="1" applyAlignment="1">
      <alignment horizontal="center" vertical="center"/>
    </xf>
    <xf numFmtId="0" fontId="22" fillId="7" borderId="7" xfId="2" applyNumberFormat="1" applyFont="1" applyFill="1" applyBorder="1" applyAlignment="1">
      <alignment horizontal="center" vertical="center"/>
    </xf>
    <xf numFmtId="0" fontId="22" fillId="7" borderId="7" xfId="1" applyFont="1" applyFill="1" applyBorder="1" applyAlignment="1" applyProtection="1">
      <alignment vertical="center"/>
      <protection locked="0"/>
    </xf>
    <xf numFmtId="14" fontId="22" fillId="7" borderId="7" xfId="1" applyNumberFormat="1" applyFont="1" applyFill="1" applyBorder="1" applyAlignment="1" applyProtection="1">
      <alignment vertical="center"/>
      <protection locked="0"/>
    </xf>
    <xf numFmtId="49" fontId="22" fillId="7" borderId="7" xfId="1" applyNumberFormat="1" applyFont="1" applyFill="1" applyBorder="1" applyAlignment="1" applyProtection="1">
      <alignment vertical="center"/>
      <protection locked="0"/>
    </xf>
    <xf numFmtId="0" fontId="22" fillId="7" borderId="18" xfId="1" applyFont="1" applyFill="1" applyBorder="1" applyAlignment="1" applyProtection="1">
      <alignment horizontal="center" vertical="center"/>
      <protection locked="0"/>
    </xf>
    <xf numFmtId="165" fontId="21" fillId="7" borderId="22" xfId="2" applyNumberFormat="1" applyFont="1" applyFill="1" applyBorder="1" applyAlignment="1">
      <alignment horizontal="center" vertical="center"/>
    </xf>
    <xf numFmtId="165" fontId="21" fillId="7" borderId="7" xfId="2" applyNumberFormat="1" applyFont="1" applyFill="1" applyBorder="1" applyAlignment="1">
      <alignment horizontal="center" vertical="center"/>
    </xf>
    <xf numFmtId="49" fontId="22" fillId="7" borderId="18" xfId="1" applyNumberFormat="1" applyFont="1" applyFill="1" applyBorder="1" applyAlignment="1" applyProtection="1">
      <alignment vertical="center"/>
      <protection locked="0"/>
    </xf>
    <xf numFmtId="14" fontId="22" fillId="7" borderId="20" xfId="2" applyNumberFormat="1" applyFont="1" applyFill="1" applyBorder="1" applyAlignment="1">
      <alignment horizontal="center" vertical="center"/>
    </xf>
    <xf numFmtId="9" fontId="22" fillId="8" borderId="26" xfId="2" applyFont="1" applyFill="1" applyBorder="1" applyAlignment="1">
      <alignment horizontal="center" vertical="center"/>
    </xf>
    <xf numFmtId="2" fontId="22" fillId="7" borderId="25" xfId="2" applyNumberFormat="1" applyFont="1" applyFill="1" applyBorder="1" applyAlignment="1">
      <alignment horizontal="center" vertical="center"/>
    </xf>
    <xf numFmtId="2" fontId="22" fillId="7" borderId="18" xfId="2" applyNumberFormat="1" applyFont="1" applyFill="1" applyBorder="1" applyAlignment="1">
      <alignment horizontal="center" vertical="center"/>
    </xf>
    <xf numFmtId="9" fontId="22" fillId="7" borderId="18" xfId="2" applyFont="1" applyFill="1" applyBorder="1" applyAlignment="1">
      <alignment horizontal="center" vertical="center"/>
    </xf>
    <xf numFmtId="165" fontId="22" fillId="7" borderId="20" xfId="2" applyNumberFormat="1" applyFont="1" applyFill="1" applyBorder="1" applyAlignment="1">
      <alignment horizontal="center" vertical="center"/>
    </xf>
    <xf numFmtId="165" fontId="22" fillId="7" borderId="18" xfId="2" applyNumberFormat="1" applyFont="1" applyFill="1" applyBorder="1" applyAlignment="1">
      <alignment horizontal="center" vertical="center"/>
    </xf>
    <xf numFmtId="165" fontId="22" fillId="7" borderId="25" xfId="2" applyNumberFormat="1" applyFont="1" applyFill="1" applyBorder="1" applyAlignment="1">
      <alignment horizontal="center" vertical="center"/>
    </xf>
    <xf numFmtId="165" fontId="22" fillId="7" borderId="26" xfId="2" applyNumberFormat="1" applyFont="1" applyFill="1" applyBorder="1" applyAlignment="1">
      <alignment horizontal="center" vertical="center"/>
    </xf>
    <xf numFmtId="0" fontId="22" fillId="7" borderId="20" xfId="2" applyNumberFormat="1" applyFont="1" applyFill="1" applyBorder="1" applyAlignment="1">
      <alignment horizontal="center" vertical="center"/>
    </xf>
    <xf numFmtId="49" fontId="21" fillId="7" borderId="18" xfId="1" applyNumberFormat="1" applyFont="1" applyFill="1" applyBorder="1" applyAlignment="1" applyProtection="1">
      <alignment vertical="center"/>
      <protection locked="0"/>
    </xf>
    <xf numFmtId="2" fontId="22" fillId="7" borderId="25" xfId="2" quotePrefix="1" applyNumberFormat="1" applyFont="1" applyFill="1" applyBorder="1" applyAlignment="1">
      <alignment horizontal="center" vertical="center"/>
    </xf>
    <xf numFmtId="2" fontId="22" fillId="7" borderId="18" xfId="2" quotePrefix="1" applyNumberFormat="1" applyFont="1" applyFill="1" applyBorder="1" applyAlignment="1">
      <alignment horizontal="center" vertical="center"/>
    </xf>
    <xf numFmtId="9" fontId="22" fillId="7" borderId="18" xfId="2" quotePrefix="1" applyFont="1" applyFill="1" applyBorder="1" applyAlignment="1">
      <alignment horizontal="center" vertical="center"/>
    </xf>
    <xf numFmtId="165" fontId="22" fillId="7" borderId="20" xfId="2" quotePrefix="1" applyNumberFormat="1" applyFont="1" applyFill="1" applyBorder="1" applyAlignment="1">
      <alignment horizontal="center" vertical="center"/>
    </xf>
    <xf numFmtId="165" fontId="22" fillId="7" borderId="18" xfId="2" quotePrefix="1" applyNumberFormat="1" applyFont="1" applyFill="1" applyBorder="1" applyAlignment="1">
      <alignment horizontal="center" vertical="center"/>
    </xf>
    <xf numFmtId="165" fontId="22" fillId="7" borderId="25" xfId="2" quotePrefix="1" applyNumberFormat="1" applyFont="1" applyFill="1" applyBorder="1" applyAlignment="1">
      <alignment horizontal="center" vertical="center"/>
    </xf>
    <xf numFmtId="165" fontId="22" fillId="7" borderId="26" xfId="2" quotePrefix="1" applyNumberFormat="1" applyFont="1" applyFill="1" applyBorder="1" applyAlignment="1">
      <alignment horizontal="center" vertical="center"/>
    </xf>
    <xf numFmtId="0" fontId="22" fillId="7" borderId="20" xfId="2" quotePrefix="1" applyNumberFormat="1" applyFont="1" applyFill="1" applyBorder="1" applyAlignment="1">
      <alignment horizontal="center" vertical="center"/>
    </xf>
    <xf numFmtId="9" fontId="22" fillId="7" borderId="26" xfId="2" applyFont="1" applyFill="1" applyBorder="1" applyAlignment="1">
      <alignment horizontal="center" vertical="center"/>
    </xf>
    <xf numFmtId="2" fontId="21" fillId="7" borderId="25" xfId="2" applyNumberFormat="1" applyFont="1" applyFill="1" applyBorder="1" applyAlignment="1">
      <alignment horizontal="center" vertical="center"/>
    </xf>
    <xf numFmtId="2" fontId="21" fillId="7" borderId="18" xfId="2" applyNumberFormat="1" applyFont="1" applyFill="1" applyBorder="1" applyAlignment="1">
      <alignment horizontal="center" vertical="center"/>
    </xf>
    <xf numFmtId="9" fontId="21" fillId="7" borderId="18" xfId="2" quotePrefix="1" applyFont="1" applyFill="1" applyBorder="1" applyAlignment="1">
      <alignment horizontal="center" vertical="center"/>
    </xf>
    <xf numFmtId="165" fontId="21" fillId="7" borderId="20" xfId="2" applyNumberFormat="1" applyFont="1" applyFill="1" applyBorder="1" applyAlignment="1">
      <alignment horizontal="center" vertical="center"/>
    </xf>
    <xf numFmtId="165" fontId="21" fillId="7" borderId="18" xfId="2" applyNumberFormat="1" applyFont="1" applyFill="1" applyBorder="1" applyAlignment="1">
      <alignment horizontal="center" vertical="center"/>
    </xf>
    <xf numFmtId="165" fontId="21" fillId="7" borderId="25" xfId="2" applyNumberFormat="1" applyFont="1" applyFill="1" applyBorder="1" applyAlignment="1">
      <alignment horizontal="center" vertical="center"/>
    </xf>
    <xf numFmtId="165" fontId="21" fillId="7" borderId="26" xfId="2" applyNumberFormat="1" applyFont="1" applyFill="1" applyBorder="1" applyAlignment="1">
      <alignment horizontal="center" vertical="center"/>
    </xf>
    <xf numFmtId="165" fontId="21" fillId="7" borderId="18" xfId="2" quotePrefix="1" applyNumberFormat="1" applyFont="1" applyFill="1" applyBorder="1" applyAlignment="1">
      <alignment horizontal="center" vertical="center"/>
    </xf>
    <xf numFmtId="165" fontId="21" fillId="7" borderId="20" xfId="2" quotePrefix="1" applyNumberFormat="1" applyFont="1" applyFill="1" applyBorder="1" applyAlignment="1">
      <alignment horizontal="center" vertical="center"/>
    </xf>
    <xf numFmtId="14" fontId="21" fillId="7" borderId="20" xfId="2" quotePrefix="1" applyNumberFormat="1" applyFont="1" applyFill="1" applyBorder="1" applyAlignment="1">
      <alignment horizontal="center" vertical="center"/>
    </xf>
    <xf numFmtId="14" fontId="22" fillId="7" borderId="20" xfId="2" quotePrefix="1" applyNumberFormat="1" applyFont="1" applyFill="1" applyBorder="1" applyAlignment="1">
      <alignment horizontal="center" vertical="center"/>
    </xf>
    <xf numFmtId="9" fontId="21" fillId="7" borderId="18" xfId="2" applyFont="1" applyFill="1" applyBorder="1" applyAlignment="1">
      <alignment horizontal="center" vertical="center"/>
    </xf>
    <xf numFmtId="2" fontId="23" fillId="7" borderId="25" xfId="2" applyNumberFormat="1" applyFont="1" applyFill="1" applyBorder="1" applyAlignment="1">
      <alignment horizontal="center" vertical="center"/>
    </xf>
    <xf numFmtId="2" fontId="23" fillId="7" borderId="18" xfId="2" applyNumberFormat="1" applyFont="1" applyFill="1" applyBorder="1" applyAlignment="1">
      <alignment horizontal="center" vertical="center"/>
    </xf>
    <xf numFmtId="9" fontId="23" fillId="7" borderId="18" xfId="2" quotePrefix="1" applyFont="1" applyFill="1" applyBorder="1" applyAlignment="1">
      <alignment horizontal="center" vertical="center"/>
    </xf>
    <xf numFmtId="49" fontId="22" fillId="7" borderId="38" xfId="1" applyNumberFormat="1" applyFont="1" applyFill="1" applyBorder="1" applyAlignment="1" applyProtection="1">
      <alignment vertical="center"/>
      <protection locked="0"/>
    </xf>
    <xf numFmtId="0" fontId="22" fillId="7" borderId="38" xfId="1" applyFont="1" applyFill="1" applyBorder="1" applyAlignment="1" applyProtection="1">
      <alignment horizontal="center" vertical="center"/>
      <protection locked="0"/>
    </xf>
    <xf numFmtId="0" fontId="22" fillId="7" borderId="38" xfId="1" applyFont="1" applyFill="1" applyBorder="1" applyAlignment="1" applyProtection="1">
      <alignment vertical="center"/>
      <protection locked="0"/>
    </xf>
    <xf numFmtId="14" fontId="22" fillId="7" borderId="39" xfId="2" applyNumberFormat="1" applyFont="1" applyFill="1" applyBorder="1" applyAlignment="1">
      <alignment horizontal="center" vertical="center"/>
    </xf>
    <xf numFmtId="0" fontId="22" fillId="6" borderId="38" xfId="2" applyNumberFormat="1" applyFont="1" applyFill="1" applyBorder="1" applyAlignment="1">
      <alignment horizontal="center" vertical="center"/>
    </xf>
    <xf numFmtId="9" fontId="22" fillId="6" borderId="40" xfId="2" applyFont="1" applyFill="1" applyBorder="1" applyAlignment="1">
      <alignment horizontal="center" vertical="center"/>
    </xf>
    <xf numFmtId="2" fontId="22" fillId="7" borderId="42" xfId="2" applyNumberFormat="1" applyFont="1" applyFill="1" applyBorder="1" applyAlignment="1">
      <alignment horizontal="center" vertical="center"/>
    </xf>
    <xf numFmtId="2" fontId="22" fillId="7" borderId="38" xfId="2" applyNumberFormat="1" applyFont="1" applyFill="1" applyBorder="1" applyAlignment="1">
      <alignment horizontal="center" vertical="center"/>
    </xf>
    <xf numFmtId="9" fontId="22" fillId="7" borderId="38" xfId="2" applyFont="1" applyFill="1" applyBorder="1" applyAlignment="1">
      <alignment horizontal="center" vertical="center"/>
    </xf>
    <xf numFmtId="165" fontId="22" fillId="7" borderId="39" xfId="2" applyNumberFormat="1" applyFont="1" applyFill="1" applyBorder="1" applyAlignment="1">
      <alignment horizontal="center" vertical="center"/>
    </xf>
    <xf numFmtId="165" fontId="22" fillId="7" borderId="38" xfId="2" applyNumberFormat="1" applyFont="1" applyFill="1" applyBorder="1" applyAlignment="1">
      <alignment horizontal="center" vertical="center"/>
    </xf>
    <xf numFmtId="165" fontId="22" fillId="7" borderId="42" xfId="2" applyNumberFormat="1" applyFont="1" applyFill="1" applyBorder="1" applyAlignment="1">
      <alignment horizontal="center" vertical="center"/>
    </xf>
    <xf numFmtId="165" fontId="22" fillId="7" borderId="41" xfId="2" applyNumberFormat="1" applyFont="1" applyFill="1" applyBorder="1" applyAlignment="1">
      <alignment horizontal="center" vertical="center"/>
    </xf>
    <xf numFmtId="0" fontId="22" fillId="7" borderId="39" xfId="2" applyNumberFormat="1" applyFont="1" applyFill="1" applyBorder="1" applyAlignment="1">
      <alignment horizontal="center" vertical="center"/>
    </xf>
    <xf numFmtId="0" fontId="22" fillId="7" borderId="38" xfId="2" applyNumberFormat="1" applyFont="1" applyFill="1" applyBorder="1" applyAlignment="1">
      <alignment horizontal="center" vertical="center"/>
    </xf>
    <xf numFmtId="0" fontId="22" fillId="7" borderId="34" xfId="0" applyFont="1" applyFill="1" applyBorder="1" applyAlignment="1" applyProtection="1">
      <alignment horizontal="center" vertical="center"/>
      <protection locked="0"/>
    </xf>
    <xf numFmtId="165" fontId="22" fillId="7" borderId="21" xfId="2" applyNumberFormat="1" applyFont="1" applyFill="1" applyBorder="1" applyAlignment="1">
      <alignment horizontal="center" vertical="center"/>
    </xf>
    <xf numFmtId="165" fontId="22" fillId="7" borderId="35" xfId="2" applyNumberFormat="1" applyFont="1" applyFill="1" applyBorder="1" applyAlignment="1">
      <alignment horizontal="center" vertical="center"/>
    </xf>
    <xf numFmtId="0" fontId="24" fillId="7" borderId="34" xfId="0" applyFont="1" applyFill="1" applyBorder="1" applyAlignment="1" applyProtection="1">
      <alignment horizontal="center" vertical="center"/>
      <protection locked="0"/>
    </xf>
    <xf numFmtId="165" fontId="22" fillId="7" borderId="36" xfId="2" applyNumberFormat="1" applyFont="1" applyFill="1" applyBorder="1" applyAlignment="1">
      <alignment horizontal="center" vertical="center"/>
    </xf>
    <xf numFmtId="0" fontId="24" fillId="7" borderId="32" xfId="0" applyFont="1" applyFill="1" applyBorder="1" applyAlignment="1" applyProtection="1">
      <alignment horizontal="center" vertical="center"/>
      <protection locked="0"/>
    </xf>
    <xf numFmtId="165" fontId="22" fillId="7" borderId="37" xfId="2" applyNumberFormat="1" applyFont="1" applyFill="1" applyBorder="1" applyAlignment="1">
      <alignment horizontal="center" vertical="center"/>
    </xf>
    <xf numFmtId="0" fontId="22" fillId="7" borderId="18" xfId="1" quotePrefix="1" applyFont="1" applyFill="1" applyBorder="1" applyAlignment="1" applyProtection="1">
      <alignment vertical="center"/>
      <protection locked="0"/>
    </xf>
    <xf numFmtId="0" fontId="14" fillId="7" borderId="31" xfId="2" applyNumberFormat="1" applyFont="1" applyFill="1" applyBorder="1" applyAlignment="1">
      <alignment horizontal="center" vertical="top"/>
    </xf>
    <xf numFmtId="0" fontId="22" fillId="8" borderId="26" xfId="2" applyNumberFormat="1" applyFont="1" applyFill="1" applyBorder="1" applyAlignment="1">
      <alignment horizontal="center" vertical="center"/>
    </xf>
    <xf numFmtId="0" fontId="22" fillId="8" borderId="41" xfId="2" applyNumberFormat="1" applyFont="1" applyFill="1" applyBorder="1" applyAlignment="1">
      <alignment horizontal="center" vertical="center"/>
    </xf>
    <xf numFmtId="9" fontId="22" fillId="6" borderId="29" xfId="2" applyFont="1" applyFill="1" applyBorder="1" applyAlignment="1">
      <alignment vertical="center"/>
    </xf>
    <xf numFmtId="14" fontId="22" fillId="6" borderId="7" xfId="2" applyNumberFormat="1" applyFont="1" applyFill="1" applyBorder="1" applyAlignment="1">
      <alignment horizontal="center" vertical="center"/>
    </xf>
    <xf numFmtId="14" fontId="22" fillId="6" borderId="30" xfId="2" applyNumberFormat="1" applyFont="1" applyFill="1" applyBorder="1" applyAlignment="1">
      <alignment horizontal="left" vertical="center"/>
    </xf>
    <xf numFmtId="9" fontId="22" fillId="6" borderId="25" xfId="2" applyFont="1" applyFill="1" applyBorder="1" applyAlignment="1">
      <alignment vertical="center"/>
    </xf>
    <xf numFmtId="14" fontId="22" fillId="6" borderId="30" xfId="2" applyNumberFormat="1" applyFont="1" applyFill="1" applyBorder="1" applyAlignment="1">
      <alignment vertical="center"/>
    </xf>
    <xf numFmtId="0" fontId="22" fillId="7" borderId="34" xfId="0" applyFont="1" applyFill="1" applyBorder="1" applyAlignment="1" applyProtection="1">
      <alignment vertical="center"/>
      <protection locked="0"/>
    </xf>
    <xf numFmtId="0" fontId="24" fillId="7" borderId="34" xfId="0" applyFont="1" applyFill="1" applyBorder="1" applyAlignment="1" applyProtection="1">
      <alignment vertical="center"/>
      <protection locked="0"/>
    </xf>
    <xf numFmtId="0" fontId="24" fillId="7" borderId="32" xfId="0" applyFont="1" applyFill="1" applyBorder="1" applyAlignment="1" applyProtection="1">
      <alignment vertical="center"/>
      <protection locked="0"/>
    </xf>
    <xf numFmtId="14" fontId="22" fillId="7" borderId="18" xfId="1" quotePrefix="1" applyNumberFormat="1" applyFont="1" applyFill="1" applyBorder="1" applyAlignment="1" applyProtection="1">
      <alignment horizontal="center" vertical="center"/>
      <protection locked="0"/>
    </xf>
    <xf numFmtId="0" fontId="22" fillId="7" borderId="18" xfId="1" quotePrefix="1" applyFont="1" applyFill="1" applyBorder="1" applyAlignment="1" applyProtection="1">
      <alignment horizontal="center" vertical="center"/>
      <protection locked="0"/>
    </xf>
    <xf numFmtId="14" fontId="22" fillId="7" borderId="18" xfId="1" applyNumberFormat="1" applyFont="1" applyFill="1" applyBorder="1" applyAlignment="1" applyProtection="1">
      <alignment horizontal="center" vertical="center"/>
      <protection locked="0"/>
    </xf>
    <xf numFmtId="14" fontId="22" fillId="7" borderId="38" xfId="1" applyNumberFormat="1" applyFont="1" applyFill="1" applyBorder="1" applyAlignment="1" applyProtection="1">
      <alignment horizontal="center" vertical="center"/>
      <protection locked="0"/>
    </xf>
    <xf numFmtId="14" fontId="22" fillId="7" borderId="34" xfId="0" applyNumberFormat="1" applyFont="1" applyFill="1" applyBorder="1" applyAlignment="1" applyProtection="1">
      <alignment horizontal="center" vertical="center"/>
      <protection locked="0"/>
    </xf>
    <xf numFmtId="14" fontId="24" fillId="7" borderId="34" xfId="0" applyNumberFormat="1" applyFont="1" applyFill="1" applyBorder="1" applyAlignment="1" applyProtection="1">
      <alignment horizontal="center" vertical="center"/>
      <protection locked="0"/>
    </xf>
    <xf numFmtId="14" fontId="24" fillId="7" borderId="32" xfId="0" applyNumberFormat="1" applyFont="1" applyFill="1" applyBorder="1" applyAlignment="1" applyProtection="1">
      <alignment horizontal="center" vertical="center"/>
      <protection locked="0"/>
    </xf>
    <xf numFmtId="0" fontId="22" fillId="7" borderId="7" xfId="2" applyNumberFormat="1" applyFont="1" applyFill="1" applyBorder="1" applyAlignment="1">
      <alignment vertical="center"/>
    </xf>
    <xf numFmtId="0" fontId="22" fillId="7" borderId="18" xfId="2" applyNumberFormat="1" applyFont="1" applyFill="1" applyBorder="1" applyAlignment="1">
      <alignment vertical="center"/>
    </xf>
    <xf numFmtId="0" fontId="22" fillId="7" borderId="38" xfId="2" applyNumberFormat="1" applyFont="1" applyFill="1" applyBorder="1" applyAlignment="1">
      <alignment vertical="center"/>
    </xf>
    <xf numFmtId="0" fontId="22" fillId="10" borderId="7" xfId="2" applyNumberFormat="1" applyFont="1" applyFill="1" applyBorder="1" applyAlignment="1">
      <alignment horizontal="center" vertical="center"/>
    </xf>
    <xf numFmtId="9" fontId="22" fillId="7" borderId="7" xfId="2" quotePrefix="1" applyFont="1" applyFill="1" applyBorder="1" applyAlignment="1">
      <alignment horizontal="center" vertical="center"/>
    </xf>
    <xf numFmtId="165" fontId="22" fillId="7" borderId="22" xfId="2" quotePrefix="1" applyNumberFormat="1" applyFont="1" applyFill="1" applyBorder="1" applyAlignment="1">
      <alignment horizontal="center" vertical="center"/>
    </xf>
    <xf numFmtId="165" fontId="22" fillId="7" borderId="7" xfId="2" quotePrefix="1" applyNumberFormat="1" applyFont="1" applyFill="1" applyBorder="1" applyAlignment="1">
      <alignment horizontal="center" vertical="center"/>
    </xf>
    <xf numFmtId="14" fontId="22" fillId="7" borderId="18" xfId="2" applyNumberFormat="1" applyFont="1" applyFill="1" applyBorder="1" applyAlignment="1">
      <alignment vertical="center"/>
    </xf>
    <xf numFmtId="14" fontId="22" fillId="6" borderId="7" xfId="2" quotePrefix="1" applyNumberFormat="1" applyFont="1" applyFill="1" applyBorder="1" applyAlignment="1">
      <alignment horizontal="center" vertical="center"/>
    </xf>
    <xf numFmtId="14" fontId="22" fillId="6" borderId="38" xfId="2" applyNumberFormat="1" applyFont="1" applyFill="1" applyBorder="1" applyAlignment="1">
      <alignment horizontal="center" vertical="center"/>
    </xf>
    <xf numFmtId="14" fontId="22" fillId="6" borderId="41" xfId="2" applyNumberFormat="1" applyFont="1" applyFill="1" applyBorder="1" applyAlignment="1">
      <alignment horizontal="left" vertical="center"/>
    </xf>
    <xf numFmtId="9" fontId="22" fillId="6" borderId="39" xfId="2" applyFont="1" applyFill="1" applyBorder="1" applyAlignment="1">
      <alignment vertical="center"/>
    </xf>
    <xf numFmtId="14" fontId="22" fillId="6" borderId="45" xfId="2" applyNumberFormat="1" applyFont="1" applyFill="1" applyBorder="1" applyAlignment="1">
      <alignment horizontal="left" vertical="center"/>
    </xf>
    <xf numFmtId="14" fontId="14" fillId="7" borderId="21" xfId="2" applyNumberFormat="1" applyFont="1" applyFill="1" applyBorder="1" applyAlignment="1">
      <alignment horizontal="center" vertical="center"/>
    </xf>
    <xf numFmtId="0" fontId="14" fillId="6" borderId="19" xfId="2" applyNumberFormat="1" applyFont="1" applyFill="1" applyBorder="1" applyAlignment="1">
      <alignment horizontal="center" vertical="center"/>
    </xf>
    <xf numFmtId="9" fontId="14" fillId="6" borderId="11" xfId="2" applyFont="1" applyFill="1" applyBorder="1" applyAlignment="1">
      <alignment horizontal="center" vertical="center"/>
    </xf>
    <xf numFmtId="49" fontId="22" fillId="7" borderId="43" xfId="0" applyNumberFormat="1" applyFont="1" applyFill="1" applyBorder="1" applyAlignment="1" applyProtection="1">
      <alignment vertical="center"/>
      <protection locked="0"/>
    </xf>
    <xf numFmtId="49" fontId="22" fillId="7" borderId="44" xfId="0" applyNumberFormat="1" applyFont="1" applyFill="1" applyBorder="1" applyAlignment="1" applyProtection="1">
      <alignment vertical="center"/>
      <protection locked="0"/>
    </xf>
    <xf numFmtId="49" fontId="22" fillId="7" borderId="19" xfId="0" applyNumberFormat="1" applyFont="1" applyFill="1" applyBorder="1" applyAlignment="1" applyProtection="1">
      <alignment vertical="center"/>
      <protection locked="0"/>
    </xf>
    <xf numFmtId="49" fontId="22" fillId="7" borderId="32" xfId="0" applyNumberFormat="1" applyFont="1" applyFill="1" applyBorder="1" applyAlignment="1" applyProtection="1">
      <alignment vertical="center"/>
      <protection locked="0"/>
    </xf>
    <xf numFmtId="49" fontId="22" fillId="7" borderId="0" xfId="0" applyNumberFormat="1" applyFont="1" applyFill="1" applyBorder="1" applyAlignment="1" applyProtection="1">
      <alignment vertical="center"/>
      <protection locked="0"/>
    </xf>
    <xf numFmtId="49" fontId="22" fillId="7" borderId="34" xfId="0" applyNumberFormat="1" applyFont="1" applyFill="1" applyBorder="1" applyAlignment="1" applyProtection="1">
      <alignment vertical="center"/>
      <protection locked="0"/>
    </xf>
    <xf numFmtId="14" fontId="14" fillId="6" borderId="46" xfId="2" applyNumberFormat="1" applyFont="1" applyFill="1" applyBorder="1" applyAlignment="1">
      <alignment horizontal="right" vertical="center"/>
    </xf>
    <xf numFmtId="0" fontId="22" fillId="6" borderId="47" xfId="2" applyNumberFormat="1" applyFont="1" applyFill="1" applyBorder="1" applyAlignment="1">
      <alignment horizontal="center" vertical="center"/>
    </xf>
    <xf numFmtId="0" fontId="22" fillId="8" borderId="46" xfId="2" applyNumberFormat="1" applyFont="1" applyFill="1" applyBorder="1" applyAlignment="1">
      <alignment horizontal="center" vertical="center"/>
    </xf>
    <xf numFmtId="166" fontId="22" fillId="6" borderId="47" xfId="2" applyNumberFormat="1" applyFont="1" applyFill="1" applyBorder="1" applyAlignment="1">
      <alignment horizontal="center" vertical="center"/>
    </xf>
    <xf numFmtId="167" fontId="22" fillId="6" borderId="1" xfId="2" applyNumberFormat="1" applyFont="1" applyFill="1" applyBorder="1" applyAlignment="1">
      <alignment horizontal="center" vertical="center"/>
    </xf>
    <xf numFmtId="1" fontId="22" fillId="6" borderId="46" xfId="2" applyNumberFormat="1" applyFont="1" applyFill="1" applyBorder="1" applyAlignment="1">
      <alignment horizontal="center" vertical="center"/>
    </xf>
    <xf numFmtId="168" fontId="22" fillId="6" borderId="47" xfId="2" applyNumberFormat="1" applyFont="1" applyFill="1" applyBorder="1" applyAlignment="1">
      <alignment horizontal="center" vertical="center"/>
    </xf>
    <xf numFmtId="0" fontId="22" fillId="8" borderId="1" xfId="2" applyNumberFormat="1" applyFont="1" applyFill="1" applyBorder="1" applyAlignment="1">
      <alignment horizontal="center" vertical="center"/>
    </xf>
    <xf numFmtId="0" fontId="22" fillId="8" borderId="47" xfId="2" applyNumberFormat="1" applyFont="1" applyFill="1" applyBorder="1" applyAlignment="1">
      <alignment horizontal="center" vertical="center"/>
    </xf>
    <xf numFmtId="168" fontId="22" fillId="8" borderId="47" xfId="2" applyNumberFormat="1" applyFont="1" applyFill="1" applyBorder="1" applyAlignment="1">
      <alignment horizontal="center" vertical="center"/>
    </xf>
    <xf numFmtId="168" fontId="22" fillId="8" borderId="1" xfId="2" quotePrefix="1" applyNumberFormat="1" applyFont="1" applyFill="1" applyBorder="1" applyAlignment="1">
      <alignment horizontal="center" vertical="center"/>
    </xf>
    <xf numFmtId="0" fontId="22" fillId="8" borderId="46" xfId="2" quotePrefix="1" applyNumberFormat="1" applyFont="1" applyFill="1" applyBorder="1" applyAlignment="1">
      <alignment horizontal="center" vertical="center"/>
    </xf>
    <xf numFmtId="168" fontId="22" fillId="8" borderId="1" xfId="2" applyNumberFormat="1" applyFont="1" applyFill="1" applyBorder="1" applyAlignment="1">
      <alignment horizontal="center" vertical="center"/>
    </xf>
    <xf numFmtId="9" fontId="22" fillId="8" borderId="46" xfId="2" applyNumberFormat="1" applyFont="1" applyFill="1" applyBorder="1" applyAlignment="1">
      <alignment horizontal="center" vertical="center"/>
    </xf>
    <xf numFmtId="168" fontId="22" fillId="8" borderId="47" xfId="2" quotePrefix="1" applyNumberFormat="1" applyFont="1" applyFill="1" applyBorder="1" applyAlignment="1">
      <alignment horizontal="center" vertical="center"/>
    </xf>
    <xf numFmtId="14" fontId="14" fillId="6" borderId="48" xfId="2" applyNumberFormat="1" applyFont="1" applyFill="1" applyBorder="1" applyAlignment="1">
      <alignment horizontal="right" vertical="center"/>
    </xf>
    <xf numFmtId="0" fontId="14" fillId="6" borderId="49" xfId="2" applyNumberFormat="1" applyFont="1" applyFill="1" applyBorder="1" applyAlignment="1">
      <alignment horizontal="center" vertical="center"/>
    </xf>
    <xf numFmtId="14" fontId="14" fillId="6" borderId="50" xfId="2" applyNumberFormat="1" applyFont="1" applyFill="1" applyBorder="1" applyAlignment="1">
      <alignment horizontal="right" vertical="center"/>
    </xf>
    <xf numFmtId="0" fontId="22" fillId="6" borderId="51" xfId="2" applyNumberFormat="1" applyFont="1" applyFill="1" applyBorder="1" applyAlignment="1">
      <alignment horizontal="center" vertical="center"/>
    </xf>
    <xf numFmtId="0" fontId="14" fillId="8" borderId="48" xfId="2" applyNumberFormat="1" applyFont="1" applyFill="1" applyBorder="1" applyAlignment="1">
      <alignment horizontal="center" vertical="center"/>
    </xf>
    <xf numFmtId="166" fontId="14" fillId="6" borderId="52" xfId="2" quotePrefix="1" applyNumberFormat="1" applyFont="1" applyFill="1" applyBorder="1" applyAlignment="1">
      <alignment horizontal="center" vertical="center"/>
    </xf>
    <xf numFmtId="166" fontId="14" fillId="6" borderId="53" xfId="2" applyNumberFormat="1" applyFont="1" applyFill="1" applyBorder="1" applyAlignment="1">
      <alignment horizontal="center" vertical="center"/>
    </xf>
    <xf numFmtId="9" fontId="14" fillId="6" borderId="48" xfId="2" applyNumberFormat="1" applyFont="1" applyFill="1" applyBorder="1" applyAlignment="1">
      <alignment horizontal="center" vertical="center"/>
    </xf>
    <xf numFmtId="168" fontId="14" fillId="6" borderId="52" xfId="2" quotePrefix="1" applyNumberFormat="1" applyFont="1" applyFill="1" applyBorder="1" applyAlignment="1">
      <alignment horizontal="center" vertical="center"/>
    </xf>
    <xf numFmtId="0" fontId="14" fillId="8" borderId="53" xfId="2" applyNumberFormat="1" applyFont="1" applyFill="1" applyBorder="1" applyAlignment="1">
      <alignment horizontal="center" vertical="center"/>
    </xf>
    <xf numFmtId="0" fontId="14" fillId="8" borderId="52" xfId="2" applyNumberFormat="1" applyFont="1" applyFill="1" applyBorder="1" applyAlignment="1">
      <alignment horizontal="center" vertical="center"/>
    </xf>
    <xf numFmtId="0" fontId="22" fillId="8" borderId="50" xfId="2" applyNumberFormat="1" applyFont="1" applyFill="1" applyBorder="1" applyAlignment="1">
      <alignment horizontal="center" vertical="center"/>
    </xf>
    <xf numFmtId="166" fontId="22" fillId="6" borderId="54" xfId="2" applyNumberFormat="1" applyFont="1" applyFill="1" applyBorder="1" applyAlignment="1">
      <alignment horizontal="center" vertical="center"/>
    </xf>
    <xf numFmtId="167" fontId="22" fillId="6" borderId="55" xfId="2" applyNumberFormat="1" applyFont="1" applyFill="1" applyBorder="1" applyAlignment="1">
      <alignment horizontal="center" vertical="center"/>
    </xf>
    <xf numFmtId="1" fontId="22" fillId="6" borderId="50" xfId="2" applyNumberFormat="1" applyFont="1" applyFill="1" applyBorder="1" applyAlignment="1">
      <alignment horizontal="center" vertical="center"/>
    </xf>
    <xf numFmtId="168" fontId="22" fillId="6" borderId="54" xfId="2" applyNumberFormat="1" applyFont="1" applyFill="1" applyBorder="1" applyAlignment="1">
      <alignment horizontal="center" vertical="center"/>
    </xf>
    <xf numFmtId="0" fontId="22" fillId="8" borderId="55" xfId="2" applyNumberFormat="1" applyFont="1" applyFill="1" applyBorder="1" applyAlignment="1">
      <alignment horizontal="center" vertical="center"/>
    </xf>
    <xf numFmtId="0" fontId="22" fillId="8" borderId="54" xfId="2" applyNumberFormat="1" applyFont="1" applyFill="1" applyBorder="1" applyAlignment="1">
      <alignment horizontal="center" vertical="center"/>
    </xf>
    <xf numFmtId="168" fontId="22" fillId="8" borderId="54" xfId="2" applyNumberFormat="1" applyFont="1" applyFill="1" applyBorder="1" applyAlignment="1">
      <alignment horizontal="center" vertical="center"/>
    </xf>
    <xf numFmtId="168" fontId="22" fillId="8" borderId="55" xfId="2" quotePrefix="1" applyNumberFormat="1" applyFont="1" applyFill="1" applyBorder="1" applyAlignment="1">
      <alignment horizontal="center" vertical="center"/>
    </xf>
    <xf numFmtId="0" fontId="22" fillId="8" borderId="50" xfId="2" quotePrefix="1" applyNumberFormat="1" applyFont="1" applyFill="1" applyBorder="1" applyAlignment="1">
      <alignment horizontal="center" vertical="center"/>
    </xf>
    <xf numFmtId="14" fontId="22" fillId="6" borderId="30" xfId="2" applyNumberFormat="1" applyFont="1" applyFill="1" applyBorder="1" applyAlignment="1">
      <alignment horizontal="left" vertical="center" wrapText="1"/>
    </xf>
    <xf numFmtId="169" fontId="14" fillId="7" borderId="18" xfId="0" applyNumberFormat="1" applyFont="1" applyFill="1" applyBorder="1" applyAlignment="1" applyProtection="1">
      <alignment horizontal="center" vertical="top"/>
      <protection locked="0"/>
    </xf>
    <xf numFmtId="169" fontId="22" fillId="7" borderId="18" xfId="1" applyNumberFormat="1" applyFont="1" applyFill="1" applyBorder="1" applyAlignment="1" applyProtection="1">
      <alignment horizontal="center" vertical="center"/>
      <protection locked="0"/>
    </xf>
    <xf numFmtId="169" fontId="22" fillId="7" borderId="7" xfId="1" applyNumberFormat="1" applyFont="1" applyFill="1" applyBorder="1" applyAlignment="1" applyProtection="1">
      <alignment horizontal="center" vertical="center"/>
      <protection locked="0"/>
    </xf>
    <xf numFmtId="169" fontId="22" fillId="7" borderId="18" xfId="1" quotePrefix="1" applyNumberFormat="1" applyFont="1" applyFill="1" applyBorder="1" applyAlignment="1" applyProtection="1">
      <alignment horizontal="center" vertical="center"/>
      <protection locked="0"/>
    </xf>
    <xf numFmtId="169" fontId="22" fillId="7" borderId="38" xfId="1" applyNumberFormat="1" applyFont="1" applyFill="1" applyBorder="1" applyAlignment="1" applyProtection="1">
      <alignment horizontal="center" vertical="center"/>
      <protection locked="0"/>
    </xf>
    <xf numFmtId="169" fontId="22" fillId="7" borderId="34" xfId="0" applyNumberFormat="1" applyFont="1" applyFill="1" applyBorder="1" applyAlignment="1" applyProtection="1">
      <alignment horizontal="center" vertical="center"/>
      <protection locked="0"/>
    </xf>
    <xf numFmtId="169" fontId="24" fillId="7" borderId="34" xfId="0" applyNumberFormat="1" applyFont="1" applyFill="1" applyBorder="1" applyAlignment="1" applyProtection="1">
      <alignment horizontal="center" vertical="center"/>
      <protection locked="0"/>
    </xf>
    <xf numFmtId="169" fontId="24" fillId="7" borderId="32" xfId="0" applyNumberFormat="1" applyFont="1" applyFill="1" applyBorder="1" applyAlignment="1" applyProtection="1">
      <alignment horizontal="center" vertical="center"/>
      <protection locked="0"/>
    </xf>
    <xf numFmtId="0" fontId="22" fillId="7" borderId="7" xfId="1" applyFont="1" applyFill="1" applyBorder="1" applyAlignment="1" applyProtection="1">
      <alignment horizontal="center" vertical="center"/>
      <protection locked="0"/>
    </xf>
    <xf numFmtId="0" fontId="22" fillId="7" borderId="7" xfId="1" quotePrefix="1" applyFont="1" applyFill="1" applyBorder="1" applyAlignment="1" applyProtection="1">
      <alignment horizontal="center" vertical="center"/>
      <protection locked="0"/>
    </xf>
    <xf numFmtId="0" fontId="22" fillId="8" borderId="30" xfId="2" applyNumberFormat="1" applyFont="1" applyFill="1" applyBorder="1" applyAlignment="1">
      <alignment horizontal="center" vertical="center"/>
    </xf>
    <xf numFmtId="2" fontId="22" fillId="7" borderId="29" xfId="2" quotePrefix="1" applyNumberFormat="1" applyFont="1" applyFill="1" applyBorder="1" applyAlignment="1">
      <alignment horizontal="center" vertical="center"/>
    </xf>
    <xf numFmtId="2" fontId="21" fillId="7" borderId="29" xfId="2" applyNumberFormat="1" applyFont="1" applyFill="1" applyBorder="1" applyAlignment="1">
      <alignment horizontal="center" vertical="center"/>
    </xf>
    <xf numFmtId="2" fontId="21" fillId="7" borderId="29" xfId="2" quotePrefix="1" applyNumberFormat="1" applyFont="1" applyFill="1" applyBorder="1" applyAlignment="1">
      <alignment horizontal="center" vertical="center"/>
    </xf>
    <xf numFmtId="2" fontId="22" fillId="7" borderId="7" xfId="2" quotePrefix="1" applyNumberFormat="1" applyFont="1" applyFill="1" applyBorder="1" applyAlignment="1">
      <alignment horizontal="center" vertical="center"/>
    </xf>
    <xf numFmtId="2" fontId="21" fillId="7" borderId="7" xfId="2" applyNumberFormat="1" applyFont="1" applyFill="1" applyBorder="1" applyAlignment="1">
      <alignment horizontal="center" vertical="center"/>
    </xf>
    <xf numFmtId="2" fontId="21" fillId="7" borderId="7" xfId="2" quotePrefix="1" applyNumberFormat="1" applyFont="1" applyFill="1" applyBorder="1" applyAlignment="1">
      <alignment horizontal="center" vertical="center"/>
    </xf>
    <xf numFmtId="9" fontId="21" fillId="7" borderId="7" xfId="2" quotePrefix="1" applyFont="1" applyFill="1" applyBorder="1" applyAlignment="1">
      <alignment horizontal="center" vertical="center"/>
    </xf>
    <xf numFmtId="165" fontId="21" fillId="7" borderId="22" xfId="2" quotePrefix="1" applyNumberFormat="1" applyFont="1" applyFill="1" applyBorder="1" applyAlignment="1">
      <alignment horizontal="center" vertical="center"/>
    </xf>
    <xf numFmtId="165" fontId="21" fillId="7" borderId="7" xfId="2" quotePrefix="1" applyNumberFormat="1" applyFont="1" applyFill="1" applyBorder="1" applyAlignment="1">
      <alignment horizontal="center" vertical="center"/>
    </xf>
    <xf numFmtId="165" fontId="22" fillId="7" borderId="29" xfId="2" quotePrefix="1" applyNumberFormat="1" applyFont="1" applyFill="1" applyBorder="1" applyAlignment="1">
      <alignment horizontal="center" vertical="center"/>
    </xf>
    <xf numFmtId="165" fontId="21" fillId="7" borderId="29" xfId="2" applyNumberFormat="1" applyFont="1" applyFill="1" applyBorder="1" applyAlignment="1">
      <alignment horizontal="center" vertical="center"/>
    </xf>
    <xf numFmtId="165" fontId="21" fillId="7" borderId="29" xfId="2" quotePrefix="1" applyNumberFormat="1" applyFont="1" applyFill="1" applyBorder="1" applyAlignment="1">
      <alignment horizontal="center" vertical="center"/>
    </xf>
    <xf numFmtId="165" fontId="22" fillId="7" borderId="30" xfId="2" quotePrefix="1" applyNumberFormat="1" applyFont="1" applyFill="1" applyBorder="1" applyAlignment="1">
      <alignment horizontal="center" vertical="center"/>
    </xf>
    <xf numFmtId="165" fontId="21" fillId="7" borderId="30" xfId="2" quotePrefix="1" applyNumberFormat="1" applyFont="1" applyFill="1" applyBorder="1" applyAlignment="1">
      <alignment horizontal="center" vertical="center"/>
    </xf>
    <xf numFmtId="0" fontId="22" fillId="7" borderId="22" xfId="2" quotePrefix="1" applyNumberFormat="1" applyFont="1" applyFill="1" applyBorder="1" applyAlignment="1">
      <alignment horizontal="center" vertical="center"/>
    </xf>
    <xf numFmtId="14" fontId="21" fillId="7" borderId="22" xfId="2" quotePrefix="1" applyNumberFormat="1" applyFont="1" applyFill="1" applyBorder="1" applyAlignment="1">
      <alignment horizontal="center" vertical="center"/>
    </xf>
    <xf numFmtId="0" fontId="22" fillId="6" borderId="8" xfId="2" applyNumberFormat="1" applyFont="1" applyFill="1" applyBorder="1" applyAlignment="1">
      <alignment horizontal="center" vertical="center"/>
    </xf>
    <xf numFmtId="9" fontId="22" fillId="8" borderId="30" xfId="2" quotePrefix="1" applyFont="1" applyFill="1" applyBorder="1" applyAlignment="1">
      <alignment horizontal="center" vertical="center"/>
    </xf>
    <xf numFmtId="0" fontId="28" fillId="7" borderId="7" xfId="2" applyNumberFormat="1" applyFont="1" applyFill="1" applyBorder="1" applyAlignment="1">
      <alignment vertical="center"/>
    </xf>
    <xf numFmtId="0" fontId="28" fillId="7" borderId="38" xfId="2" applyNumberFormat="1" applyFont="1" applyFill="1" applyBorder="1" applyAlignment="1">
      <alignment vertical="center"/>
    </xf>
    <xf numFmtId="49" fontId="14" fillId="9" borderId="19" xfId="0" applyNumberFormat="1" applyFont="1" applyFill="1" applyBorder="1" applyAlignment="1" applyProtection="1">
      <alignment horizontal="left" vertical="top"/>
      <protection locked="0"/>
    </xf>
    <xf numFmtId="14" fontId="14" fillId="9" borderId="19" xfId="2" applyNumberFormat="1" applyFont="1" applyFill="1" applyBorder="1" applyAlignment="1">
      <alignment horizontal="left" vertical="top"/>
    </xf>
    <xf numFmtId="0" fontId="14" fillId="9" borderId="19" xfId="0" applyFont="1" applyFill="1" applyBorder="1" applyAlignment="1" applyProtection="1">
      <alignment horizontal="center" vertical="top"/>
      <protection locked="0"/>
    </xf>
    <xf numFmtId="169" fontId="14" fillId="9" borderId="19" xfId="0" applyNumberFormat="1" applyFont="1" applyFill="1" applyBorder="1" applyAlignment="1" applyProtection="1">
      <alignment horizontal="center" vertical="top"/>
      <protection locked="0"/>
    </xf>
    <xf numFmtId="14" fontId="14" fillId="9" borderId="19" xfId="0" applyNumberFormat="1" applyFont="1" applyFill="1" applyBorder="1" applyAlignment="1" applyProtection="1">
      <alignment horizontal="center" vertical="top"/>
      <protection locked="0"/>
    </xf>
    <xf numFmtId="14" fontId="14" fillId="9" borderId="32" xfId="2" applyNumberFormat="1" applyFont="1" applyFill="1" applyBorder="1" applyAlignment="1">
      <alignment horizontal="left" vertical="top"/>
    </xf>
    <xf numFmtId="14" fontId="14" fillId="9" borderId="21" xfId="2" applyNumberFormat="1" applyFont="1" applyFill="1" applyBorder="1" applyAlignment="1">
      <alignment horizontal="left" vertical="top"/>
    </xf>
    <xf numFmtId="14" fontId="14" fillId="9" borderId="13" xfId="2" applyNumberFormat="1" applyFont="1" applyFill="1" applyBorder="1" applyAlignment="1">
      <alignment horizontal="left" vertical="top"/>
    </xf>
    <xf numFmtId="9" fontId="14" fillId="9" borderId="11" xfId="2" applyFont="1" applyFill="1" applyBorder="1" applyAlignment="1">
      <alignment horizontal="left" vertical="top"/>
    </xf>
    <xf numFmtId="0" fontId="14" fillId="9" borderId="28" xfId="2" applyNumberFormat="1" applyFont="1" applyFill="1" applyBorder="1" applyAlignment="1">
      <alignment horizontal="left" vertical="top"/>
    </xf>
    <xf numFmtId="2" fontId="14" fillId="9" borderId="27" xfId="2" applyNumberFormat="1" applyFont="1" applyFill="1" applyBorder="1" applyAlignment="1">
      <alignment horizontal="center" vertical="top"/>
    </xf>
    <xf numFmtId="2" fontId="14" fillId="9" borderId="11" xfId="2" applyNumberFormat="1" applyFont="1" applyFill="1" applyBorder="1" applyAlignment="1">
      <alignment horizontal="center" vertical="top"/>
    </xf>
    <xf numFmtId="9" fontId="14" fillId="9" borderId="24" xfId="2" applyFont="1" applyFill="1" applyBorder="1" applyAlignment="1">
      <alignment horizontal="center" vertical="top"/>
    </xf>
    <xf numFmtId="165" fontId="14" fillId="9" borderId="21" xfId="2" applyNumberFormat="1" applyFont="1" applyFill="1" applyBorder="1" applyAlignment="1">
      <alignment horizontal="center" vertical="top"/>
    </xf>
    <xf numFmtId="165" fontId="14" fillId="9" borderId="13" xfId="2" applyNumberFormat="1" applyFont="1" applyFill="1" applyBorder="1" applyAlignment="1">
      <alignment horizontal="center" vertical="top"/>
    </xf>
    <xf numFmtId="165" fontId="14" fillId="9" borderId="24" xfId="2" applyNumberFormat="1" applyFont="1" applyFill="1" applyBorder="1" applyAlignment="1">
      <alignment horizontal="center" vertical="top"/>
    </xf>
    <xf numFmtId="165" fontId="14" fillId="9" borderId="27" xfId="2" applyNumberFormat="1" applyFont="1" applyFill="1" applyBorder="1" applyAlignment="1">
      <alignment horizontal="center" vertical="top"/>
    </xf>
    <xf numFmtId="165" fontId="14" fillId="9" borderId="28" xfId="2" applyNumberFormat="1" applyFont="1" applyFill="1" applyBorder="1" applyAlignment="1">
      <alignment horizontal="center" vertical="top"/>
    </xf>
    <xf numFmtId="165" fontId="14" fillId="9" borderId="11" xfId="2" applyNumberFormat="1" applyFont="1" applyFill="1" applyBorder="1" applyAlignment="1">
      <alignment horizontal="center" vertical="top"/>
    </xf>
    <xf numFmtId="0" fontId="14" fillId="9" borderId="21" xfId="2" applyNumberFormat="1" applyFont="1" applyFill="1" applyBorder="1" applyAlignment="1">
      <alignment horizontal="center" vertical="top"/>
    </xf>
    <xf numFmtId="0" fontId="14" fillId="9" borderId="13" xfId="2" applyNumberFormat="1" applyFont="1" applyFill="1" applyBorder="1" applyAlignment="1">
      <alignment horizontal="center" vertical="top"/>
    </xf>
    <xf numFmtId="0" fontId="14" fillId="7" borderId="18" xfId="2" applyNumberFormat="1" applyFont="1" applyFill="1" applyBorder="1" applyAlignment="1">
      <alignment horizontal="center" vertical="top"/>
    </xf>
    <xf numFmtId="0" fontId="14" fillId="7" borderId="12" xfId="2" applyNumberFormat="1" applyFont="1" applyFill="1" applyBorder="1" applyAlignment="1">
      <alignment horizontal="center" vertical="top"/>
    </xf>
    <xf numFmtId="0" fontId="14" fillId="9" borderId="19" xfId="2" applyNumberFormat="1" applyFont="1" applyFill="1" applyBorder="1" applyAlignment="1">
      <alignment horizontal="center" vertical="top"/>
    </xf>
    <xf numFmtId="0" fontId="29" fillId="7" borderId="20" xfId="2" applyNumberFormat="1" applyFont="1" applyFill="1" applyBorder="1" applyAlignment="1">
      <alignment horizontal="center" vertical="top"/>
    </xf>
    <xf numFmtId="0" fontId="28" fillId="7" borderId="22" xfId="2" applyNumberFormat="1" applyFont="1" applyFill="1" applyBorder="1" applyAlignment="1">
      <alignment vertical="center"/>
    </xf>
    <xf numFmtId="0" fontId="28" fillId="7" borderId="20" xfId="2" applyNumberFormat="1" applyFont="1" applyFill="1" applyBorder="1" applyAlignment="1">
      <alignment vertical="center"/>
    </xf>
    <xf numFmtId="14" fontId="28" fillId="7" borderId="20" xfId="2" applyNumberFormat="1" applyFont="1" applyFill="1" applyBorder="1" applyAlignment="1">
      <alignment vertical="center"/>
    </xf>
    <xf numFmtId="0" fontId="28" fillId="7" borderId="39" xfId="2" applyNumberFormat="1" applyFont="1" applyFill="1" applyBorder="1" applyAlignment="1">
      <alignment vertical="center"/>
    </xf>
    <xf numFmtId="0" fontId="25" fillId="0" borderId="7" xfId="0" applyFont="1" applyFill="1" applyBorder="1" applyAlignment="1">
      <alignment horizontal="center" vertical="top"/>
    </xf>
    <xf numFmtId="0" fontId="14" fillId="0" borderId="7" xfId="0" applyFont="1" applyFill="1" applyBorder="1" applyAlignment="1">
      <alignment horizontal="left" vertical="top"/>
    </xf>
    <xf numFmtId="0" fontId="26" fillId="0" borderId="7" xfId="0" applyFont="1" applyFill="1" applyBorder="1" applyAlignment="1">
      <alignment vertical="center"/>
    </xf>
    <xf numFmtId="0" fontId="21" fillId="7" borderId="18" xfId="1" applyFont="1" applyFill="1" applyBorder="1" applyAlignment="1" applyProtection="1">
      <alignment vertical="center"/>
      <protection locked="0"/>
    </xf>
    <xf numFmtId="0" fontId="21" fillId="7" borderId="7" xfId="1" applyFont="1" applyFill="1" applyBorder="1" applyAlignment="1" applyProtection="1">
      <alignment vertical="center"/>
      <protection locked="0"/>
    </xf>
    <xf numFmtId="0" fontId="21" fillId="7" borderId="18" xfId="1" applyFont="1" applyFill="1" applyBorder="1" applyAlignment="1" applyProtection="1">
      <alignment horizontal="center" vertical="center"/>
      <protection locked="0"/>
    </xf>
    <xf numFmtId="0" fontId="22" fillId="7" borderId="56" xfId="2" applyNumberFormat="1" applyFont="1" applyFill="1" applyBorder="1" applyAlignment="1">
      <alignment vertical="center"/>
    </xf>
    <xf numFmtId="0" fontId="22" fillId="7" borderId="56" xfId="2" applyNumberFormat="1" applyFont="1" applyFill="1" applyBorder="1" applyAlignment="1">
      <alignment horizontal="center" vertical="center"/>
    </xf>
    <xf numFmtId="0" fontId="28" fillId="7" borderId="56" xfId="2" applyNumberFormat="1" applyFont="1" applyFill="1" applyBorder="1" applyAlignment="1">
      <alignment vertical="center"/>
    </xf>
    <xf numFmtId="0" fontId="28" fillId="7" borderId="57" xfId="2" applyNumberFormat="1" applyFont="1" applyFill="1" applyBorder="1" applyAlignment="1">
      <alignment vertical="center"/>
    </xf>
    <xf numFmtId="0" fontId="22" fillId="10" borderId="56" xfId="2" applyNumberFormat="1" applyFont="1" applyFill="1" applyBorder="1" applyAlignment="1">
      <alignment horizontal="center" vertical="center"/>
    </xf>
    <xf numFmtId="9" fontId="14" fillId="8" borderId="11" xfId="2" applyFont="1" applyFill="1" applyBorder="1" applyAlignment="1">
      <alignment horizontal="center" vertical="center"/>
    </xf>
    <xf numFmtId="9" fontId="22" fillId="8" borderId="8" xfId="2" applyFont="1" applyFill="1" applyBorder="1" applyAlignment="1">
      <alignment horizontal="center" vertical="center"/>
    </xf>
    <xf numFmtId="0" fontId="14" fillId="7" borderId="18" xfId="2" applyNumberFormat="1" applyFont="1" applyFill="1" applyBorder="1" applyAlignment="1">
      <alignment horizontal="center" vertical="top"/>
    </xf>
    <xf numFmtId="0" fontId="14" fillId="7" borderId="12" xfId="2" applyNumberFormat="1" applyFont="1" applyFill="1" applyBorder="1" applyAlignment="1">
      <alignment horizontal="center" vertical="top"/>
    </xf>
    <xf numFmtId="0" fontId="14" fillId="7" borderId="20" xfId="2" applyNumberFormat="1" applyFont="1" applyFill="1" applyBorder="1" applyAlignment="1">
      <alignment horizontal="center" vertical="top"/>
    </xf>
    <xf numFmtId="0" fontId="14" fillId="9" borderId="21" xfId="2" applyNumberFormat="1" applyFont="1" applyFill="1" applyBorder="1" applyAlignment="1">
      <alignment horizontal="left" vertical="top"/>
    </xf>
    <xf numFmtId="0" fontId="22" fillId="6" borderId="22" xfId="2" applyNumberFormat="1" applyFont="1" applyFill="1" applyBorder="1" applyAlignment="1">
      <alignment horizontal="center" vertical="center"/>
    </xf>
    <xf numFmtId="0" fontId="22" fillId="6" borderId="20" xfId="2" applyNumberFormat="1" applyFont="1" applyFill="1" applyBorder="1" applyAlignment="1">
      <alignment horizontal="center" vertical="center"/>
    </xf>
    <xf numFmtId="0" fontId="22" fillId="6" borderId="39" xfId="2" applyNumberFormat="1" applyFont="1" applyFill="1" applyBorder="1" applyAlignment="1">
      <alignment horizontal="center" vertical="center"/>
    </xf>
    <xf numFmtId="0" fontId="22" fillId="6" borderId="21" xfId="2" applyNumberFormat="1" applyFont="1" applyFill="1" applyBorder="1" applyAlignment="1">
      <alignment horizontal="center" vertical="center"/>
    </xf>
    <xf numFmtId="49" fontId="22" fillId="0" borderId="18" xfId="0" applyNumberFormat="1" applyFont="1" applyFill="1" applyBorder="1" applyAlignment="1" applyProtection="1">
      <alignment vertical="center"/>
      <protection locked="0"/>
    </xf>
    <xf numFmtId="0" fontId="22" fillId="0" borderId="18" xfId="0" applyFont="1" applyFill="1" applyBorder="1" applyAlignment="1" applyProtection="1">
      <alignment horizontal="center" vertical="center"/>
      <protection locked="0"/>
    </xf>
    <xf numFmtId="0" fontId="22" fillId="0" borderId="18" xfId="0" applyFont="1" applyFill="1" applyBorder="1" applyAlignment="1" applyProtection="1">
      <alignment vertical="center"/>
      <protection locked="0"/>
    </xf>
    <xf numFmtId="169" fontId="22" fillId="0" borderId="18" xfId="0" applyNumberFormat="1" applyFont="1" applyFill="1" applyBorder="1" applyAlignment="1" applyProtection="1">
      <alignment horizontal="center" vertical="center"/>
      <protection locked="0"/>
    </xf>
    <xf numFmtId="14" fontId="22" fillId="0" borderId="18" xfId="0" applyNumberFormat="1" applyFont="1" applyFill="1" applyBorder="1" applyAlignment="1" applyProtection="1">
      <alignment horizontal="center" vertical="center"/>
      <protection locked="0"/>
    </xf>
    <xf numFmtId="14" fontId="22" fillId="0" borderId="18" xfId="2" applyNumberFormat="1" applyFont="1" applyFill="1" applyBorder="1" applyAlignment="1">
      <alignment horizontal="center" vertical="center"/>
    </xf>
    <xf numFmtId="0" fontId="22" fillId="0" borderId="18" xfId="2" applyNumberFormat="1" applyFont="1" applyFill="1" applyBorder="1" applyAlignment="1">
      <alignment horizontal="center" vertical="center"/>
    </xf>
    <xf numFmtId="9" fontId="22" fillId="0" borderId="18" xfId="2" applyFont="1" applyFill="1" applyBorder="1" applyAlignment="1">
      <alignment horizontal="center" vertical="center"/>
    </xf>
    <xf numFmtId="0" fontId="26" fillId="0" borderId="18" xfId="0" applyNumberFormat="1" applyFont="1" applyFill="1" applyBorder="1" applyAlignment="1">
      <alignment vertical="center"/>
    </xf>
    <xf numFmtId="166" fontId="22" fillId="6" borderId="2" xfId="2" applyNumberFormat="1" applyFont="1" applyFill="1" applyBorder="1" applyAlignment="1">
      <alignment horizontal="center" vertical="center"/>
    </xf>
    <xf numFmtId="167" fontId="22" fillId="6" borderId="2" xfId="2" applyNumberFormat="1" applyFont="1" applyFill="1" applyBorder="1" applyAlignment="1">
      <alignment horizontal="center" vertical="center"/>
    </xf>
    <xf numFmtId="1" fontId="22" fillId="6" borderId="2" xfId="2" applyNumberFormat="1" applyFont="1" applyFill="1" applyBorder="1" applyAlignment="1">
      <alignment horizontal="center" vertical="center"/>
    </xf>
    <xf numFmtId="168" fontId="22" fillId="6" borderId="2" xfId="2" applyNumberFormat="1" applyFont="1" applyFill="1" applyBorder="1" applyAlignment="1">
      <alignment horizontal="center" vertical="center"/>
    </xf>
    <xf numFmtId="0" fontId="14" fillId="8" borderId="2" xfId="2" applyNumberFormat="1" applyFont="1" applyFill="1" applyBorder="1" applyAlignment="1">
      <alignment horizontal="center" vertical="center"/>
    </xf>
    <xf numFmtId="168" fontId="22" fillId="8" borderId="2" xfId="2" quotePrefix="1" applyNumberFormat="1" applyFont="1" applyFill="1" applyBorder="1" applyAlignment="1">
      <alignment horizontal="center" vertical="center"/>
    </xf>
    <xf numFmtId="0" fontId="22" fillId="8" borderId="2" xfId="2" quotePrefix="1" applyNumberFormat="1" applyFont="1" applyFill="1" applyBorder="1" applyAlignment="1">
      <alignment horizontal="center" vertical="center"/>
    </xf>
    <xf numFmtId="165" fontId="22" fillId="0" borderId="18" xfId="2" applyNumberFormat="1" applyFont="1" applyFill="1" applyBorder="1" applyAlignment="1">
      <alignment horizontal="center" vertical="center"/>
    </xf>
    <xf numFmtId="0" fontId="22" fillId="0" borderId="18" xfId="2" applyNumberFormat="1" applyFont="1" applyFill="1" applyBorder="1" applyAlignment="1">
      <alignment vertical="center"/>
    </xf>
    <xf numFmtId="0" fontId="28" fillId="0" borderId="18" xfId="2" applyNumberFormat="1" applyFont="1" applyFill="1" applyBorder="1" applyAlignment="1">
      <alignment vertical="center"/>
    </xf>
    <xf numFmtId="0" fontId="26" fillId="0" borderId="18" xfId="0" applyFont="1" applyFill="1" applyBorder="1" applyAlignment="1">
      <alignment vertical="center"/>
    </xf>
    <xf numFmtId="49" fontId="22" fillId="0" borderId="0" xfId="0" applyNumberFormat="1" applyFont="1" applyFill="1" applyBorder="1" applyAlignment="1" applyProtection="1">
      <alignment vertical="center"/>
      <protection locked="0"/>
    </xf>
    <xf numFmtId="0" fontId="22" fillId="0" borderId="0" xfId="0" applyFont="1" applyFill="1" applyBorder="1" applyAlignment="1" applyProtection="1">
      <alignment horizontal="center" vertical="center"/>
      <protection locked="0"/>
    </xf>
    <xf numFmtId="0" fontId="22" fillId="0" borderId="0" xfId="0" applyFont="1" applyFill="1" applyBorder="1" applyAlignment="1" applyProtection="1">
      <alignment vertical="center"/>
      <protection locked="0"/>
    </xf>
    <xf numFmtId="169" fontId="22" fillId="0" borderId="0" xfId="0" applyNumberFormat="1" applyFont="1" applyFill="1" applyBorder="1" applyAlignment="1" applyProtection="1">
      <alignment horizontal="center" vertical="center"/>
      <protection locked="0"/>
    </xf>
    <xf numFmtId="14" fontId="22" fillId="0" borderId="0" xfId="0" applyNumberFormat="1" applyFont="1" applyFill="1" applyBorder="1" applyAlignment="1" applyProtection="1">
      <alignment horizontal="center" vertical="center"/>
      <protection locked="0"/>
    </xf>
    <xf numFmtId="14" fontId="22" fillId="0" borderId="0" xfId="2" applyNumberFormat="1" applyFont="1" applyFill="1" applyBorder="1" applyAlignment="1">
      <alignment horizontal="center" vertical="center"/>
    </xf>
    <xf numFmtId="0" fontId="22" fillId="0" borderId="0" xfId="2" applyNumberFormat="1" applyFont="1" applyFill="1" applyBorder="1" applyAlignment="1">
      <alignment horizontal="center" vertical="center"/>
    </xf>
    <xf numFmtId="9" fontId="22" fillId="0" borderId="0" xfId="2" applyFont="1" applyFill="1" applyBorder="1" applyAlignment="1">
      <alignment horizontal="center" vertical="center"/>
    </xf>
    <xf numFmtId="0" fontId="26" fillId="0" borderId="0" xfId="0" applyNumberFormat="1" applyFont="1" applyFill="1" applyBorder="1" applyAlignment="1">
      <alignment vertical="center"/>
    </xf>
    <xf numFmtId="2" fontId="22" fillId="6" borderId="0" xfId="2" quotePrefix="1" applyNumberFormat="1" applyFont="1" applyFill="1" applyBorder="1" applyAlignment="1">
      <alignment horizontal="center" vertical="center"/>
    </xf>
    <xf numFmtId="167" fontId="22" fillId="6" borderId="0" xfId="2" quotePrefix="1" applyNumberFormat="1" applyFont="1" applyFill="1" applyBorder="1" applyAlignment="1">
      <alignment horizontal="center" vertical="center"/>
    </xf>
    <xf numFmtId="1" fontId="22" fillId="6" borderId="0" xfId="2" quotePrefix="1" applyNumberFormat="1" applyFont="1" applyFill="1" applyBorder="1" applyAlignment="1">
      <alignment horizontal="center" vertical="center"/>
    </xf>
    <xf numFmtId="168" fontId="22" fillId="6" borderId="0" xfId="2" quotePrefix="1" applyNumberFormat="1" applyFont="1" applyFill="1" applyBorder="1" applyAlignment="1">
      <alignment horizontal="center" vertical="center"/>
    </xf>
    <xf numFmtId="0" fontId="22" fillId="8" borderId="0" xfId="2" applyNumberFormat="1" applyFont="1" applyFill="1" applyBorder="1" applyAlignment="1">
      <alignment horizontal="center" vertical="center"/>
    </xf>
    <xf numFmtId="168" fontId="22" fillId="8" borderId="0" xfId="2" applyNumberFormat="1" applyFont="1" applyFill="1" applyBorder="1" applyAlignment="1">
      <alignment horizontal="center" vertical="center"/>
    </xf>
    <xf numFmtId="0" fontId="22" fillId="8" borderId="0" xfId="2" quotePrefix="1" applyNumberFormat="1" applyFont="1" applyFill="1" applyBorder="1" applyAlignment="1">
      <alignment horizontal="center" vertical="center"/>
    </xf>
    <xf numFmtId="165" fontId="22" fillId="0" borderId="0" xfId="2" applyNumberFormat="1" applyFont="1" applyFill="1" applyBorder="1" applyAlignment="1">
      <alignment horizontal="center" vertical="center"/>
    </xf>
    <xf numFmtId="0" fontId="22" fillId="0" borderId="0" xfId="2" applyNumberFormat="1" applyFont="1" applyFill="1" applyBorder="1" applyAlignment="1">
      <alignment vertical="center"/>
    </xf>
    <xf numFmtId="0" fontId="28" fillId="0" borderId="0" xfId="2" applyNumberFormat="1" applyFont="1" applyFill="1" applyBorder="1" applyAlignment="1">
      <alignment vertical="center"/>
    </xf>
    <xf numFmtId="0" fontId="26" fillId="0" borderId="0" xfId="0" applyFont="1" applyFill="1" applyBorder="1" applyAlignment="1">
      <alignment vertical="center"/>
    </xf>
    <xf numFmtId="166" fontId="22" fillId="6" borderId="0" xfId="2" applyNumberFormat="1" applyFont="1" applyFill="1" applyBorder="1" applyAlignment="1">
      <alignment horizontal="center" vertical="center"/>
    </xf>
    <xf numFmtId="167" fontId="22" fillId="6" borderId="0" xfId="2" applyNumberFormat="1" applyFont="1" applyFill="1" applyBorder="1" applyAlignment="1">
      <alignment horizontal="center" vertical="center"/>
    </xf>
    <xf numFmtId="2" fontId="22" fillId="6" borderId="0" xfId="2" applyNumberFormat="1" applyFont="1" applyFill="1" applyBorder="1" applyAlignment="1">
      <alignment horizontal="center" vertical="center"/>
    </xf>
    <xf numFmtId="168" fontId="22" fillId="6" borderId="0" xfId="2" applyNumberFormat="1" applyFont="1" applyFill="1" applyBorder="1" applyAlignment="1">
      <alignment horizontal="center" vertical="center"/>
    </xf>
    <xf numFmtId="9" fontId="22" fillId="8" borderId="0" xfId="2" applyNumberFormat="1" applyFont="1" applyFill="1" applyBorder="1" applyAlignment="1">
      <alignment horizontal="center" vertical="center"/>
    </xf>
    <xf numFmtId="168" fontId="22" fillId="8" borderId="0" xfId="2" quotePrefix="1" applyNumberFormat="1" applyFont="1" applyFill="1" applyBorder="1" applyAlignment="1">
      <alignment horizontal="center" vertical="center"/>
    </xf>
    <xf numFmtId="167" fontId="14" fillId="6" borderId="0" xfId="2" applyNumberFormat="1" applyFont="1" applyFill="1" applyBorder="1" applyAlignment="1">
      <alignment horizontal="center" vertical="center"/>
    </xf>
    <xf numFmtId="2" fontId="14" fillId="6" borderId="0" xfId="2" applyNumberFormat="1" applyFont="1" applyFill="1" applyBorder="1" applyAlignment="1">
      <alignment horizontal="center" vertical="center"/>
    </xf>
    <xf numFmtId="0" fontId="14" fillId="8" borderId="0" xfId="2" applyNumberFormat="1" applyFont="1" applyFill="1" applyBorder="1" applyAlignment="1">
      <alignment horizontal="center" vertical="center"/>
    </xf>
    <xf numFmtId="2" fontId="22" fillId="0" borderId="0" xfId="2" applyNumberFormat="1" applyFont="1" applyFill="1" applyBorder="1" applyAlignment="1">
      <alignment horizontal="center" vertical="center"/>
    </xf>
    <xf numFmtId="0" fontId="25" fillId="0" borderId="0" xfId="0" applyFont="1" applyFill="1" applyBorder="1" applyAlignment="1">
      <alignment vertical="center"/>
    </xf>
    <xf numFmtId="0" fontId="26" fillId="0" borderId="0" xfId="2" applyNumberFormat="1" applyFont="1" applyFill="1" applyBorder="1" applyAlignment="1">
      <alignment vertical="center"/>
    </xf>
    <xf numFmtId="49" fontId="22" fillId="0" borderId="0" xfId="2" applyNumberFormat="1" applyFont="1" applyFill="1" applyBorder="1" applyAlignment="1">
      <alignment horizontal="center" vertical="center"/>
    </xf>
    <xf numFmtId="169" fontId="22" fillId="0" borderId="0" xfId="2" applyNumberFormat="1" applyFont="1" applyFill="1" applyBorder="1" applyAlignment="1">
      <alignment horizontal="center" vertical="center"/>
    </xf>
    <xf numFmtId="14" fontId="26" fillId="0" borderId="0" xfId="0" applyNumberFormat="1" applyFont="1" applyFill="1" applyBorder="1" applyAlignment="1">
      <alignment vertical="center"/>
    </xf>
    <xf numFmtId="2" fontId="26" fillId="0" borderId="0" xfId="0" applyNumberFormat="1" applyFont="1" applyFill="1" applyBorder="1" applyAlignment="1">
      <alignment vertical="center"/>
    </xf>
    <xf numFmtId="165" fontId="26" fillId="0" borderId="0" xfId="0" applyNumberFormat="1" applyFont="1" applyFill="1" applyBorder="1" applyAlignment="1">
      <alignment vertical="center"/>
    </xf>
    <xf numFmtId="0" fontId="28" fillId="0" borderId="0" xfId="0" applyFont="1" applyFill="1" applyBorder="1" applyAlignment="1">
      <alignment vertical="center"/>
    </xf>
    <xf numFmtId="49" fontId="26" fillId="0" borderId="0" xfId="2" applyNumberFormat="1" applyFont="1" applyFill="1" applyBorder="1" applyAlignment="1">
      <alignment horizontal="center" vertical="center"/>
    </xf>
    <xf numFmtId="0" fontId="26" fillId="0" borderId="0" xfId="2" applyNumberFormat="1" applyFont="1" applyFill="1" applyBorder="1" applyAlignment="1">
      <alignment horizontal="center" vertical="center"/>
    </xf>
    <xf numFmtId="169" fontId="26" fillId="0" borderId="0" xfId="2" applyNumberFormat="1" applyFont="1" applyFill="1" applyBorder="1" applyAlignment="1">
      <alignment horizontal="center" vertical="center"/>
    </xf>
    <xf numFmtId="14" fontId="26" fillId="0" borderId="0" xfId="2" applyNumberFormat="1" applyFont="1" applyFill="1" applyBorder="1" applyAlignment="1">
      <alignment horizontal="center" vertical="center"/>
    </xf>
    <xf numFmtId="0" fontId="26" fillId="0" borderId="0" xfId="0" applyFont="1" applyFill="1" applyBorder="1" applyAlignment="1">
      <alignment horizontal="center" vertical="center"/>
    </xf>
    <xf numFmtId="9" fontId="22" fillId="0" borderId="0" xfId="2" applyFont="1" applyFill="1" applyBorder="1" applyAlignment="1">
      <alignment vertical="center"/>
    </xf>
    <xf numFmtId="14" fontId="14" fillId="6" borderId="1" xfId="2" applyNumberFormat="1" applyFont="1" applyFill="1" applyBorder="1" applyAlignment="1">
      <alignment horizontal="right" vertical="center"/>
    </xf>
    <xf numFmtId="0" fontId="22" fillId="6" borderId="1" xfId="2" applyNumberFormat="1" applyFont="1" applyFill="1" applyBorder="1" applyAlignment="1">
      <alignment horizontal="center" vertical="center"/>
    </xf>
    <xf numFmtId="0" fontId="22" fillId="6" borderId="1" xfId="2" quotePrefix="1" applyNumberFormat="1" applyFont="1" applyFill="1" applyBorder="1" applyAlignment="1">
      <alignment horizontal="center" vertical="center"/>
    </xf>
    <xf numFmtId="0" fontId="25" fillId="2" borderId="0" xfId="0" applyFont="1" applyFill="1" applyBorder="1" applyAlignment="1">
      <alignment horizontal="center" vertical="center"/>
    </xf>
    <xf numFmtId="49" fontId="25" fillId="2" borderId="0" xfId="2" applyNumberFormat="1" applyFont="1" applyFill="1" applyBorder="1" applyAlignment="1">
      <alignment horizontal="center" vertical="center"/>
    </xf>
    <xf numFmtId="14" fontId="25" fillId="2" borderId="0" xfId="0" applyNumberFormat="1" applyFont="1" applyFill="1" applyBorder="1" applyAlignment="1">
      <alignment horizontal="center" vertical="center"/>
    </xf>
    <xf numFmtId="0" fontId="28" fillId="2" borderId="0" xfId="2" applyNumberFormat="1" applyFont="1" applyFill="1" applyBorder="1" applyAlignment="1">
      <alignment vertical="center"/>
    </xf>
    <xf numFmtId="0" fontId="25" fillId="2" borderId="0" xfId="0" applyFont="1" applyFill="1" applyBorder="1" applyAlignment="1">
      <alignment vertical="center"/>
    </xf>
    <xf numFmtId="0" fontId="25" fillId="2" borderId="0" xfId="2" quotePrefix="1" applyNumberFormat="1" applyFont="1" applyFill="1" applyBorder="1" applyAlignment="1">
      <alignment horizontal="center" vertical="center"/>
    </xf>
    <xf numFmtId="0" fontId="26" fillId="2" borderId="0" xfId="2" applyNumberFormat="1" applyFont="1" applyFill="1" applyBorder="1" applyAlignment="1">
      <alignment vertical="center"/>
    </xf>
    <xf numFmtId="0" fontId="28" fillId="2" borderId="0" xfId="0" applyFont="1" applyFill="1" applyBorder="1" applyAlignment="1">
      <alignment vertical="center"/>
    </xf>
    <xf numFmtId="0" fontId="29" fillId="2" borderId="0" xfId="0" applyFont="1" applyFill="1" applyBorder="1" applyAlignment="1">
      <alignment vertical="center"/>
    </xf>
    <xf numFmtId="49" fontId="25" fillId="2" borderId="0" xfId="2" applyNumberFormat="1" applyFont="1" applyFill="1" applyBorder="1" applyAlignment="1">
      <alignment vertical="center"/>
    </xf>
    <xf numFmtId="49" fontId="26" fillId="2" borderId="0" xfId="2" applyNumberFormat="1" applyFont="1" applyFill="1" applyBorder="1" applyAlignment="1">
      <alignment vertical="center"/>
    </xf>
    <xf numFmtId="0" fontId="26" fillId="2" borderId="0" xfId="0" applyFont="1" applyFill="1" applyBorder="1" applyAlignment="1">
      <alignment vertical="center"/>
    </xf>
    <xf numFmtId="0" fontId="29" fillId="2" borderId="0" xfId="2" applyNumberFormat="1" applyFont="1" applyFill="1" applyBorder="1" applyAlignment="1">
      <alignment vertical="center"/>
    </xf>
    <xf numFmtId="0" fontId="0" fillId="0" borderId="0" xfId="0" applyAlignment="1">
      <alignment vertical="center" wrapText="1"/>
    </xf>
    <xf numFmtId="0" fontId="0" fillId="0" borderId="0" xfId="0" applyAlignment="1">
      <alignment vertical="center"/>
    </xf>
    <xf numFmtId="49" fontId="2" fillId="7" borderId="18" xfId="0" applyNumberFormat="1" applyFont="1" applyFill="1" applyBorder="1" applyAlignment="1" applyProtection="1">
      <alignment horizontal="center" vertical="top"/>
      <protection locked="0"/>
    </xf>
    <xf numFmtId="0" fontId="21" fillId="7" borderId="18" xfId="1" applyFill="1" applyBorder="1" applyAlignment="1" applyProtection="1">
      <alignment vertical="center"/>
      <protection locked="0"/>
    </xf>
    <xf numFmtId="9" fontId="14" fillId="9" borderId="33" xfId="2" applyFont="1" applyFill="1" applyBorder="1" applyAlignment="1">
      <alignment vertical="top"/>
    </xf>
    <xf numFmtId="9" fontId="14" fillId="7" borderId="23" xfId="2" applyFont="1" applyFill="1" applyBorder="1" applyAlignment="1">
      <alignment horizontal="center" vertical="top"/>
    </xf>
    <xf numFmtId="9" fontId="14" fillId="7" borderId="26" xfId="2" applyFont="1" applyFill="1" applyBorder="1" applyAlignment="1">
      <alignment horizontal="center" vertical="top"/>
    </xf>
    <xf numFmtId="165" fontId="14" fillId="7" borderId="23" xfId="2" applyNumberFormat="1" applyFont="1" applyFill="1" applyBorder="1" applyAlignment="1">
      <alignment horizontal="center" vertical="top"/>
    </xf>
    <xf numFmtId="165" fontId="14" fillId="7" borderId="18" xfId="2" applyNumberFormat="1" applyFont="1" applyFill="1" applyBorder="1" applyAlignment="1">
      <alignment horizontal="center" vertical="top"/>
    </xf>
    <xf numFmtId="165" fontId="14" fillId="7" borderId="12" xfId="2" applyNumberFormat="1" applyFont="1" applyFill="1" applyBorder="1" applyAlignment="1">
      <alignment horizontal="center" vertical="top"/>
    </xf>
    <xf numFmtId="0" fontId="14" fillId="7" borderId="23" xfId="2" applyNumberFormat="1" applyFont="1" applyFill="1" applyBorder="1" applyAlignment="1">
      <alignment horizontal="center" vertical="top"/>
    </xf>
    <xf numFmtId="0" fontId="14" fillId="7" borderId="18" xfId="2" applyNumberFormat="1" applyFont="1" applyFill="1" applyBorder="1" applyAlignment="1">
      <alignment horizontal="center" vertical="top"/>
    </xf>
    <xf numFmtId="0" fontId="14" fillId="7" borderId="12" xfId="2" applyNumberFormat="1" applyFont="1" applyFill="1" applyBorder="1" applyAlignment="1">
      <alignment horizontal="center" vertical="top"/>
    </xf>
    <xf numFmtId="165" fontId="14" fillId="7" borderId="25" xfId="2" applyNumberFormat="1" applyFont="1" applyFill="1" applyBorder="1" applyAlignment="1">
      <alignment horizontal="center" vertical="top"/>
    </xf>
    <xf numFmtId="165" fontId="14" fillId="7" borderId="26" xfId="2" applyNumberFormat="1" applyFont="1" applyFill="1" applyBorder="1" applyAlignment="1">
      <alignment horizontal="center" vertical="top"/>
    </xf>
    <xf numFmtId="0" fontId="0" fillId="0" borderId="0" xfId="0" applyAlignment="1">
      <alignment horizontal="center" vertical="center"/>
    </xf>
    <xf numFmtId="0" fontId="11" fillId="2" borderId="4" xfId="0" applyFont="1" applyFill="1" applyBorder="1" applyAlignment="1">
      <alignment horizontal="center" textRotation="90" wrapText="1"/>
    </xf>
    <xf numFmtId="0" fontId="11" fillId="2" borderId="9" xfId="0" applyFont="1" applyFill="1" applyBorder="1" applyAlignment="1">
      <alignment horizontal="center" textRotation="90" wrapText="1"/>
    </xf>
    <xf numFmtId="0" fontId="10" fillId="3" borderId="4" xfId="0" applyFont="1" applyFill="1" applyBorder="1" applyAlignment="1">
      <alignment horizontal="center" textRotation="90" wrapText="1"/>
    </xf>
    <xf numFmtId="0" fontId="10" fillId="3" borderId="9" xfId="0" applyFont="1" applyFill="1" applyBorder="1" applyAlignment="1">
      <alignment horizontal="center" textRotation="90" wrapText="1"/>
    </xf>
    <xf numFmtId="0" fontId="9" fillId="3" borderId="16" xfId="0" applyFont="1" applyFill="1" applyBorder="1" applyAlignment="1">
      <alignment horizontal="center" vertical="center"/>
    </xf>
    <xf numFmtId="0" fontId="9" fillId="3" borderId="17" xfId="0" applyFont="1" applyFill="1" applyBorder="1" applyAlignment="1">
      <alignment horizontal="center" vertical="center"/>
    </xf>
    <xf numFmtId="0" fontId="8" fillId="3" borderId="14" xfId="0" quotePrefix="1" applyFont="1" applyFill="1" applyBorder="1" applyAlignment="1">
      <alignment horizontal="center" vertical="center"/>
    </xf>
    <xf numFmtId="0" fontId="8" fillId="3" borderId="15" xfId="0" quotePrefix="1" applyFont="1" applyFill="1" applyBorder="1" applyAlignment="1">
      <alignment horizontal="center" vertical="center"/>
    </xf>
    <xf numFmtId="0" fontId="8" fillId="3" borderId="16" xfId="0" quotePrefix="1" applyFont="1" applyFill="1" applyBorder="1" applyAlignment="1">
      <alignment horizontal="center" vertical="center"/>
    </xf>
    <xf numFmtId="0" fontId="8" fillId="3" borderId="17" xfId="0" quotePrefix="1" applyFont="1" applyFill="1" applyBorder="1" applyAlignment="1">
      <alignment horizontal="center" vertical="center"/>
    </xf>
    <xf numFmtId="0" fontId="11" fillId="2" borderId="4" xfId="0" applyFont="1" applyFill="1" applyBorder="1" applyAlignment="1">
      <alignment textRotation="90" wrapText="1"/>
    </xf>
    <xf numFmtId="0" fontId="11" fillId="2" borderId="9" xfId="0" applyFont="1" applyFill="1" applyBorder="1" applyAlignment="1">
      <alignment textRotation="90" wrapText="1"/>
    </xf>
  </cellXfs>
  <cellStyles count="9">
    <cellStyle name="Hipervínculo" xfId="1" builtinId="8" customBuiltin="1"/>
    <cellStyle name="Hipervínculo 2" xfId="4"/>
    <cellStyle name="Hipervínculo visitado" xfId="8" builtinId="9" customBuiltin="1"/>
    <cellStyle name="Millares [0] 2" xfId="6"/>
    <cellStyle name="Normal" xfId="0" builtinId="0"/>
    <cellStyle name="Normal 2" xfId="5"/>
    <cellStyle name="Normal 3" xfId="7"/>
    <cellStyle name="Porcentaje" xfId="2" builtinId="5"/>
    <cellStyle name="Título 4" xfId="3"/>
  </cellStyles>
  <dxfs count="932">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color theme="0"/>
      </font>
      <fill>
        <patternFill>
          <bgColor rgb="FFFF0000"/>
        </patternFill>
      </fill>
    </dxf>
    <dxf>
      <fill>
        <patternFill>
          <bgColor theme="5" tint="0.59996337778862885"/>
        </patternFill>
      </fill>
    </dxf>
    <dxf>
      <font>
        <b/>
        <i val="0"/>
        <color theme="0"/>
      </font>
      <fill>
        <patternFill>
          <bgColor rgb="FF7030A0"/>
        </patternFill>
      </fill>
    </dxf>
    <dxf>
      <font>
        <b/>
        <i val="0"/>
        <color theme="0"/>
      </font>
      <fill>
        <patternFill>
          <bgColor theme="9" tint="-0.499984740745262"/>
        </patternFill>
      </fill>
    </dxf>
    <dxf>
      <font>
        <color theme="0"/>
      </font>
      <fill>
        <patternFill>
          <bgColor theme="7" tint="-0.499984740745262"/>
        </patternFill>
      </fill>
    </dxf>
    <dxf>
      <font>
        <b/>
        <i val="0"/>
        <color rgb="FF004079"/>
      </font>
      <fill>
        <patternFill>
          <bgColor theme="7"/>
        </patternFill>
      </fill>
    </dxf>
    <dxf>
      <font>
        <b/>
        <i val="0"/>
        <color rgb="FFFF0000"/>
      </font>
    </dxf>
  </dxfs>
  <tableStyles count="0" defaultTableStyle="TableStyleMedium2" defaultPivotStyle="PivotStyleLight16"/>
  <colors>
    <mruColors>
      <color rgb="FF00FF00"/>
      <color rgb="FF372355"/>
      <color rgb="FFC89800"/>
      <color rgb="FF375523"/>
      <color rgb="FF004079"/>
      <color rgb="FF00B050"/>
      <color rgb="FF0000FF"/>
      <color rgb="FF99CCFF"/>
      <color rgb="FFA7BFDE"/>
      <color rgb="FF1F497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14</xdr:col>
      <xdr:colOff>22412</xdr:colOff>
      <xdr:row>0</xdr:row>
      <xdr:rowOff>11206</xdr:rowOff>
    </xdr:from>
    <xdr:to>
      <xdr:col>14</xdr:col>
      <xdr:colOff>795618</xdr:colOff>
      <xdr:row>0</xdr:row>
      <xdr:rowOff>173206</xdr:rowOff>
    </xdr:to>
    <xdr:sp macro="[0]!Ordenar_Hojas" textlink="">
      <xdr:nvSpPr>
        <xdr:cNvPr id="16" name="Rectángulo 15"/>
        <xdr:cNvSpPr/>
      </xdr:nvSpPr>
      <xdr:spPr>
        <a:xfrm>
          <a:off x="10959353" y="11206"/>
          <a:ext cx="773206" cy="162000"/>
        </a:xfrm>
        <a:prstGeom prst="rect">
          <a:avLst/>
        </a:prstGeom>
        <a:solidFill>
          <a:srgbClr val="5B9BD5">
            <a:lumMod val="75000"/>
          </a:srgbClr>
        </a:solidFill>
        <a:ln w="12700" cap="flat" cmpd="sng" algn="ctr">
          <a:solidFill>
            <a:srgbClr val="5B9BD5">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ysClr val="window" lastClr="FFFFFF"/>
              </a:solidFill>
              <a:effectLst/>
              <a:uLnTx/>
              <a:uFillTx/>
              <a:latin typeface="Calibri" panose="020F0502020204030204"/>
              <a:ea typeface="+mn-ea"/>
              <a:cs typeface="+mn-cs"/>
            </a:rPr>
            <a:t>ORDENAR </a:t>
          </a:r>
        </a:p>
      </xdr:txBody>
    </xdr:sp>
    <xdr:clientData/>
  </xdr:twoCellAnchor>
  <xdr:twoCellAnchor>
    <xdr:from>
      <xdr:col>14</xdr:col>
      <xdr:colOff>835248</xdr:colOff>
      <xdr:row>0</xdr:row>
      <xdr:rowOff>11204</xdr:rowOff>
    </xdr:from>
    <xdr:to>
      <xdr:col>14</xdr:col>
      <xdr:colOff>1411248</xdr:colOff>
      <xdr:row>0</xdr:row>
      <xdr:rowOff>173204</xdr:rowOff>
    </xdr:to>
    <xdr:sp macro="[0]!Crear_DNI" textlink="">
      <xdr:nvSpPr>
        <xdr:cNvPr id="17" name="Rectángulo 16"/>
        <xdr:cNvSpPr/>
      </xdr:nvSpPr>
      <xdr:spPr>
        <a:xfrm>
          <a:off x="11772189" y="11204"/>
          <a:ext cx="576000" cy="162000"/>
        </a:xfrm>
        <a:prstGeom prst="rect">
          <a:avLst/>
        </a:prstGeom>
        <a:solidFill>
          <a:srgbClr val="5B9BD5">
            <a:lumMod val="75000"/>
          </a:srgbClr>
        </a:solidFill>
        <a:ln w="12700" cap="flat" cmpd="sng" algn="ctr">
          <a:solidFill>
            <a:srgbClr val="5B9BD5">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ysClr val="window" lastClr="FFFFFF"/>
              </a:solidFill>
              <a:effectLst/>
              <a:uLnTx/>
              <a:uFillTx/>
              <a:latin typeface="Calibri" panose="020F0502020204030204"/>
              <a:ea typeface="+mn-ea"/>
              <a:cs typeface="+mn-cs"/>
            </a:rPr>
            <a:t>DNI </a:t>
          </a:r>
        </a:p>
      </xdr:txBody>
    </xdr:sp>
    <xdr:clientData/>
  </xdr:twoCellAnchor>
  <xdr:twoCellAnchor>
    <xdr:from>
      <xdr:col>14</xdr:col>
      <xdr:colOff>1451571</xdr:colOff>
      <xdr:row>0</xdr:row>
      <xdr:rowOff>11204</xdr:rowOff>
    </xdr:from>
    <xdr:to>
      <xdr:col>14</xdr:col>
      <xdr:colOff>2027571</xdr:colOff>
      <xdr:row>0</xdr:row>
      <xdr:rowOff>173204</xdr:rowOff>
    </xdr:to>
    <xdr:sp macro="[0]!Crear_NIF" textlink="">
      <xdr:nvSpPr>
        <xdr:cNvPr id="18" name="Rectángulo 17"/>
        <xdr:cNvSpPr/>
      </xdr:nvSpPr>
      <xdr:spPr>
        <a:xfrm>
          <a:off x="12388512" y="11204"/>
          <a:ext cx="576000" cy="162000"/>
        </a:xfrm>
        <a:prstGeom prst="rect">
          <a:avLst/>
        </a:prstGeom>
        <a:solidFill>
          <a:srgbClr val="5B9BD5">
            <a:lumMod val="75000"/>
          </a:srgbClr>
        </a:solidFill>
        <a:ln w="12700" cap="flat" cmpd="sng" algn="ctr">
          <a:solidFill>
            <a:srgbClr val="5B9BD5">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ysClr val="window" lastClr="FFFFFF"/>
              </a:solidFill>
              <a:effectLst/>
              <a:uLnTx/>
              <a:uFillTx/>
              <a:latin typeface="Calibri" panose="020F0502020204030204"/>
              <a:ea typeface="+mn-ea"/>
              <a:cs typeface="+mn-cs"/>
            </a:rPr>
            <a:t>NIF</a:t>
          </a:r>
        </a:p>
      </xdr:txBody>
    </xdr:sp>
    <xdr:clientData/>
  </xdr:twoCellAnchor>
  <xdr:twoCellAnchor>
    <xdr:from>
      <xdr:col>14</xdr:col>
      <xdr:colOff>2068603</xdr:colOff>
      <xdr:row>0</xdr:row>
      <xdr:rowOff>6722</xdr:rowOff>
    </xdr:from>
    <xdr:to>
      <xdr:col>14</xdr:col>
      <xdr:colOff>2644603</xdr:colOff>
      <xdr:row>0</xdr:row>
      <xdr:rowOff>168722</xdr:rowOff>
    </xdr:to>
    <xdr:sp macro="[0]!Crear_DOC" textlink="">
      <xdr:nvSpPr>
        <xdr:cNvPr id="6" name="Rectángulo 5"/>
        <xdr:cNvSpPr/>
      </xdr:nvSpPr>
      <xdr:spPr>
        <a:xfrm>
          <a:off x="13005544" y="6722"/>
          <a:ext cx="576000" cy="162000"/>
        </a:xfrm>
        <a:prstGeom prst="rect">
          <a:avLst/>
        </a:prstGeom>
        <a:solidFill>
          <a:srgbClr val="5B9BD5">
            <a:lumMod val="75000"/>
          </a:srgbClr>
        </a:solidFill>
        <a:ln w="12700" cap="flat" cmpd="sng" algn="ctr">
          <a:solidFill>
            <a:srgbClr val="5B9BD5">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ysClr val="window" lastClr="FFFFFF"/>
              </a:solidFill>
              <a:effectLst/>
              <a:uLnTx/>
              <a:uFillTx/>
              <a:latin typeface="Calibri" panose="020F0502020204030204"/>
              <a:ea typeface="+mn-ea"/>
              <a:cs typeface="+mn-cs"/>
            </a:rPr>
            <a:t>DOC</a:t>
          </a:r>
        </a:p>
      </xdr:txBody>
    </xdr:sp>
    <xdr:clientData/>
  </xdr:twoCellAnchor>
  <xdr:twoCellAnchor>
    <xdr:from>
      <xdr:col>40</xdr:col>
      <xdr:colOff>11206</xdr:colOff>
      <xdr:row>0</xdr:row>
      <xdr:rowOff>33618</xdr:rowOff>
    </xdr:from>
    <xdr:to>
      <xdr:col>41</xdr:col>
      <xdr:colOff>1406</xdr:colOff>
      <xdr:row>0</xdr:row>
      <xdr:rowOff>195618</xdr:rowOff>
    </xdr:to>
    <xdr:sp macro="[0]!EnviarCorreosGmail" textlink="">
      <xdr:nvSpPr>
        <xdr:cNvPr id="11" name="Rectángulo 10"/>
        <xdr:cNvSpPr/>
      </xdr:nvSpPr>
      <xdr:spPr>
        <a:xfrm>
          <a:off x="9356912" y="33618"/>
          <a:ext cx="371200" cy="162000"/>
        </a:xfrm>
        <a:prstGeom prst="rect">
          <a:avLst/>
        </a:prstGeom>
        <a:solidFill>
          <a:srgbClr val="5B9BD5">
            <a:lumMod val="75000"/>
          </a:srgbClr>
        </a:solidFill>
        <a:ln w="12700" cap="flat" cmpd="sng" algn="ctr">
          <a:solidFill>
            <a:srgbClr val="5B9BD5">
              <a:shade val="50000"/>
            </a:srgbClr>
          </a:solidFill>
          <a:prstDash val="solid"/>
          <a:miter lim="800000"/>
        </a:ln>
        <a:effectLst/>
      </xdr:spPr>
      <xdr:txBody>
        <a:bodyPr vertOverflow="clip" horzOverflow="clip" lIns="0" rIns="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ysClr val="window" lastClr="FFFFFF"/>
              </a:solidFill>
              <a:effectLst/>
              <a:uLnTx/>
              <a:uFillTx/>
              <a:latin typeface="Calibri" panose="020F0502020204030204"/>
              <a:ea typeface="+mn-ea"/>
              <a:cs typeface="+mn-cs"/>
            </a:rPr>
            <a:t>MAIL</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136072</xdr:colOff>
      <xdr:row>0</xdr:row>
      <xdr:rowOff>50463</xdr:rowOff>
    </xdr:from>
    <xdr:to>
      <xdr:col>3</xdr:col>
      <xdr:colOff>730072</xdr:colOff>
      <xdr:row>9</xdr:row>
      <xdr:rowOff>135963</xdr:rowOff>
    </xdr:to>
    <xdr:pic>
      <xdr:nvPicPr>
        <xdr:cNvPr id="2" name="dni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6072" y="50463"/>
          <a:ext cx="2880000" cy="1800000"/>
        </a:xfrm>
        <a:prstGeom prst="rect">
          <a:avLst/>
        </a:prstGeom>
      </xdr:spPr>
    </xdr:pic>
    <xdr:clientData/>
  </xdr:twoCellAnchor>
  <xdr:twoCellAnchor editAs="oneCell">
    <xdr:from>
      <xdr:col>4</xdr:col>
      <xdr:colOff>6124</xdr:colOff>
      <xdr:row>0</xdr:row>
      <xdr:rowOff>50463</xdr:rowOff>
    </xdr:from>
    <xdr:to>
      <xdr:col>7</xdr:col>
      <xdr:colOff>600124</xdr:colOff>
      <xdr:row>9</xdr:row>
      <xdr:rowOff>135963</xdr:rowOff>
    </xdr:to>
    <xdr:pic>
      <xdr:nvPicPr>
        <xdr:cNvPr id="3" name="dni2"/>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54124" y="50463"/>
          <a:ext cx="2880000" cy="1800000"/>
        </a:xfrm>
        <a:prstGeom prst="rect">
          <a:avLst/>
        </a:prstGeom>
      </xdr:spPr>
    </xdr:pic>
    <xdr:clientData/>
  </xdr:twoCellAnchor>
  <xdr:twoCellAnchor editAs="oneCell">
    <xdr:from>
      <xdr:col>0</xdr:col>
      <xdr:colOff>136072</xdr:colOff>
      <xdr:row>10</xdr:row>
      <xdr:rowOff>12362</xdr:rowOff>
    </xdr:from>
    <xdr:to>
      <xdr:col>7</xdr:col>
      <xdr:colOff>603250</xdr:colOff>
      <xdr:row>30</xdr:row>
      <xdr:rowOff>146050</xdr:rowOff>
    </xdr:to>
    <xdr:pic>
      <xdr:nvPicPr>
        <xdr:cNvPr id="6" name="nif_CCPP"/>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6072" y="1917362"/>
          <a:ext cx="5801178" cy="3943688"/>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hyperlink" Target="mailto:maicaiuris.1@gmail.com" TargetMode="External"/><Relationship Id="rId18" Type="http://schemas.openxmlformats.org/officeDocument/2006/relationships/hyperlink" Target="mailto:manulopezma@gmail.com" TargetMode="External"/><Relationship Id="rId26" Type="http://schemas.openxmlformats.org/officeDocument/2006/relationships/hyperlink" Target="mailto:info@vasasesoria.es" TargetMode="External"/><Relationship Id="rId39" Type="http://schemas.openxmlformats.org/officeDocument/2006/relationships/hyperlink" Target="mailto:erodriguez@lexfinca.com" TargetMode="External"/><Relationship Id="rId21" Type="http://schemas.openxmlformats.org/officeDocument/2006/relationships/hyperlink" Target="mailto:lausanmed@hotmail.com" TargetMode="External"/><Relationship Id="rId34" Type="http://schemas.openxmlformats.org/officeDocument/2006/relationships/hyperlink" Target="mailto:consuelo@romeabogados.net" TargetMode="External"/><Relationship Id="rId42" Type="http://schemas.openxmlformats.org/officeDocument/2006/relationships/hyperlink" Target="mailto:info@baluartecomunidades.com" TargetMode="External"/><Relationship Id="rId47" Type="http://schemas.openxmlformats.org/officeDocument/2006/relationships/hyperlink" Target="mailto:perezdelpozo.af@gmail.com" TargetMode="External"/><Relationship Id="rId50" Type="http://schemas.openxmlformats.org/officeDocument/2006/relationships/hyperlink" Target="mailto:rafaellopezsantos00@gmail.com" TargetMode="External"/><Relationship Id="rId55" Type="http://schemas.openxmlformats.org/officeDocument/2006/relationships/hyperlink" Target="mailto:mariajose1651@hotmail.com" TargetMode="External"/><Relationship Id="rId63" Type="http://schemas.openxmlformats.org/officeDocument/2006/relationships/printerSettings" Target="../printerSettings/printerSettings1.bin"/><Relationship Id="rId7" Type="http://schemas.openxmlformats.org/officeDocument/2006/relationships/hyperlink" Target="mailto:mariajose1651@hotmail.com" TargetMode="External"/><Relationship Id="rId2" Type="http://schemas.openxmlformats.org/officeDocument/2006/relationships/hyperlink" Target="mailto:mjsolisborja@gmail.com" TargetMode="External"/><Relationship Id="rId16" Type="http://schemas.openxmlformats.org/officeDocument/2006/relationships/hyperlink" Target="mailto:estefania.fleitas@inmho.es" TargetMode="External"/><Relationship Id="rId20" Type="http://schemas.openxmlformats.org/officeDocument/2006/relationships/hyperlink" Target="mailto:jimenezgarcia2007@yahoo.es" TargetMode="External"/><Relationship Id="rId29" Type="http://schemas.openxmlformats.org/officeDocument/2006/relationships/hyperlink" Target="mailto:infoadfsevilla@gmail.com" TargetMode="External"/><Relationship Id="rId41" Type="http://schemas.openxmlformats.org/officeDocument/2006/relationships/hyperlink" Target="mailto:despachomaribelduran@gmail.com" TargetMode="External"/><Relationship Id="rId54" Type="http://schemas.openxmlformats.org/officeDocument/2006/relationships/hyperlink" Target="mailto:jalcaide10@hotmail.es" TargetMode="External"/><Relationship Id="rId62" Type="http://schemas.openxmlformats.org/officeDocument/2006/relationships/hyperlink" Target="mailto:rechecayuela@gmail.com" TargetMode="External"/><Relationship Id="rId1" Type="http://schemas.openxmlformats.org/officeDocument/2006/relationships/hyperlink" Target="mailto:gdelgadorufino@gmail.com" TargetMode="External"/><Relationship Id="rId6" Type="http://schemas.openxmlformats.org/officeDocument/2006/relationships/hyperlink" Target="mailto:leonyajaira22@gmail.com" TargetMode="External"/><Relationship Id="rId11" Type="http://schemas.openxmlformats.org/officeDocument/2006/relationships/hyperlink" Target="mailto:pavilchesa@gmail.com" TargetMode="External"/><Relationship Id="rId24" Type="http://schemas.openxmlformats.org/officeDocument/2006/relationships/hyperlink" Target="mailto:luis.ruiz@inmho.es" TargetMode="External"/><Relationship Id="rId32" Type="http://schemas.openxmlformats.org/officeDocument/2006/relationships/hyperlink" Target="mailto:antonio.guillena@tucomunidadahorra.com" TargetMode="External"/><Relationship Id="rId37" Type="http://schemas.openxmlformats.org/officeDocument/2006/relationships/hyperlink" Target="mailto:josecarloszafra@zafraadinistracion.com" TargetMode="External"/><Relationship Id="rId40" Type="http://schemas.openxmlformats.org/officeDocument/2006/relationships/hyperlink" Target="mailto:marelfo77@yahoo.es" TargetMode="External"/><Relationship Id="rId45" Type="http://schemas.openxmlformats.org/officeDocument/2006/relationships/hyperlink" Target="mailto:administradores@administracionarboleda.com" TargetMode="External"/><Relationship Id="rId53" Type="http://schemas.openxmlformats.org/officeDocument/2006/relationships/hyperlink" Target="mailto:varofuentes@hotmail.com" TargetMode="External"/><Relationship Id="rId58" Type="http://schemas.openxmlformats.org/officeDocument/2006/relationships/hyperlink" Target="mailto:josecarloszafra@zafraadministracion.com" TargetMode="External"/><Relationship Id="rId66" Type="http://schemas.openxmlformats.org/officeDocument/2006/relationships/comments" Target="../comments1.xml"/><Relationship Id="rId5" Type="http://schemas.openxmlformats.org/officeDocument/2006/relationships/hyperlink" Target="mailto:leonyajaira22@gmail.com" TargetMode="External"/><Relationship Id="rId15" Type="http://schemas.openxmlformats.org/officeDocument/2006/relationships/hyperlink" Target="mailto:antoniomortiz11@gmail.com" TargetMode="External"/><Relationship Id="rId23" Type="http://schemas.openxmlformats.org/officeDocument/2006/relationships/hyperlink" Target="mailto:dilania7@gmail.com" TargetMode="External"/><Relationship Id="rId28" Type="http://schemas.openxmlformats.org/officeDocument/2006/relationships/hyperlink" Target="mailto:fincasol@fincasol.es" TargetMode="External"/><Relationship Id="rId36" Type="http://schemas.openxmlformats.org/officeDocument/2006/relationships/hyperlink" Target="mailto:serranorodriguez@gmail.com" TargetMode="External"/><Relationship Id="rId49" Type="http://schemas.openxmlformats.org/officeDocument/2006/relationships/hyperlink" Target="mailto:erodriguez@lexfinca.com" TargetMode="External"/><Relationship Id="rId57" Type="http://schemas.openxmlformats.org/officeDocument/2006/relationships/hyperlink" Target="mailto:japibo@msn.com" TargetMode="External"/><Relationship Id="rId61" Type="http://schemas.openxmlformats.org/officeDocument/2006/relationships/hyperlink" Target="mailto:abogados@bufeteflores.es" TargetMode="External"/><Relationship Id="rId10" Type="http://schemas.openxmlformats.org/officeDocument/2006/relationships/hyperlink" Target="mailto:jogaru13@gmail.com" TargetMode="External"/><Relationship Id="rId19" Type="http://schemas.openxmlformats.org/officeDocument/2006/relationships/hyperlink" Target="mailto:estefania.fleitas@inmho.es" TargetMode="External"/><Relationship Id="rId31" Type="http://schemas.openxmlformats.org/officeDocument/2006/relationships/hyperlink" Target="mailto:mdominguez@lexfinca.com" TargetMode="External"/><Relationship Id="rId44" Type="http://schemas.openxmlformats.org/officeDocument/2006/relationships/hyperlink" Target="mailto:ricardodavilahidalgo@gmail.com" TargetMode="External"/><Relationship Id="rId52" Type="http://schemas.openxmlformats.org/officeDocument/2006/relationships/hyperlink" Target="mailto:davidramosmartin@hotmail.com" TargetMode="External"/><Relationship Id="rId60" Type="http://schemas.openxmlformats.org/officeDocument/2006/relationships/hyperlink" Target="mailto:enesccab@gmail.com" TargetMode="External"/><Relationship Id="rId65" Type="http://schemas.openxmlformats.org/officeDocument/2006/relationships/vmlDrawing" Target="../drawings/vmlDrawing1.vml"/><Relationship Id="rId4" Type="http://schemas.openxmlformats.org/officeDocument/2006/relationships/hyperlink" Target="mailto:antonio.guillena@tucomunidadahorra.com" TargetMode="External"/><Relationship Id="rId9" Type="http://schemas.openxmlformats.org/officeDocument/2006/relationships/hyperlink" Target="mailto:rafadetovar@hotmail.com" TargetMode="External"/><Relationship Id="rId14" Type="http://schemas.openxmlformats.org/officeDocument/2006/relationships/hyperlink" Target="mailto:palomacamaraflores@gmail.com" TargetMode="External"/><Relationship Id="rId22" Type="http://schemas.openxmlformats.org/officeDocument/2006/relationships/hyperlink" Target="mailto:despachomaribelduran@gmail.com" TargetMode="External"/><Relationship Id="rId27" Type="http://schemas.openxmlformats.org/officeDocument/2006/relationships/hyperlink" Target="mailto:marioyevapescadero@gmail.com" TargetMode="External"/><Relationship Id="rId30" Type="http://schemas.openxmlformats.org/officeDocument/2006/relationships/hyperlink" Target="mailto:danielsimino@hotmail.com" TargetMode="External"/><Relationship Id="rId35" Type="http://schemas.openxmlformats.org/officeDocument/2006/relationships/hyperlink" Target="mailto:presupuestos@administradorsevilla.es" TargetMode="External"/><Relationship Id="rId43" Type="http://schemas.openxmlformats.org/officeDocument/2006/relationships/hyperlink" Target="mailto:administradores@administracionarboleda.com" TargetMode="External"/><Relationship Id="rId48" Type="http://schemas.openxmlformats.org/officeDocument/2006/relationships/hyperlink" Target="mailto:erodriguez@lexfinca.com" TargetMode="External"/><Relationship Id="rId56" Type="http://schemas.openxmlformats.org/officeDocument/2006/relationships/hyperlink" Target="mailto:jcjfc67@gmail.com" TargetMode="External"/><Relationship Id="rId64" Type="http://schemas.openxmlformats.org/officeDocument/2006/relationships/drawing" Target="../drawings/drawing1.xml"/><Relationship Id="rId8" Type="http://schemas.openxmlformats.org/officeDocument/2006/relationships/hyperlink" Target="mailto:rafadetovar@hotmail.com" TargetMode="External"/><Relationship Id="rId51" Type="http://schemas.openxmlformats.org/officeDocument/2006/relationships/hyperlink" Target="mailto:mjgr0000@gmail.com" TargetMode="External"/><Relationship Id="rId3" Type="http://schemas.openxmlformats.org/officeDocument/2006/relationships/hyperlink" Target="mailto:antonio.guillena@tucomunidadahorra.com" TargetMode="External"/><Relationship Id="rId12" Type="http://schemas.openxmlformats.org/officeDocument/2006/relationships/hyperlink" Target="mailto:margotchavezdiaz.1981@gmail.com" TargetMode="External"/><Relationship Id="rId17" Type="http://schemas.openxmlformats.org/officeDocument/2006/relationships/hyperlink" Target="mailto:contabilidad@mafincas.com" TargetMode="External"/><Relationship Id="rId25" Type="http://schemas.openxmlformats.org/officeDocument/2006/relationships/hyperlink" Target="mailto:alejgarvaz@gmail.com" TargetMode="External"/><Relationship Id="rId33" Type="http://schemas.openxmlformats.org/officeDocument/2006/relationships/hyperlink" Target="mailto:consuelo@romeabogados.net" TargetMode="External"/><Relationship Id="rId38" Type="http://schemas.openxmlformats.org/officeDocument/2006/relationships/hyperlink" Target="mailto:info@adfsevilla.com" TargetMode="External"/><Relationship Id="rId46" Type="http://schemas.openxmlformats.org/officeDocument/2006/relationships/hyperlink" Target="mailto:marta.martinez@garrigues.com" TargetMode="External"/><Relationship Id="rId59" Type="http://schemas.openxmlformats.org/officeDocument/2006/relationships/hyperlink" Target="mailto:elo2cv@gmail.com"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outlinePr summaryRight="0"/>
  </sheetPr>
  <dimension ref="A1:AY619"/>
  <sheetViews>
    <sheetView showZeros="0" zoomScale="85" zoomScaleNormal="85" workbookViewId="0">
      <pane xSplit="2" ySplit="2" topLeftCell="J113" activePane="bottomRight" state="frozen"/>
      <selection pane="topRight"/>
      <selection pane="bottomLeft"/>
      <selection pane="bottomRight" activeCell="B123" sqref="B123"/>
    </sheetView>
  </sheetViews>
  <sheetFormatPr baseColWidth="10" defaultColWidth="17" defaultRowHeight="15.75" outlineLevelCol="1" x14ac:dyDescent="0.25"/>
  <cols>
    <col min="1" max="1" width="5.7109375" style="301" customWidth="1"/>
    <col min="2" max="2" width="30.7109375" style="301" bestFit="1" customWidth="1"/>
    <col min="3" max="3" width="10.7109375" style="302" customWidth="1" outlineLevel="1"/>
    <col min="4" max="4" width="10.7109375" style="303" customWidth="1" outlineLevel="1"/>
    <col min="5" max="5" width="11.7109375" style="304" customWidth="1" outlineLevel="1"/>
    <col min="6" max="6" width="10.7109375" style="303" customWidth="1" outlineLevel="1"/>
    <col min="7" max="7" width="10.7109375" style="302" customWidth="1" outlineLevel="1"/>
    <col min="8" max="8" width="12.7109375" style="304" customWidth="1" outlineLevel="1"/>
    <col min="9" max="9" width="10.7109375" style="302" customWidth="1" outlineLevel="1"/>
    <col min="10" max="13" width="10.7109375" style="305" customWidth="1" outlineLevel="1"/>
    <col min="14" max="14" width="15" style="306" bestFit="1" customWidth="1"/>
    <col min="15" max="15" width="46.42578125" style="306" customWidth="1"/>
    <col min="16" max="16" width="25.7109375" style="344" customWidth="1"/>
    <col min="17" max="21" width="15.7109375" style="306" customWidth="1" outlineLevel="1"/>
    <col min="22" max="22" width="6.7109375" style="307" customWidth="1" outlineLevel="1"/>
    <col min="23" max="26" width="10.7109375" style="308" customWidth="1" outlineLevel="1"/>
    <col min="27" max="27" width="7" style="307" customWidth="1" outlineLevel="1"/>
    <col min="28" max="28" width="16.7109375" style="330" customWidth="1"/>
    <col min="29" max="29" width="15.42578125" style="330" customWidth="1" outlineLevel="1"/>
    <col min="30" max="30" width="14.42578125" style="308" customWidth="1" outlineLevel="1"/>
    <col min="31" max="31" width="10.7109375" style="317" customWidth="1" outlineLevel="1"/>
    <col min="32" max="32" width="16.7109375" style="317" customWidth="1" outlineLevel="1"/>
    <col min="33" max="33" width="12.140625" style="317" customWidth="1" outlineLevel="1"/>
    <col min="34" max="34" width="16.7109375" style="317" customWidth="1" outlineLevel="1"/>
    <col min="35" max="35" width="12.140625" style="317" customWidth="1" outlineLevel="1"/>
    <col min="36" max="36" width="16.7109375" style="317" customWidth="1" outlineLevel="1"/>
    <col min="37" max="37" width="12.140625" style="317" customWidth="1" outlineLevel="1"/>
    <col min="38" max="38" width="15.7109375" style="317" customWidth="1" outlineLevel="1"/>
    <col min="39" max="39" width="12.28515625" style="317" customWidth="1" outlineLevel="1"/>
    <col min="40" max="40" width="11.42578125" style="307" customWidth="1" outlineLevel="1"/>
    <col min="41" max="41" width="5.7109375" style="307" customWidth="1"/>
    <col min="42" max="42" width="5.7109375" style="307" customWidth="1" outlineLevel="1"/>
    <col min="43" max="44" width="15.7109375" style="318" customWidth="1" outlineLevel="1"/>
    <col min="45" max="45" width="15.7109375" style="307" customWidth="1" outlineLevel="1"/>
    <col min="46" max="47" width="15.7109375" style="318" customWidth="1" outlineLevel="1"/>
    <col min="48" max="49" width="5.7109375" style="319" customWidth="1" outlineLevel="1"/>
    <col min="50" max="51" width="15.7109375" style="318" customWidth="1" outlineLevel="1"/>
    <col min="52" max="16384" width="17" style="320"/>
  </cols>
  <sheetData>
    <row r="1" spans="1:51" s="260" customFormat="1" ht="16.5" x14ac:dyDescent="0.25">
      <c r="A1" s="363"/>
      <c r="B1" s="40" t="s">
        <v>2546</v>
      </c>
      <c r="C1" s="34" t="s">
        <v>2096</v>
      </c>
      <c r="D1" s="34" t="s">
        <v>2093</v>
      </c>
      <c r="E1" s="200" t="s">
        <v>1333</v>
      </c>
      <c r="F1" s="34" t="s">
        <v>2094</v>
      </c>
      <c r="G1" s="34" t="s">
        <v>2095</v>
      </c>
      <c r="H1" s="200" t="s">
        <v>1333</v>
      </c>
      <c r="I1" s="34" t="s">
        <v>2094</v>
      </c>
      <c r="J1" s="39" t="s">
        <v>2545</v>
      </c>
      <c r="K1" s="39" t="s">
        <v>1355</v>
      </c>
      <c r="L1" s="39" t="s">
        <v>2544</v>
      </c>
      <c r="M1" s="39"/>
      <c r="N1" s="39" t="s">
        <v>1774</v>
      </c>
      <c r="O1" s="34"/>
      <c r="P1" s="34" t="s">
        <v>2537</v>
      </c>
      <c r="Q1" s="35" t="s">
        <v>1352</v>
      </c>
      <c r="R1" s="35" t="s">
        <v>1348</v>
      </c>
      <c r="S1" s="35" t="s">
        <v>2547</v>
      </c>
      <c r="T1" s="35" t="s">
        <v>2548</v>
      </c>
      <c r="U1" s="35" t="s">
        <v>2549</v>
      </c>
      <c r="V1" s="36" t="s">
        <v>1353</v>
      </c>
      <c r="W1" s="37" t="s">
        <v>2498</v>
      </c>
      <c r="X1" s="37" t="s">
        <v>2504</v>
      </c>
      <c r="Y1" s="37" t="s">
        <v>2499</v>
      </c>
      <c r="Z1" s="37" t="s">
        <v>2505</v>
      </c>
      <c r="AA1" s="123" t="s">
        <v>1388</v>
      </c>
      <c r="AB1" s="371" t="s">
        <v>1431</v>
      </c>
      <c r="AC1" s="372"/>
      <c r="AD1" s="373"/>
      <c r="AE1" s="38" t="s">
        <v>1353</v>
      </c>
      <c r="AF1" s="368" t="s">
        <v>2392</v>
      </c>
      <c r="AG1" s="370"/>
      <c r="AH1" s="374" t="s">
        <v>1435</v>
      </c>
      <c r="AI1" s="375"/>
      <c r="AJ1" s="368" t="s">
        <v>1436</v>
      </c>
      <c r="AK1" s="369"/>
      <c r="AL1" s="370"/>
      <c r="AM1" s="366">
        <v>0.2</v>
      </c>
      <c r="AN1" s="367"/>
      <c r="AO1" s="275"/>
      <c r="AP1" s="274" t="s">
        <v>2543</v>
      </c>
      <c r="AQ1" s="253" t="s">
        <v>2542</v>
      </c>
      <c r="AR1" s="253" t="s">
        <v>2541</v>
      </c>
      <c r="AS1" s="253" t="s">
        <v>2536</v>
      </c>
      <c r="AT1" s="273" t="s">
        <v>2538</v>
      </c>
      <c r="AU1" s="252" t="s">
        <v>2539</v>
      </c>
      <c r="AV1" s="255"/>
      <c r="AW1" s="255"/>
      <c r="AX1" s="252"/>
      <c r="AY1" s="252"/>
    </row>
    <row r="2" spans="1:51" s="261" customFormat="1" x14ac:dyDescent="0.25">
      <c r="A2" s="231"/>
      <c r="B2" s="232" t="s">
        <v>2187</v>
      </c>
      <c r="C2" s="233"/>
      <c r="D2" s="233"/>
      <c r="E2" s="234"/>
      <c r="F2" s="233"/>
      <c r="G2" s="233"/>
      <c r="H2" s="234"/>
      <c r="I2" s="233"/>
      <c r="J2" s="235"/>
      <c r="K2" s="235"/>
      <c r="L2" s="235"/>
      <c r="M2" s="235"/>
      <c r="N2" s="232"/>
      <c r="O2" s="236"/>
      <c r="P2" s="365"/>
      <c r="Q2" s="237"/>
      <c r="R2" s="237"/>
      <c r="S2" s="33"/>
      <c r="T2" s="237"/>
      <c r="U2" s="237"/>
      <c r="V2" s="238" t="s">
        <v>1410</v>
      </c>
      <c r="W2" s="239"/>
      <c r="X2" s="239"/>
      <c r="Y2" s="239"/>
      <c r="Z2" s="239"/>
      <c r="AA2" s="240" t="s">
        <v>1410</v>
      </c>
      <c r="AB2" s="241" t="s">
        <v>1432</v>
      </c>
      <c r="AC2" s="242" t="s">
        <v>1433</v>
      </c>
      <c r="AD2" s="243" t="s">
        <v>1434</v>
      </c>
      <c r="AE2" s="244"/>
      <c r="AF2" s="245" t="s">
        <v>1432</v>
      </c>
      <c r="AG2" s="246" t="s">
        <v>1433</v>
      </c>
      <c r="AH2" s="247" t="s">
        <v>1432</v>
      </c>
      <c r="AI2" s="248" t="s">
        <v>1433</v>
      </c>
      <c r="AJ2" s="245" t="s">
        <v>1432</v>
      </c>
      <c r="AK2" s="249" t="s">
        <v>1433</v>
      </c>
      <c r="AL2" s="246" t="s">
        <v>1434</v>
      </c>
      <c r="AM2" s="244"/>
      <c r="AN2" s="250"/>
      <c r="AO2" s="276" t="s">
        <v>2535</v>
      </c>
      <c r="AP2" s="251"/>
      <c r="AQ2" s="251"/>
      <c r="AR2" s="251"/>
      <c r="AS2" s="251"/>
      <c r="AT2" s="254"/>
      <c r="AU2" s="254"/>
      <c r="AV2" s="250"/>
      <c r="AW2" s="250"/>
      <c r="AX2" s="254"/>
      <c r="AY2" s="254"/>
    </row>
    <row r="3" spans="1:51" s="262" customFormat="1" x14ac:dyDescent="0.25">
      <c r="A3" s="41" t="s">
        <v>2162</v>
      </c>
      <c r="B3" s="41" t="s">
        <v>2161</v>
      </c>
      <c r="C3" s="42" t="s">
        <v>2129</v>
      </c>
      <c r="D3" s="43" t="s">
        <v>768</v>
      </c>
      <c r="E3" s="201">
        <v>954226728</v>
      </c>
      <c r="F3" s="43" t="s">
        <v>1777</v>
      </c>
      <c r="G3" s="61" t="s">
        <v>0</v>
      </c>
      <c r="H3" s="201" t="s">
        <v>0</v>
      </c>
      <c r="I3" s="61" t="s">
        <v>0</v>
      </c>
      <c r="J3" s="134" t="s">
        <v>0</v>
      </c>
      <c r="K3" s="134" t="s">
        <v>0</v>
      </c>
      <c r="L3" s="134" t="s">
        <v>0</v>
      </c>
      <c r="M3" s="134"/>
      <c r="N3" s="127">
        <v>46127</v>
      </c>
      <c r="O3" s="199" t="s">
        <v>2472</v>
      </c>
      <c r="P3" s="126" t="s">
        <v>2525</v>
      </c>
      <c r="Q3" s="45" t="s">
        <v>1354</v>
      </c>
      <c r="R3" s="45" t="s">
        <v>1354</v>
      </c>
      <c r="S3" s="45" t="s">
        <v>1354</v>
      </c>
      <c r="T3" s="45" t="s">
        <v>1354</v>
      </c>
      <c r="U3" s="45" t="s">
        <v>609</v>
      </c>
      <c r="V3" s="46" t="str">
        <f t="shared" ref="V3:V66" ca="1" si="0">IFERROR(IF(B3="", "", INDIRECT("'" &amp; B3 &amp; "'!M3")),0)</f>
        <v>OK</v>
      </c>
      <c r="W3" s="47">
        <f t="shared" ref="W3:W66" ca="1" si="1">IFERROR(IF(B3="", "", INDIRECT("'" &amp; B3 &amp; "'!F3")),0)</f>
        <v>0</v>
      </c>
      <c r="X3" s="47" t="str">
        <f ca="1">IF(W3=1,"COMPLETO","PENDIENTE "&amp;
IFERROR(
    IF(INDIRECT("'" &amp; B3 &amp; "'!M3")="F", "-" &amp; "PRESUPUESTO","")&amp;
    IF(INDIRECT("'" &amp; B3 &amp; "'!R3")="F", "-" &amp; "TOMA DE DATOS","")&amp;
    IF(INDIRECT("'" &amp; B3 &amp; "'!T3")="F", "-" &amp; "NIF","")&amp;
    IF(INDIRECT("'" &amp; B3 &amp; "'!I4")="F", "-" &amp; "ACTA NOMBRAMIENTO PRESIDENTE","")&amp;
    IF(INDIRECT("'" &amp; B3 &amp; "'!M4")="F", "-" &amp; "ACTA APROBACION PRESUPUESTO","")&amp;
    IF(INDIRECT("'" &amp; B3 &amp; "'!R4")="F", "-" &amp; "RENUNCIA GRUPO PRESION","")&amp;
    IF(INDIRECT("'" &amp; B3 &amp; "'!T4")="F", "-" &amp; "ULTIMA FACTURA EMASESA","")&amp;
    IF(INDIRECT("'" &amp; B3 &amp; "'!U3")="F", "-" &amp; "CONTRATO FIRMADO","")&amp;
    IF(INDIRECT("'" &amp; B3 &amp; "'!V3")="F", "-" &amp; "JUSTIFICANTE PAGO",""),
"")
)</f>
        <v>PENDIENTE -TOMA DE DATOS-NIF-ACTA NOMBRAMIENTO PRESIDENTE-ACTA APROBACION PRESUPUESTO-RENUNCIA GRUPO PRESION-ULTIMA FACTURA EMASESA-CONTRATO FIRMADO-JUSTIFICANTE PAGO</v>
      </c>
      <c r="Y3" s="47">
        <f t="shared" ref="Y3:Y66" ca="1" si="2">IFERROR(IF(B3="", "", INDIRECT("'" &amp; B3 &amp; "'!F4")),0)</f>
        <v>0.4838709677419355</v>
      </c>
      <c r="Z3" s="227" t="str">
        <f ca="1">IF(Y3=1,"COMPLETO","PENDIENTE "&amp;
IFERROR(
    IF(INDIRECT("'"&amp;B3&amp;"'!A5")="FALTA","-"&amp;INDIRECT("'"&amp;B3&amp;"'!B5"),"")&amp;
    IF(INDIRECT("'"&amp;B3&amp;"'!A6")="FALTA","-"&amp;INDIRECT("'"&amp;B3&amp;"'!B6"),"")&amp;
    IF(INDIRECT("'"&amp;B3&amp;"'!A7")="FALTA","-"&amp;INDIRECT("'"&amp;B3&amp;"'!B7"),"")&amp;
    IF(INDIRECT("'"&amp;B3&amp;"'!A8")="FALTA","-"&amp;INDIRECT("'"&amp;B3&amp;"'!B8"),"")&amp;
    IF(INDIRECT("'"&amp;B3&amp;"'!A9")="FALTA","-"&amp;INDIRECT("'"&amp;B3&amp;"'!B9"),"")&amp;
    IF(INDIRECT("'"&amp;B3&amp;"'!A10")="FALTA","-"&amp;INDIRECT("'"&amp;B3&amp;"'!B10"),"")&amp;
    IF(INDIRECT("'"&amp;B3&amp;"'!A11")="FALTA","-"&amp;INDIRECT("'"&amp;B3&amp;"'!B11"),"")&amp;
    IF(INDIRECT("'"&amp;B3&amp;"'!A12")="FALTA","-"&amp;INDIRECT("'"&amp;B3&amp;"'!B12"),"")&amp;
    IF(INDIRECT("'"&amp;B3&amp;"'!A13")="FALTA","-"&amp;INDIRECT("'"&amp;B3&amp;"'!B13"),"")&amp;
    IF(INDIRECT("'"&amp;B3&amp;"'!A14")="FALTA","-"&amp;INDIRECT("'"&amp;B3&amp;"'!B14"),"")&amp;
    IF(INDIRECT("'"&amp;B3&amp;"'!A15")="FALTA","-"&amp;INDIRECT("'"&amp;B3&amp;"'!B15"),"")&amp;
    IF(INDIRECT("'"&amp;B3&amp;"'!A16")="FALTA","-"&amp;INDIRECT("'"&amp;B3&amp;"'!B16"),"")&amp;
    IF(INDIRECT("'"&amp;B3&amp;"'!A17")="FALTA","-"&amp;INDIRECT("'"&amp;B3&amp;"'!B17"),"")&amp;
    IF(INDIRECT("'"&amp;B3&amp;"'!A18")="FALTA","-"&amp;INDIRECT("'"&amp;B3&amp;"'!B18"),"")&amp;
    IF(INDIRECT("'"&amp;B3&amp;"'!A19")="FALTA","-"&amp;INDIRECT("'"&amp;B3&amp;"'!B19"),"")&amp;
    IF(INDIRECT("'"&amp;B3&amp;"'!A20")="FALTA","-"&amp;INDIRECT("'"&amp;B3&amp;"'!B20"),"")&amp;
    IF(INDIRECT("'"&amp;B3&amp;"'!A21")="FALTA","-"&amp;INDIRECT("'"&amp;B3&amp;"'!B21"),"")&amp;
    IF(INDIRECT("'"&amp;B3&amp;"'!A22")="FALTA","-"&amp;INDIRECT("'"&amp;B3&amp;"'!B22"),"")&amp;
    IF(INDIRECT("'"&amp;B3&amp;"'!A23")="FALTA","-"&amp;INDIRECT("'"&amp;B3&amp;"'!B23"),"")&amp;
    IF(INDIRECT("'"&amp;B3&amp;"'!A24")="FALTA","-"&amp;INDIRECT("'"&amp;B3&amp;"'!B24"),"")&amp;
    IF(INDIRECT("'"&amp;B3&amp;"'!A25")="FALTA","-"&amp;INDIRECT("'"&amp;B3&amp;"'!B25"),"")&amp;
    IF(INDIRECT("'"&amp;B3&amp;"'!A26")="FALTA","-"&amp;INDIRECT("'"&amp;B3&amp;"'!B26"),"")&amp;
    IF(INDIRECT("'"&amp;B3&amp;"'!A27")="FALTA","-"&amp;INDIRECT("'"&amp;B3&amp;"'!B27"),"")&amp;
    IF(INDIRECT("'"&amp;B3&amp;"'!A28")="FALTA","-"&amp;INDIRECT("'"&amp;B3&amp;"'!B28"),"")&amp;
    IF(INDIRECT("'"&amp;B3&amp;"'!A29")="FALTA","-"&amp;INDIRECT("'"&amp;B3&amp;"'!B29"),"")&amp;
    IF(INDIRECT("'"&amp;B3&amp;"'!A30")="FALTA","-"&amp;INDIRECT("'"&amp;B3&amp;"'!B30"),"")&amp;
    IF(INDIRECT("'"&amp;B3&amp;"'!A31")="FALTA","-"&amp;INDIRECT("'"&amp;B3&amp;"'!B31"),"")&amp;
    IF(INDIRECT("'"&amp;B3&amp;"'!A32")="FALTA","-"&amp;INDIRECT("'"&amp;B3&amp;"'!B32"),"")&amp;
    IF(INDIRECT("'"&amp;B3&amp;"'!A33")="FALTA","-"&amp;INDIRECT("'"&amp;B3&amp;"'!B33"),"")&amp;
    IF(INDIRECT("'"&amp;B3&amp;"'!A34")="FALTA","-"&amp;INDIRECT("'"&amp;B3&amp;"'!B34"),"")&amp;
    IF(INDIRECT("'"&amp;B3&amp;"'!A35")="FALTA","-"&amp;INDIRECT("'"&amp;B3&amp;"'!B35"),"")&amp;
    IF(INDIRECT("'"&amp;B3&amp;"'!A36")="FALTA","-"&amp;INDIRECT("'"&amp;B3&amp;"'!B36"),"")&amp;
    IF(INDIRECT("'"&amp;B3&amp;"'!A37")="FALTA","-"&amp;INDIRECT("'"&amp;B3&amp;"'!B37"),"")&amp;
    IF(INDIRECT("'"&amp;B3&amp;"'!A38")="FALTA","-"&amp;INDIRECT("'"&amp;B3&amp;"'!B38"),"")&amp;
    IF(INDIRECT("'"&amp;B3&amp;"'!A39")="FALTA","-"&amp;INDIRECT("'"&amp;B3&amp;"'!B39"),"")&amp;
    IF(INDIRECT("'"&amp;B3&amp;"'!A40")="FALTA","-"&amp;INDIRECT("'"&amp;B3&amp;"'!B40"),"")&amp;
    IF(INDIRECT("'"&amp;B3&amp;"'!A41")="FALTA","-"&amp;INDIRECT("'"&amp;B3&amp;"'!B41"),"")&amp;
    IF(INDIRECT("'"&amp;B3&amp;"'!A42")="FALTA","-"&amp;INDIRECT("'"&amp;B3&amp;"'!B42"),"")&amp;
    IF(INDIRECT("'"&amp;B3&amp;"'!A43")="FALTA","-"&amp;INDIRECT("'"&amp;B3&amp;"'!B43"),"")&amp;
    IF(INDIRECT("'"&amp;B3&amp;"'!A44")="FALTA","-"&amp;INDIRECT("'"&amp;B3&amp;"'!B44"),""),
""
))</f>
        <v>PENDIENTE -0C-0D-1B-1C-2C-2D-3D-4C-4D-5D-6B-6C-6D-7B-7C-7D</v>
      </c>
      <c r="AA3" s="48" t="s">
        <v>53</v>
      </c>
      <c r="AB3" s="49">
        <v>31.8</v>
      </c>
      <c r="AC3" s="50">
        <f>AB3</f>
        <v>31.8</v>
      </c>
      <c r="AD3" s="51"/>
      <c r="AE3" s="52">
        <v>42907.61</v>
      </c>
      <c r="AF3" s="53">
        <v>14160.5</v>
      </c>
      <c r="AG3" s="53">
        <f>AF3</f>
        <v>14160.5</v>
      </c>
      <c r="AH3" s="54">
        <v>12855.2</v>
      </c>
      <c r="AI3" s="55">
        <f>AH3</f>
        <v>12855.2</v>
      </c>
      <c r="AJ3" s="53">
        <f>AE3-AF3-AH3-150</f>
        <v>15741.91</v>
      </c>
      <c r="AK3" s="53">
        <f>AE3-AG3-AI3</f>
        <v>15891.91</v>
      </c>
      <c r="AL3" s="53">
        <f>AK3-AJ3</f>
        <v>150</v>
      </c>
      <c r="AM3" s="52">
        <f>AK3*0.2</f>
        <v>3178.3820000000001</v>
      </c>
      <c r="AN3" s="56"/>
      <c r="AO3" s="277"/>
      <c r="AP3" s="144" t="str">
        <f ca="1">IF(AO3="🔒","NO",IF(AND(ISNUMBER(N3),N3&lt;=TODAY(),AS3&lt;&gt;"---"),"SI",""))</f>
        <v>SI</v>
      </c>
      <c r="AQ3" s="141" t="s">
        <v>2381</v>
      </c>
      <c r="AR3" s="141" t="s">
        <v>2374</v>
      </c>
      <c r="AS3" s="57" t="str">
        <f t="shared" ref="AS3:AS66" si="3">IFERROR(INDEX(Tabla_02_Tipo,MATCH(P3,Tabla_01_Estado,0)),"")</f>
        <v>08</v>
      </c>
      <c r="AT3" s="141" t="str">
        <f t="shared" ref="AT3:AT66" si="4">"PLAN CINCO CCPP "
&amp; IF(A3&lt;&gt;"",A3,"")
&amp; IF(B3&lt;&gt;""," "&amp;B3,"")
&amp; IFERROR(" - "&amp;INDEX(Tabla_03_Asunto,MATCH(AS3,Tabla_02_Tipo,0)),"")</f>
        <v>PLAN CINCO CCPP (C) Abogado Rafael Medina 1-05 - Proceso de Contratos y Cartas de pago</v>
      </c>
      <c r="AU3" s="141" t="str">
        <f t="shared" ref="AU3:AU66" ca="1" si="5">IFERROR(
    SUBSTITUTE(
        SUBSTITUTE(
            SUBSTITUTE(
                AV3,
                "{DOC_CCPP}", X3),
            "{DOC_PISOS}", Z3),
        "{FECHA_PTO}", TEXT(M3, "dd/mm/aaaa")),
    ""
)</f>
        <v/>
      </c>
      <c r="AV3" s="256" t="str">
        <f t="shared" ref="AV3:AV66" ca="1" si="6">IFERROR(
    SUBSTITUTE(
        SUBSTITUTE(
            SUBSTITUTE(
                SUBSTITUTE(
                    SUBSTITUTE(
                        AW3,
                        "{FECHA_ENVIO_CYCP}", TEXT(T3, "dd/mm/aaaa")),
                    "{FECHA_RECIBO_CYCP}", TEXT(U3, "dd/mm/aaaa")),
                "{FECHA+10}", TEXT(T3 + 10, "dd/mm/aaaa")),
            "%CCPP", TEXT(W3, "0%")),
        "%PISOS", TEXT(Y3, "0%")),
    ""
)</f>
        <v/>
      </c>
      <c r="AW3" s="256" t="str">
        <f t="shared" ref="AW3:AW66" si="7">IFERROR(
    SUBSTITUTE(
        SUBSTITUTE(
            SUBSTITUTE(
                SUBSTITUTE(
                    SUBSTITUTE(
                        INDEX(Tabla_04_Mensaje, MATCH(AS3, Tabla_02_Tipo, 0)),
                        "{C}", A3),
                    "{CCPP}", B3),
                "{FECHA_ENVIO_DOC}", TEXT(Q3, "dd/mm/aaaa")),
            "{FECHA_RECIBO_DOC}", TEXT(R3, "dd/mm/aaaa")),
        "{FECHA+20}", TEXT(Q3 + 20, "dd/mm/aaaa")
    ),
    ""
)</f>
        <v/>
      </c>
      <c r="AX3" s="141" t="s">
        <v>1410</v>
      </c>
      <c r="AY3" s="141"/>
    </row>
    <row r="4" spans="1:51" s="262" customFormat="1" x14ac:dyDescent="0.25">
      <c r="A4" s="41" t="s">
        <v>2162</v>
      </c>
      <c r="B4" s="41" t="s">
        <v>2185</v>
      </c>
      <c r="C4" s="209" t="s">
        <v>0</v>
      </c>
      <c r="D4" s="58" t="s">
        <v>0</v>
      </c>
      <c r="E4" s="202" t="s">
        <v>0</v>
      </c>
      <c r="F4" s="58" t="s">
        <v>0</v>
      </c>
      <c r="G4" s="58" t="s">
        <v>0</v>
      </c>
      <c r="H4" s="202" t="s">
        <v>0</v>
      </c>
      <c r="I4" s="208" t="s">
        <v>0</v>
      </c>
      <c r="J4" s="134" t="s">
        <v>0</v>
      </c>
      <c r="K4" s="134" t="s">
        <v>0</v>
      </c>
      <c r="L4" s="134" t="s">
        <v>0</v>
      </c>
      <c r="M4" s="134"/>
      <c r="N4" s="127" t="s">
        <v>0</v>
      </c>
      <c r="O4" s="128" t="s">
        <v>0</v>
      </c>
      <c r="P4" s="126" t="s">
        <v>2525</v>
      </c>
      <c r="Q4" s="45" t="s">
        <v>7</v>
      </c>
      <c r="R4" s="45" t="s">
        <v>7</v>
      </c>
      <c r="S4" s="45" t="s">
        <v>7</v>
      </c>
      <c r="T4" s="45" t="s">
        <v>7</v>
      </c>
      <c r="U4" s="45" t="s">
        <v>7</v>
      </c>
      <c r="V4" s="46" t="str">
        <f t="shared" ca="1" si="0"/>
        <v>NP</v>
      </c>
      <c r="W4" s="47">
        <f t="shared" ca="1" si="1"/>
        <v>0</v>
      </c>
      <c r="X4" s="47" t="str">
        <f t="shared" ref="X4:X67" ca="1" si="8">IF(W4=1,"COMPLETO","PENDIENTE "&amp;
IFERROR(
    IF(INDIRECT("'" &amp; B4 &amp; "'!M3")="F", "-" &amp; "PRESUPUESTO","")&amp;
    IF(INDIRECT("'" &amp; B4 &amp; "'!R3")="F", "-" &amp; "TOMA DE DATOS","")&amp;
    IF(INDIRECT("'" &amp; B4 &amp; "'!T3")="F", "-" &amp; "NIF","")&amp;
    IF(INDIRECT("'" &amp; B4 &amp; "'!I4")="F", "-" &amp; "ACTA NOMBRAMIENTO PRESIDENTE","")&amp;
    IF(INDIRECT("'" &amp; B4 &amp; "'!M4")="F", "-" &amp; "ACTA APROBACION PRESUPUESTO","")&amp;
    IF(INDIRECT("'" &amp; B4 &amp; "'!R4")="F", "-" &amp; "RENUNCIA GRUPO PRESION","")&amp;
    IF(INDIRECT("'" &amp; B4 &amp; "'!T4")="F", "-" &amp; "ULTIMA FACTURA EMASESA","")&amp;
    IF(INDIRECT("'" &amp; B4 &amp; "'!U3")="F", "-" &amp; "CONTRATO FIRMADO","")&amp;
    IF(INDIRECT("'" &amp; B4 &amp; "'!V3")="F", "-" &amp; "JUSTIFICANTE PAGO",""),
"")
)</f>
        <v>PENDIENTE -CONTRATO FIRMADO-JUSTIFICANTE PAGO</v>
      </c>
      <c r="Y4" s="47">
        <f t="shared" ca="1" si="2"/>
        <v>0.45161290322580644</v>
      </c>
      <c r="Z4" s="227" t="str">
        <f t="shared" ref="Z4:Z67" ca="1" si="9">IF(Y4=1,"COMPLETO","PENDIENTE "&amp;
IFERROR(
    IF(INDIRECT("'"&amp;B4&amp;"'!A5")="FALTA","-"&amp;INDIRECT("'"&amp;B4&amp;"'!B5"),"")&amp;
    IF(INDIRECT("'"&amp;B4&amp;"'!A6")="FALTA","-"&amp;INDIRECT("'"&amp;B4&amp;"'!B6"),"")&amp;
    IF(INDIRECT("'"&amp;B4&amp;"'!A7")="FALTA","-"&amp;INDIRECT("'"&amp;B4&amp;"'!B7"),"")&amp;
    IF(INDIRECT("'"&amp;B4&amp;"'!A8")="FALTA","-"&amp;INDIRECT("'"&amp;B4&amp;"'!B8"),"")&amp;
    IF(INDIRECT("'"&amp;B4&amp;"'!A9")="FALTA","-"&amp;INDIRECT("'"&amp;B4&amp;"'!B9"),"")&amp;
    IF(INDIRECT("'"&amp;B4&amp;"'!A10")="FALTA","-"&amp;INDIRECT("'"&amp;B4&amp;"'!B10"),"")&amp;
    IF(INDIRECT("'"&amp;B4&amp;"'!A11")="FALTA","-"&amp;INDIRECT("'"&amp;B4&amp;"'!B11"),"")&amp;
    IF(INDIRECT("'"&amp;B4&amp;"'!A12")="FALTA","-"&amp;INDIRECT("'"&amp;B4&amp;"'!B12"),"")&amp;
    IF(INDIRECT("'"&amp;B4&amp;"'!A13")="FALTA","-"&amp;INDIRECT("'"&amp;B4&amp;"'!B13"),"")&amp;
    IF(INDIRECT("'"&amp;B4&amp;"'!A14")="FALTA","-"&amp;INDIRECT("'"&amp;B4&amp;"'!B14"),"")&amp;
    IF(INDIRECT("'"&amp;B4&amp;"'!A15")="FALTA","-"&amp;INDIRECT("'"&amp;B4&amp;"'!B15"),"")&amp;
    IF(INDIRECT("'"&amp;B4&amp;"'!A16")="FALTA","-"&amp;INDIRECT("'"&amp;B4&amp;"'!B16"),"")&amp;
    IF(INDIRECT("'"&amp;B4&amp;"'!A17")="FALTA","-"&amp;INDIRECT("'"&amp;B4&amp;"'!B17"),"")&amp;
    IF(INDIRECT("'"&amp;B4&amp;"'!A18")="FALTA","-"&amp;INDIRECT("'"&amp;B4&amp;"'!B18"),"")&amp;
    IF(INDIRECT("'"&amp;B4&amp;"'!A19")="FALTA","-"&amp;INDIRECT("'"&amp;B4&amp;"'!B19"),"")&amp;
    IF(INDIRECT("'"&amp;B4&amp;"'!A20")="FALTA","-"&amp;INDIRECT("'"&amp;B4&amp;"'!B20"),"")&amp;
    IF(INDIRECT("'"&amp;B4&amp;"'!A21")="FALTA","-"&amp;INDIRECT("'"&amp;B4&amp;"'!B21"),"")&amp;
    IF(INDIRECT("'"&amp;B4&amp;"'!A22")="FALTA","-"&amp;INDIRECT("'"&amp;B4&amp;"'!B22"),"")&amp;
    IF(INDIRECT("'"&amp;B4&amp;"'!A23")="FALTA","-"&amp;INDIRECT("'"&amp;B4&amp;"'!B23"),"")&amp;
    IF(INDIRECT("'"&amp;B4&amp;"'!A24")="FALTA","-"&amp;INDIRECT("'"&amp;B4&amp;"'!B24"),"")&amp;
    IF(INDIRECT("'"&amp;B4&amp;"'!A25")="FALTA","-"&amp;INDIRECT("'"&amp;B4&amp;"'!B25"),"")&amp;
    IF(INDIRECT("'"&amp;B4&amp;"'!A26")="FALTA","-"&amp;INDIRECT("'"&amp;B4&amp;"'!B26"),"")&amp;
    IF(INDIRECT("'"&amp;B4&amp;"'!A27")="FALTA","-"&amp;INDIRECT("'"&amp;B4&amp;"'!B27"),"")&amp;
    IF(INDIRECT("'"&amp;B4&amp;"'!A28")="FALTA","-"&amp;INDIRECT("'"&amp;B4&amp;"'!B28"),"")&amp;
    IF(INDIRECT("'"&amp;B4&amp;"'!A29")="FALTA","-"&amp;INDIRECT("'"&amp;B4&amp;"'!B29"),"")&amp;
    IF(INDIRECT("'"&amp;B4&amp;"'!A30")="FALTA","-"&amp;INDIRECT("'"&amp;B4&amp;"'!B30"),"")&amp;
    IF(INDIRECT("'"&amp;B4&amp;"'!A31")="FALTA","-"&amp;INDIRECT("'"&amp;B4&amp;"'!B31"),"")&amp;
    IF(INDIRECT("'"&amp;B4&amp;"'!A32")="FALTA","-"&amp;INDIRECT("'"&amp;B4&amp;"'!B32"),"")&amp;
    IF(INDIRECT("'"&amp;B4&amp;"'!A33")="FALTA","-"&amp;INDIRECT("'"&amp;B4&amp;"'!B33"),"")&amp;
    IF(INDIRECT("'"&amp;B4&amp;"'!A34")="FALTA","-"&amp;INDIRECT("'"&amp;B4&amp;"'!B34"),"")&amp;
    IF(INDIRECT("'"&amp;B4&amp;"'!A35")="FALTA","-"&amp;INDIRECT("'"&amp;B4&amp;"'!B35"),"")&amp;
    IF(INDIRECT("'"&amp;B4&amp;"'!A36")="FALTA","-"&amp;INDIRECT("'"&amp;B4&amp;"'!B36"),"")&amp;
    IF(INDIRECT("'"&amp;B4&amp;"'!A37")="FALTA","-"&amp;INDIRECT("'"&amp;B4&amp;"'!B37"),"")&amp;
    IF(INDIRECT("'"&amp;B4&amp;"'!A38")="FALTA","-"&amp;INDIRECT("'"&amp;B4&amp;"'!B38"),"")&amp;
    IF(INDIRECT("'"&amp;B4&amp;"'!A39")="FALTA","-"&amp;INDIRECT("'"&amp;B4&amp;"'!B39"),"")&amp;
    IF(INDIRECT("'"&amp;B4&amp;"'!A40")="FALTA","-"&amp;INDIRECT("'"&amp;B4&amp;"'!B40"),"")&amp;
    IF(INDIRECT("'"&amp;B4&amp;"'!A41")="FALTA","-"&amp;INDIRECT("'"&amp;B4&amp;"'!B41"),"")&amp;
    IF(INDIRECT("'"&amp;B4&amp;"'!A42")="FALTA","-"&amp;INDIRECT("'"&amp;B4&amp;"'!B42"),"")&amp;
    IF(INDIRECT("'"&amp;B4&amp;"'!A43")="FALTA","-"&amp;INDIRECT("'"&amp;B4&amp;"'!B43"),"")&amp;
    IF(INDIRECT("'"&amp;B4&amp;"'!A44")="FALTA","-"&amp;INDIRECT("'"&amp;B4&amp;"'!B44"),""),
""
))</f>
        <v>PENDIENTE -0A-0C-1A-2A-2B-2C-2D-3B-3C-3D-5A-6A-6B-6C-6D-7A-7C</v>
      </c>
      <c r="AA4" s="48" t="s">
        <v>7</v>
      </c>
      <c r="AB4" s="211" t="s">
        <v>0</v>
      </c>
      <c r="AC4" s="214" t="s">
        <v>1731</v>
      </c>
      <c r="AD4" s="145" t="s">
        <v>0</v>
      </c>
      <c r="AE4" s="146" t="s">
        <v>0</v>
      </c>
      <c r="AF4" s="147" t="s">
        <v>0</v>
      </c>
      <c r="AG4" s="147" t="s">
        <v>0</v>
      </c>
      <c r="AH4" s="220" t="s">
        <v>0</v>
      </c>
      <c r="AI4" s="223" t="s">
        <v>0</v>
      </c>
      <c r="AJ4" s="147" t="s">
        <v>0</v>
      </c>
      <c r="AK4" s="147" t="s">
        <v>0</v>
      </c>
      <c r="AL4" s="147" t="s">
        <v>0</v>
      </c>
      <c r="AM4" s="146" t="s">
        <v>0</v>
      </c>
      <c r="AN4" s="225" t="s">
        <v>0</v>
      </c>
      <c r="AO4" s="277"/>
      <c r="AP4" s="144" t="str">
        <f t="shared" ref="AP4:AP67" ca="1" si="10">IF(AO4="🔒","NO",IF(AND(ISNUMBER(N4),N4&lt;=TODAY(),AS4&lt;&gt;"---"),"SI",""))</f>
        <v/>
      </c>
      <c r="AQ4" s="141" t="s">
        <v>2381</v>
      </c>
      <c r="AR4" s="141" t="s">
        <v>2374</v>
      </c>
      <c r="AS4" s="57" t="str">
        <f t="shared" si="3"/>
        <v>08</v>
      </c>
      <c r="AT4" s="141" t="str">
        <f t="shared" si="4"/>
        <v>PLAN CINCO CCPP (C) Abogado Rafael Medina 1-06 - Proceso de Contratos y Cartas de pago</v>
      </c>
      <c r="AU4" s="141" t="str">
        <f t="shared" ca="1" si="5"/>
        <v/>
      </c>
      <c r="AV4" s="256" t="str">
        <f t="shared" ca="1" si="6"/>
        <v/>
      </c>
      <c r="AW4" s="256" t="str">
        <f t="shared" si="7"/>
        <v/>
      </c>
      <c r="AX4" s="141" t="s">
        <v>1410</v>
      </c>
      <c r="AY4" s="141"/>
    </row>
    <row r="5" spans="1:51" s="262" customFormat="1" x14ac:dyDescent="0.25">
      <c r="A5" s="60" t="s">
        <v>2162</v>
      </c>
      <c r="B5" s="60" t="s">
        <v>2186</v>
      </c>
      <c r="C5" s="61" t="s">
        <v>2129</v>
      </c>
      <c r="D5" s="58" t="s">
        <v>1776</v>
      </c>
      <c r="E5" s="202">
        <v>644473629</v>
      </c>
      <c r="F5" s="58" t="s">
        <v>1775</v>
      </c>
      <c r="G5" s="203" t="s">
        <v>2156</v>
      </c>
      <c r="H5" s="203" t="s">
        <v>0</v>
      </c>
      <c r="I5" s="122" t="s">
        <v>0</v>
      </c>
      <c r="J5" s="59">
        <v>45741</v>
      </c>
      <c r="K5" s="59">
        <v>45889</v>
      </c>
      <c r="L5" s="59">
        <v>45895</v>
      </c>
      <c r="M5" s="59"/>
      <c r="N5" s="149" t="s">
        <v>0</v>
      </c>
      <c r="O5" s="128" t="s">
        <v>2106</v>
      </c>
      <c r="P5" s="126" t="s">
        <v>2107</v>
      </c>
      <c r="Q5" s="45"/>
      <c r="R5" s="45"/>
      <c r="S5" s="45"/>
      <c r="T5" s="45"/>
      <c r="U5" s="45"/>
      <c r="V5" s="46">
        <f t="shared" ca="1" si="0"/>
        <v>0</v>
      </c>
      <c r="W5" s="47">
        <f t="shared" ca="1" si="1"/>
        <v>0</v>
      </c>
      <c r="X5" s="47" t="str">
        <f t="shared" ca="1" si="8"/>
        <v xml:space="preserve">PENDIENTE </v>
      </c>
      <c r="Y5" s="47">
        <f t="shared" ca="1" si="2"/>
        <v>0</v>
      </c>
      <c r="Z5" s="227" t="str">
        <f t="shared" ca="1" si="9"/>
        <v xml:space="preserve">PENDIENTE </v>
      </c>
      <c r="AA5" s="228" t="s">
        <v>0</v>
      </c>
      <c r="AB5" s="49">
        <v>27</v>
      </c>
      <c r="AC5" s="50"/>
      <c r="AD5" s="51"/>
      <c r="AE5" s="52">
        <v>22871.867504288122</v>
      </c>
      <c r="AF5" s="53">
        <v>12030.362187499999</v>
      </c>
      <c r="AG5" s="53"/>
      <c r="AH5" s="54">
        <v>4313.33</v>
      </c>
      <c r="AI5" s="55"/>
      <c r="AJ5" s="53">
        <f>AE5-AF5-AH5-150</f>
        <v>6378.1753167881234</v>
      </c>
      <c r="AK5" s="53"/>
      <c r="AL5" s="53"/>
      <c r="AM5" s="52"/>
      <c r="AN5" s="56"/>
      <c r="AO5" s="277"/>
      <c r="AP5" s="144" t="str">
        <f t="shared" ca="1" si="10"/>
        <v/>
      </c>
      <c r="AQ5" s="141" t="s">
        <v>2381</v>
      </c>
      <c r="AR5" s="141" t="s">
        <v>2374</v>
      </c>
      <c r="AS5" s="57" t="str">
        <f t="shared" si="3"/>
        <v>---</v>
      </c>
      <c r="AT5" s="141" t="str">
        <f t="shared" si="4"/>
        <v xml:space="preserve">PLAN CINCO CCPP (C) Adelantado 21B - </v>
      </c>
      <c r="AU5" s="141" t="str">
        <f t="shared" ca="1" si="5"/>
        <v/>
      </c>
      <c r="AV5" s="256" t="str">
        <f t="shared" ca="1" si="6"/>
        <v/>
      </c>
      <c r="AW5" s="256" t="str">
        <f t="shared" si="7"/>
        <v/>
      </c>
      <c r="AX5" s="141" t="s">
        <v>1410</v>
      </c>
      <c r="AY5" s="141"/>
    </row>
    <row r="6" spans="1:51" s="262" customFormat="1" x14ac:dyDescent="0.25">
      <c r="A6" s="41" t="s">
        <v>2162</v>
      </c>
      <c r="B6" s="41" t="s">
        <v>2187</v>
      </c>
      <c r="C6" s="42" t="s">
        <v>2129</v>
      </c>
      <c r="D6" s="43" t="s">
        <v>1778</v>
      </c>
      <c r="E6" s="201">
        <v>609431566</v>
      </c>
      <c r="F6" s="43" t="s">
        <v>1779</v>
      </c>
      <c r="G6" s="203" t="s">
        <v>2156</v>
      </c>
      <c r="H6" s="203" t="s">
        <v>0</v>
      </c>
      <c r="I6" s="122" t="s">
        <v>0</v>
      </c>
      <c r="J6" s="44">
        <v>45939</v>
      </c>
      <c r="K6" s="44">
        <v>45940</v>
      </c>
      <c r="L6" s="44">
        <v>45945</v>
      </c>
      <c r="M6" s="44"/>
      <c r="N6" s="127" t="s">
        <v>0</v>
      </c>
      <c r="O6" s="128" t="s">
        <v>0</v>
      </c>
      <c r="P6" s="126" t="s">
        <v>2100</v>
      </c>
      <c r="Q6" s="45">
        <v>45992</v>
      </c>
      <c r="R6" s="45">
        <v>46036</v>
      </c>
      <c r="S6" s="45">
        <v>46050</v>
      </c>
      <c r="T6" s="45">
        <v>46092</v>
      </c>
      <c r="U6" s="45">
        <v>46471</v>
      </c>
      <c r="V6" s="46" t="str">
        <f t="shared" ca="1" si="0"/>
        <v>OK</v>
      </c>
      <c r="W6" s="47">
        <f t="shared" ca="1" si="1"/>
        <v>1</v>
      </c>
      <c r="X6" s="47" t="str">
        <f t="shared" ca="1" si="8"/>
        <v>COMPLETO</v>
      </c>
      <c r="Y6" s="47">
        <f t="shared" ca="1" si="2"/>
        <v>1</v>
      </c>
      <c r="Z6" s="227" t="str">
        <f t="shared" ca="1" si="9"/>
        <v>COMPLETO</v>
      </c>
      <c r="AA6" s="48" t="s">
        <v>53</v>
      </c>
      <c r="AB6" s="212">
        <v>19.8</v>
      </c>
      <c r="AC6" s="215">
        <f>56.5/2</f>
        <v>28.25</v>
      </c>
      <c r="AD6" s="217">
        <f>1-(AC6/AB6)</f>
        <v>-0.42676767676767668</v>
      </c>
      <c r="AE6" s="62">
        <v>20877.78</v>
      </c>
      <c r="AF6" s="63">
        <v>8836.3799999999992</v>
      </c>
      <c r="AG6" s="53">
        <v>12684</v>
      </c>
      <c r="AH6" s="221">
        <v>5063.95</v>
      </c>
      <c r="AI6" s="55">
        <f>5480+465</f>
        <v>5945</v>
      </c>
      <c r="AJ6" s="219">
        <f>AE6-AF6-AH6-150</f>
        <v>6827.45</v>
      </c>
      <c r="AK6" s="219">
        <f>AE6-AG6-AI6</f>
        <v>2248.7799999999988</v>
      </c>
      <c r="AL6" s="219">
        <f>AK6-AJ6</f>
        <v>-4578.670000000001</v>
      </c>
      <c r="AM6" s="146">
        <f>AK6*0.2</f>
        <v>449.7559999999998</v>
      </c>
      <c r="AN6" s="225" t="s">
        <v>609</v>
      </c>
      <c r="AO6" s="277"/>
      <c r="AP6" s="144" t="str">
        <f t="shared" ca="1" si="10"/>
        <v/>
      </c>
      <c r="AQ6" s="141" t="s">
        <v>2381</v>
      </c>
      <c r="AR6" s="141" t="s">
        <v>2374</v>
      </c>
      <c r="AS6" s="57" t="str">
        <f t="shared" si="3"/>
        <v>---</v>
      </c>
      <c r="AT6" s="141" t="str">
        <f t="shared" si="4"/>
        <v xml:space="preserve">PLAN CINCO CCPP (C) Agata 7 - </v>
      </c>
      <c r="AU6" s="141" t="str">
        <f t="shared" ca="1" si="5"/>
        <v/>
      </c>
      <c r="AV6" s="256" t="str">
        <f t="shared" ca="1" si="6"/>
        <v/>
      </c>
      <c r="AW6" s="256" t="str">
        <f t="shared" si="7"/>
        <v/>
      </c>
      <c r="AX6" s="141" t="s">
        <v>1410</v>
      </c>
      <c r="AY6" s="141"/>
    </row>
    <row r="7" spans="1:51" s="262" customFormat="1" x14ac:dyDescent="0.25">
      <c r="A7" s="41" t="s">
        <v>2162</v>
      </c>
      <c r="B7" s="41" t="s">
        <v>2188</v>
      </c>
      <c r="C7" s="42" t="s">
        <v>2129</v>
      </c>
      <c r="D7" s="43" t="s">
        <v>228</v>
      </c>
      <c r="E7" s="201">
        <v>646321077</v>
      </c>
      <c r="F7" s="43" t="s">
        <v>1780</v>
      </c>
      <c r="G7" s="43" t="s">
        <v>0</v>
      </c>
      <c r="H7" s="201" t="s">
        <v>0</v>
      </c>
      <c r="I7" s="43" t="s">
        <v>0</v>
      </c>
      <c r="J7" s="44">
        <v>45803</v>
      </c>
      <c r="K7" s="44">
        <v>45804</v>
      </c>
      <c r="L7" s="44">
        <v>45806</v>
      </c>
      <c r="M7" s="44"/>
      <c r="N7" s="127">
        <f>Q7+23+5+13+7+4+13+5</f>
        <v>46147</v>
      </c>
      <c r="O7" s="199" t="s">
        <v>2599</v>
      </c>
      <c r="P7" s="126" t="s">
        <v>2521</v>
      </c>
      <c r="Q7" s="45">
        <v>46077</v>
      </c>
      <c r="R7" s="45" t="s">
        <v>609</v>
      </c>
      <c r="S7" s="45"/>
      <c r="T7" s="45"/>
      <c r="U7" s="45"/>
      <c r="V7" s="46" t="str">
        <f t="shared" ca="1" si="0"/>
        <v>OK</v>
      </c>
      <c r="W7" s="47">
        <f t="shared" ca="1" si="1"/>
        <v>1</v>
      </c>
      <c r="X7" s="47" t="str">
        <f t="shared" ca="1" si="8"/>
        <v>COMPLETO</v>
      </c>
      <c r="Y7" s="47">
        <f t="shared" ca="1" si="2"/>
        <v>0.8</v>
      </c>
      <c r="Z7" s="227" t="str">
        <f t="shared" ca="1" si="9"/>
        <v>PENDIENTE -(1IZDA)-(4DCHA)</v>
      </c>
      <c r="AA7" s="48" t="s">
        <v>53</v>
      </c>
      <c r="AB7" s="49">
        <v>7</v>
      </c>
      <c r="AC7" s="50">
        <f>AB7</f>
        <v>7</v>
      </c>
      <c r="AD7" s="145">
        <f>1-(AC7/AB7)</f>
        <v>0</v>
      </c>
      <c r="AE7" s="52">
        <v>10260.780000000001</v>
      </c>
      <c r="AF7" s="53">
        <v>3110.85</v>
      </c>
      <c r="AG7" s="53">
        <f>AF7</f>
        <v>3110.85</v>
      </c>
      <c r="AH7" s="54">
        <v>3381.84</v>
      </c>
      <c r="AI7" s="55">
        <f>AH7</f>
        <v>3381.84</v>
      </c>
      <c r="AJ7" s="147">
        <f>AE7-AF7-AH7-150</f>
        <v>3618.09</v>
      </c>
      <c r="AK7" s="147">
        <f>AE7-AG7-AI7</f>
        <v>3768.09</v>
      </c>
      <c r="AL7" s="147">
        <f>AK7-AJ7</f>
        <v>150</v>
      </c>
      <c r="AM7" s="146">
        <f>AK7*0.2</f>
        <v>753.61800000000005</v>
      </c>
      <c r="AN7" s="56"/>
      <c r="AO7" s="277"/>
      <c r="AP7" s="144" t="str">
        <f t="shared" ca="1" si="10"/>
        <v/>
      </c>
      <c r="AQ7" s="141" t="s">
        <v>2381</v>
      </c>
      <c r="AR7" s="141" t="s">
        <v>2374</v>
      </c>
      <c r="AS7" s="57" t="str">
        <f t="shared" si="3"/>
        <v>05</v>
      </c>
      <c r="AT7" s="141" t="str">
        <f t="shared" si="4"/>
        <v>PLAN CINCO CCPP (C) Alberche 17 - Proceso de Documentación</v>
      </c>
      <c r="AU7" s="141" t="str">
        <f t="shared" ca="1" si="5"/>
        <v>Estimado/a Sr/Sra:
Nos ponemos en contacto desde Instalaciones Araujo, la empresa encargada para la individualización de contadores de agua en la CCPP (C) Alberche 17, agradeciéndole la confianza depositada en nosotros.
Le comunicamos que con fecha 24/02/2026 solicitamos a la CCPP la entrega de la documentación necesaria para iniciar la tramitación del expediente con EMASESA.
Para su conocimiento, le informamos que, hasta la fecha, hemos recibido el {80%} de la documentación.
DOCUMENTACION DE LA CCPP:  COMPLETO
DOCUMENTACION DE LAS VIVIENDAS: PENDIENTE -(1IZDA)-(4DCHA)
Le mantendremos informado, rogándole que igualmente informe de este particular a los propietarios con la fecha limite de envío 16/03/2026.
Comunicación confidencial conforme al RGPD y la LOPDGDD, en el marco del contrato suscrito con la CCPP.
***ROGAMOS CONFIRMACION DE RECEPCION***
Quedamos a su disposición para resolver cualquier duda
Atentamente, Instalaciones Araujo</v>
      </c>
      <c r="AV7" s="256" t="str">
        <f t="shared" ca="1" si="6"/>
        <v>Estimado/a Sr/Sra:
Nos ponemos en contacto desde Instalaciones Araujo, la empresa encargada para la individualización de contadores de agua en la CCPP (C) Alberche 17, agradeciéndole la confianza depositada en nosotros.
Le comunicamos que con fecha 24/02/2026 solicitamos a la CCPP la entrega de la documentación necesaria para iniciar la tramitación del expediente con EMASESA.
Para su conocimiento, le informamos que, hasta la fecha, hemos recibido el {80%} de la documentación.
DOCUMENTACION DE LA CCPP:  {DOC_CCPP}
DOCUMENTACION DE LAS VIVIENDAS: {DOC_PISOS}
Le mantendremos informado, rogándole que igualmente informe de este particular a los propietarios con la fecha limite de envío 16/03/2026.
Comunicación confidencial conforme al RGPD y la LOPDGDD, en el marco del contrato suscrito con la CCPP.
***ROGAMOS CONFIRMACION DE RECEPCION***
Quedamos a su disposición para resolver cualquier duda
Atentamente, Instalaciones Araujo</v>
      </c>
      <c r="AW7" s="256" t="str">
        <f t="shared" si="7"/>
        <v>Estimado/a Sr/Sra:
Nos ponemos en contacto desde Instalaciones Araujo, la empresa encargada para la individualización de contadores de agua en la CCPP (C) Alberche 17, agradeciéndole la confianza depositada en nosotros.
Le comunicamos que con fecha 24/02/2026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16/03/2026.
Comunicación confidencial conforme al RGPD y la LOPDGDD, en el marco del contrato suscrito con la CCPP.
***ROGAMOS CONFIRMACION DE RECEPCION***
Quedamos a su disposición para resolver cualquier duda
Atentamente, Instalaciones Araujo</v>
      </c>
      <c r="AX7" s="141" t="s">
        <v>1410</v>
      </c>
      <c r="AY7" s="141"/>
    </row>
    <row r="8" spans="1:51" s="262" customFormat="1" x14ac:dyDescent="0.25">
      <c r="A8" s="60" t="s">
        <v>2162</v>
      </c>
      <c r="B8" s="60" t="s">
        <v>2189</v>
      </c>
      <c r="C8" s="61" t="s">
        <v>2129</v>
      </c>
      <c r="D8" s="43" t="s">
        <v>1781</v>
      </c>
      <c r="E8" s="201">
        <v>659189616</v>
      </c>
      <c r="F8" s="43" t="s">
        <v>1782</v>
      </c>
      <c r="G8" s="203" t="s">
        <v>2156</v>
      </c>
      <c r="H8" s="203" t="s">
        <v>0</v>
      </c>
      <c r="I8" s="122" t="s">
        <v>0</v>
      </c>
      <c r="J8" s="44">
        <v>45803</v>
      </c>
      <c r="K8" s="44">
        <v>45807</v>
      </c>
      <c r="L8" s="44">
        <v>45819</v>
      </c>
      <c r="M8" s="44"/>
      <c r="N8" s="127">
        <v>46157</v>
      </c>
      <c r="O8" s="128" t="s">
        <v>2114</v>
      </c>
      <c r="P8" s="126" t="s">
        <v>2522</v>
      </c>
      <c r="Q8" s="45"/>
      <c r="R8" s="45"/>
      <c r="S8" s="45"/>
      <c r="T8" s="45"/>
      <c r="U8" s="45"/>
      <c r="V8" s="46">
        <f t="shared" ca="1" si="0"/>
        <v>0</v>
      </c>
      <c r="W8" s="47">
        <f t="shared" ca="1" si="1"/>
        <v>0</v>
      </c>
      <c r="X8" s="47" t="str">
        <f t="shared" ca="1" si="8"/>
        <v xml:space="preserve">PENDIENTE </v>
      </c>
      <c r="Y8" s="47">
        <f t="shared" ca="1" si="2"/>
        <v>0</v>
      </c>
      <c r="Z8" s="227" t="str">
        <f t="shared" ca="1" si="9"/>
        <v xml:space="preserve">PENDIENTE </v>
      </c>
      <c r="AA8" s="228" t="s">
        <v>0</v>
      </c>
      <c r="AB8" s="49">
        <v>14.3</v>
      </c>
      <c r="AC8" s="50"/>
      <c r="AD8" s="51"/>
      <c r="AE8" s="52">
        <v>17704.038560635552</v>
      </c>
      <c r="AF8" s="53">
        <v>6386.72</v>
      </c>
      <c r="AG8" s="53"/>
      <c r="AH8" s="54">
        <v>5209.84</v>
      </c>
      <c r="AI8" s="55"/>
      <c r="AJ8" s="53">
        <f>AE8-AF8-AH8-150</f>
        <v>5957.4785606355508</v>
      </c>
      <c r="AK8" s="53"/>
      <c r="AL8" s="53"/>
      <c r="AM8" s="52"/>
      <c r="AN8" s="56"/>
      <c r="AO8" s="277"/>
      <c r="AP8" s="144" t="str">
        <f t="shared" ca="1" si="10"/>
        <v/>
      </c>
      <c r="AQ8" s="141" t="s">
        <v>2381</v>
      </c>
      <c r="AR8" s="141" t="s">
        <v>2374</v>
      </c>
      <c r="AS8" s="57" t="str">
        <f t="shared" si="3"/>
        <v>03</v>
      </c>
      <c r="AT8" s="141" t="str">
        <f t="shared" si="4"/>
        <v>PLAN CINCO CCPP (C) Alberche 6C - Presupuesto pendiente de adjudicación</v>
      </c>
      <c r="AU8" s="141" t="str">
        <f t="shared" ca="1" si="5"/>
        <v>Estimado/a Sr/Sra:
Desde Instalaciones Araujo nos ponemos en contacto con ud, en relación con el Presupuesto de individualización de contadores de agua que le facilitamos el pasado 00/01/1900 para la CCPP (C) Alberche 6C.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8" s="256" t="str">
        <f t="shared" ca="1" si="6"/>
        <v>Estimado/a Sr/Sra:
Desde Instalaciones Araujo nos ponemos en contacto con ud, en relación con el Presupuesto de individualización de contadores de agua que le facilitamos el pasado {FECHA_PTO} para la CCPP (C) Alberche 6C.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8" s="256" t="str">
        <f t="shared" si="7"/>
        <v>Estimado/a Sr/Sra:
Desde Instalaciones Araujo nos ponemos en contacto con ud, en relación con el Presupuesto de individualización de contadores de agua que le facilitamos el pasado {FECHA_PTO} para la CCPP (C) Alberche 6C.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8" s="141" t="s">
        <v>1410</v>
      </c>
      <c r="AY8" s="141"/>
    </row>
    <row r="9" spans="1:51" s="262" customFormat="1" x14ac:dyDescent="0.25">
      <c r="A9" s="60" t="s">
        <v>2162</v>
      </c>
      <c r="B9" s="60" t="s">
        <v>2190</v>
      </c>
      <c r="C9" s="61" t="s">
        <v>2129</v>
      </c>
      <c r="D9" s="43" t="s">
        <v>2101</v>
      </c>
      <c r="E9" s="201">
        <v>637492592</v>
      </c>
      <c r="F9" s="263" t="s">
        <v>2390</v>
      </c>
      <c r="G9" s="43" t="s">
        <v>1783</v>
      </c>
      <c r="H9" s="201">
        <v>662132045</v>
      </c>
      <c r="I9" s="43" t="s">
        <v>0</v>
      </c>
      <c r="J9" s="44">
        <v>45922</v>
      </c>
      <c r="K9" s="44">
        <v>45958</v>
      </c>
      <c r="L9" s="44">
        <v>46086</v>
      </c>
      <c r="M9" s="44"/>
      <c r="N9" s="127">
        <v>46157</v>
      </c>
      <c r="O9" s="128" t="s">
        <v>2103</v>
      </c>
      <c r="P9" s="126" t="s">
        <v>2522</v>
      </c>
      <c r="Q9" s="45"/>
      <c r="R9" s="45"/>
      <c r="S9" s="45"/>
      <c r="T9" s="45"/>
      <c r="U9" s="45"/>
      <c r="V9" s="46">
        <f t="shared" ca="1" si="0"/>
        <v>0</v>
      </c>
      <c r="W9" s="47">
        <f t="shared" ca="1" si="1"/>
        <v>0</v>
      </c>
      <c r="X9" s="47" t="str">
        <f t="shared" ca="1" si="8"/>
        <v xml:space="preserve">PENDIENTE </v>
      </c>
      <c r="Y9" s="47">
        <f t="shared" ca="1" si="2"/>
        <v>0</v>
      </c>
      <c r="Z9" s="227" t="str">
        <f t="shared" ca="1" si="9"/>
        <v xml:space="preserve">PENDIENTE </v>
      </c>
      <c r="AA9" s="48"/>
      <c r="AB9" s="49">
        <v>20</v>
      </c>
      <c r="AC9" s="50"/>
      <c r="AD9" s="51"/>
      <c r="AE9" s="52">
        <v>22717.813548176233</v>
      </c>
      <c r="AF9" s="53">
        <v>8936.7250000000004</v>
      </c>
      <c r="AG9" s="53"/>
      <c r="AH9" s="54">
        <v>5766.58</v>
      </c>
      <c r="AI9" s="55"/>
      <c r="AJ9" s="53">
        <f>AE9-AF9-AH9-210</f>
        <v>7804.5085481762326</v>
      </c>
      <c r="AK9" s="53"/>
      <c r="AL9" s="53"/>
      <c r="AM9" s="52"/>
      <c r="AN9" s="56"/>
      <c r="AO9" s="277"/>
      <c r="AP9" s="144" t="str">
        <f t="shared" ca="1" si="10"/>
        <v/>
      </c>
      <c r="AQ9" s="141" t="s">
        <v>2381</v>
      </c>
      <c r="AR9" s="141" t="s">
        <v>2374</v>
      </c>
      <c r="AS9" s="57" t="str">
        <f t="shared" si="3"/>
        <v>03</v>
      </c>
      <c r="AT9" s="141" t="str">
        <f t="shared" si="4"/>
        <v>PLAN CINCO CCPP (C) Alberto Durero 2 - Presupuesto pendiente de adjudicación</v>
      </c>
      <c r="AU9" s="141" t="str">
        <f t="shared" ca="1" si="5"/>
        <v>Estimado/a Sr/Sra:
Desde Instalaciones Araujo nos ponemos en contacto con ud, en relación con el Presupuesto de individualización de contadores de agua que le facilitamos el pasado 00/01/1900 para la CCPP (C) Alberto Durero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9" s="256" t="str">
        <f t="shared" ca="1" si="6"/>
        <v>Estimado/a Sr/Sra:
Desde Instalaciones Araujo nos ponemos en contacto con ud, en relación con el Presupuesto de individualización de contadores de agua que le facilitamos el pasado {FECHA_PTO} para la CCPP (C) Alberto Durero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9" s="256" t="str">
        <f t="shared" si="7"/>
        <v>Estimado/a Sr/Sra:
Desde Instalaciones Araujo nos ponemos en contacto con ud, en relación con el Presupuesto de individualización de contadores de agua que le facilitamos el pasado {FECHA_PTO} para la CCPP (C) Alberto Durero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9" s="141" t="s">
        <v>1410</v>
      </c>
      <c r="AY9" s="141"/>
    </row>
    <row r="10" spans="1:51" s="262" customFormat="1" x14ac:dyDescent="0.25">
      <c r="A10" s="60" t="s">
        <v>2162</v>
      </c>
      <c r="B10" s="60" t="s">
        <v>2191</v>
      </c>
      <c r="C10" s="61" t="s">
        <v>2129</v>
      </c>
      <c r="D10" s="43" t="s">
        <v>1784</v>
      </c>
      <c r="E10" s="201">
        <v>680157525</v>
      </c>
      <c r="F10" s="43" t="s">
        <v>1785</v>
      </c>
      <c r="G10" s="203" t="s">
        <v>2156</v>
      </c>
      <c r="H10" s="203" t="s">
        <v>0</v>
      </c>
      <c r="I10" s="122" t="s">
        <v>0</v>
      </c>
      <c r="J10" s="44">
        <v>45862</v>
      </c>
      <c r="K10" s="44">
        <v>45881</v>
      </c>
      <c r="L10" s="44">
        <v>45882</v>
      </c>
      <c r="M10" s="44"/>
      <c r="N10" s="149" t="s">
        <v>0</v>
      </c>
      <c r="O10" s="128" t="s">
        <v>2106</v>
      </c>
      <c r="P10" s="126" t="s">
        <v>2107</v>
      </c>
      <c r="Q10" s="45"/>
      <c r="R10" s="45"/>
      <c r="S10" s="45"/>
      <c r="T10" s="45"/>
      <c r="U10" s="45"/>
      <c r="V10" s="46">
        <f t="shared" ca="1" si="0"/>
        <v>0</v>
      </c>
      <c r="W10" s="47">
        <f t="shared" ca="1" si="1"/>
        <v>0</v>
      </c>
      <c r="X10" s="47" t="str">
        <f t="shared" ca="1" si="8"/>
        <v xml:space="preserve">PENDIENTE </v>
      </c>
      <c r="Y10" s="47">
        <f t="shared" ca="1" si="2"/>
        <v>0</v>
      </c>
      <c r="Z10" s="227" t="str">
        <f t="shared" ca="1" si="9"/>
        <v xml:space="preserve">PENDIENTE </v>
      </c>
      <c r="AA10" s="48"/>
      <c r="AB10" s="49">
        <v>9.3000000000000007</v>
      </c>
      <c r="AC10" s="50"/>
      <c r="AD10" s="51"/>
      <c r="AE10" s="52">
        <v>10139.572494843662</v>
      </c>
      <c r="AF10" s="53">
        <v>4125.5</v>
      </c>
      <c r="AG10" s="53"/>
      <c r="AH10" s="54">
        <v>2702.61</v>
      </c>
      <c r="AI10" s="55"/>
      <c r="AJ10" s="53">
        <f>AE10-AF10-AH10-150</f>
        <v>3161.4624948436617</v>
      </c>
      <c r="AK10" s="53"/>
      <c r="AL10" s="53"/>
      <c r="AM10" s="52"/>
      <c r="AN10" s="56"/>
      <c r="AO10" s="277"/>
      <c r="AP10" s="144" t="str">
        <f t="shared" ca="1" si="10"/>
        <v/>
      </c>
      <c r="AQ10" s="141" t="s">
        <v>2381</v>
      </c>
      <c r="AR10" s="141" t="s">
        <v>2374</v>
      </c>
      <c r="AS10" s="57" t="str">
        <f t="shared" si="3"/>
        <v>---</v>
      </c>
      <c r="AT10" s="141" t="str">
        <f t="shared" si="4"/>
        <v xml:space="preserve">PLAN CINCO CCPP (C) Alborea 1 - </v>
      </c>
      <c r="AU10" s="141" t="str">
        <f t="shared" ca="1" si="5"/>
        <v/>
      </c>
      <c r="AV10" s="256" t="str">
        <f t="shared" ca="1" si="6"/>
        <v/>
      </c>
      <c r="AW10" s="256" t="str">
        <f t="shared" si="7"/>
        <v/>
      </c>
      <c r="AX10" s="141" t="s">
        <v>1410</v>
      </c>
      <c r="AY10" s="141"/>
    </row>
    <row r="11" spans="1:51" s="262" customFormat="1" x14ac:dyDescent="0.25">
      <c r="A11" s="60" t="s">
        <v>2162</v>
      </c>
      <c r="B11" s="60" t="s">
        <v>2192</v>
      </c>
      <c r="C11" s="208" t="s">
        <v>2129</v>
      </c>
      <c r="D11" s="58" t="s">
        <v>2142</v>
      </c>
      <c r="E11" s="202">
        <v>676059612</v>
      </c>
      <c r="F11" s="264" t="s">
        <v>1826</v>
      </c>
      <c r="G11" s="58" t="s">
        <v>0</v>
      </c>
      <c r="H11" s="202" t="s">
        <v>0</v>
      </c>
      <c r="I11" s="58" t="s">
        <v>0</v>
      </c>
      <c r="J11" s="59">
        <v>46105</v>
      </c>
      <c r="K11" s="59"/>
      <c r="L11" s="59"/>
      <c r="M11" s="59"/>
      <c r="N11" s="127">
        <v>46157</v>
      </c>
      <c r="O11" s="128" t="s">
        <v>2133</v>
      </c>
      <c r="P11" s="126" t="s">
        <v>2514</v>
      </c>
      <c r="Q11" s="45"/>
      <c r="R11" s="45"/>
      <c r="S11" s="45"/>
      <c r="T11" s="45"/>
      <c r="U11" s="45"/>
      <c r="V11" s="46">
        <f t="shared" ca="1" si="0"/>
        <v>0</v>
      </c>
      <c r="W11" s="47">
        <f t="shared" ca="1" si="1"/>
        <v>0</v>
      </c>
      <c r="X11" s="47" t="str">
        <f t="shared" ca="1" si="8"/>
        <v xml:space="preserve">PENDIENTE </v>
      </c>
      <c r="Y11" s="47">
        <f t="shared" ca="1" si="2"/>
        <v>0</v>
      </c>
      <c r="Z11" s="227" t="str">
        <f t="shared" ca="1" si="9"/>
        <v xml:space="preserve">PENDIENTE </v>
      </c>
      <c r="AA11" s="210"/>
      <c r="AB11" s="49"/>
      <c r="AC11" s="50"/>
      <c r="AD11" s="51"/>
      <c r="AE11" s="52"/>
      <c r="AF11" s="53"/>
      <c r="AG11" s="53"/>
      <c r="AH11" s="54"/>
      <c r="AI11" s="55"/>
      <c r="AJ11" s="53"/>
      <c r="AK11" s="53"/>
      <c r="AL11" s="53"/>
      <c r="AM11" s="52"/>
      <c r="AN11" s="56"/>
      <c r="AO11" s="277"/>
      <c r="AP11" s="144" t="str">
        <f t="shared" ca="1" si="10"/>
        <v/>
      </c>
      <c r="AQ11" s="141" t="s">
        <v>2381</v>
      </c>
      <c r="AR11" s="141" t="s">
        <v>2374</v>
      </c>
      <c r="AS11" s="57" t="str">
        <f t="shared" si="3"/>
        <v>01</v>
      </c>
      <c r="AT11" s="141" t="str">
        <f t="shared" si="4"/>
        <v>PLAN CINCO CCPP (C) Alcazarquivir 2 - Solicitud de documentación para presupuestar</v>
      </c>
      <c r="AU11" s="141" t="str">
        <f t="shared" ca="1" si="5"/>
        <v>Estimado/a Sr/Sra:
Gracias por contactar con Instalaciones Araujo para valorar la individualización de contadores de agua en la CCPP (C) Alcazarquivir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1" s="256" t="str">
        <f t="shared" ca="1" si="6"/>
        <v>Estimado/a Sr/Sra:
Gracias por contactar con Instalaciones Araujo para valorar la individualización de contadores de agua en la CCPP (C) Alcazarquivir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1" s="256" t="str">
        <f t="shared" si="7"/>
        <v>Estimado/a Sr/Sra:
Gracias por contactar con Instalaciones Araujo para valorar la individualización de contadores de agua en la CCPP (C) Alcazarquivir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1" s="141" t="s">
        <v>1410</v>
      </c>
      <c r="AY11" s="141"/>
    </row>
    <row r="12" spans="1:51" s="262" customFormat="1" x14ac:dyDescent="0.25">
      <c r="A12" s="60" t="s">
        <v>2163</v>
      </c>
      <c r="B12" s="60" t="s">
        <v>2195</v>
      </c>
      <c r="C12" s="61" t="s">
        <v>2129</v>
      </c>
      <c r="D12" s="43" t="s">
        <v>2140</v>
      </c>
      <c r="E12" s="201">
        <v>655803367</v>
      </c>
      <c r="F12" s="263" t="s">
        <v>1786</v>
      </c>
      <c r="G12" s="43" t="s">
        <v>1787</v>
      </c>
      <c r="H12" s="201">
        <v>675251687</v>
      </c>
      <c r="I12" s="43" t="s">
        <v>0</v>
      </c>
      <c r="J12" s="44">
        <v>45932</v>
      </c>
      <c r="K12" s="44"/>
      <c r="L12" s="44"/>
      <c r="M12" s="44"/>
      <c r="N12" s="127">
        <v>46157</v>
      </c>
      <c r="O12" s="128" t="s">
        <v>2133</v>
      </c>
      <c r="P12" s="126" t="s">
        <v>2514</v>
      </c>
      <c r="Q12" s="45"/>
      <c r="R12" s="45"/>
      <c r="S12" s="45"/>
      <c r="T12" s="45"/>
      <c r="U12" s="45"/>
      <c r="V12" s="46">
        <f t="shared" ca="1" si="0"/>
        <v>0</v>
      </c>
      <c r="W12" s="47">
        <f t="shared" ca="1" si="1"/>
        <v>0</v>
      </c>
      <c r="X12" s="47" t="str">
        <f t="shared" ca="1" si="8"/>
        <v xml:space="preserve">PENDIENTE </v>
      </c>
      <c r="Y12" s="47">
        <f t="shared" ca="1" si="2"/>
        <v>0</v>
      </c>
      <c r="Z12" s="227" t="str">
        <f t="shared" ca="1" si="9"/>
        <v xml:space="preserve">PENDIENTE </v>
      </c>
      <c r="AA12" s="210"/>
      <c r="AB12" s="49"/>
      <c r="AC12" s="50"/>
      <c r="AD12" s="51"/>
      <c r="AE12" s="52"/>
      <c r="AF12" s="53"/>
      <c r="AG12" s="53"/>
      <c r="AH12" s="54"/>
      <c r="AI12" s="55"/>
      <c r="AJ12" s="53"/>
      <c r="AK12" s="53"/>
      <c r="AL12" s="53"/>
      <c r="AM12" s="52"/>
      <c r="AN12" s="56"/>
      <c r="AO12" s="277"/>
      <c r="AP12" s="144" t="str">
        <f t="shared" ca="1" si="10"/>
        <v/>
      </c>
      <c r="AQ12" s="141" t="s">
        <v>2381</v>
      </c>
      <c r="AR12" s="141" t="s">
        <v>2374</v>
      </c>
      <c r="AS12" s="57" t="str">
        <f t="shared" si="3"/>
        <v>01</v>
      </c>
      <c r="AT12" s="141" t="str">
        <f t="shared" si="4"/>
        <v>PLAN CINCO CCPP (Pz) Alegre 13 - Solicitud de documentación para presupuestar</v>
      </c>
      <c r="AU12" s="141" t="str">
        <f t="shared" ca="1" si="5"/>
        <v>Estimado/a Sr/Sra:
Gracias por contactar con Instalaciones Araujo para valorar la individualización de contadores de agua en la CCPP (Pz) Alegre 13.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2" s="256" t="str">
        <f t="shared" ca="1" si="6"/>
        <v>Estimado/a Sr/Sra:
Gracias por contactar con Instalaciones Araujo para valorar la individualización de contadores de agua en la CCPP (Pz) Alegre 13.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2" s="256" t="str">
        <f t="shared" si="7"/>
        <v>Estimado/a Sr/Sra:
Gracias por contactar con Instalaciones Araujo para valorar la individualización de contadores de agua en la CCPP (Pz) Alegre 13.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2" s="141" t="s">
        <v>1410</v>
      </c>
      <c r="AY12" s="141"/>
    </row>
    <row r="13" spans="1:51" s="262" customFormat="1" x14ac:dyDescent="0.25">
      <c r="A13" s="60" t="s">
        <v>2162</v>
      </c>
      <c r="B13" s="60" t="s">
        <v>2193</v>
      </c>
      <c r="C13" s="61" t="s">
        <v>2129</v>
      </c>
      <c r="D13" s="43" t="s">
        <v>1788</v>
      </c>
      <c r="E13" s="201">
        <v>601285360</v>
      </c>
      <c r="F13" s="43" t="s">
        <v>0</v>
      </c>
      <c r="G13" s="203" t="s">
        <v>2156</v>
      </c>
      <c r="H13" s="203" t="s">
        <v>0</v>
      </c>
      <c r="I13" s="122" t="s">
        <v>0</v>
      </c>
      <c r="J13" s="44">
        <v>45845</v>
      </c>
      <c r="K13" s="44">
        <v>45846</v>
      </c>
      <c r="L13" s="44">
        <v>45847</v>
      </c>
      <c r="M13" s="44"/>
      <c r="N13" s="149" t="s">
        <v>0</v>
      </c>
      <c r="O13" s="128" t="s">
        <v>2105</v>
      </c>
      <c r="P13" s="126" t="s">
        <v>2107</v>
      </c>
      <c r="Q13" s="45"/>
      <c r="R13" s="45"/>
      <c r="S13" s="45"/>
      <c r="T13" s="45"/>
      <c r="U13" s="45"/>
      <c r="V13" s="46">
        <f t="shared" ca="1" si="0"/>
        <v>0</v>
      </c>
      <c r="W13" s="47">
        <f t="shared" ca="1" si="1"/>
        <v>0</v>
      </c>
      <c r="X13" s="47" t="str">
        <f t="shared" ca="1" si="8"/>
        <v xml:space="preserve">PENDIENTE </v>
      </c>
      <c r="Y13" s="47">
        <f t="shared" ca="1" si="2"/>
        <v>0</v>
      </c>
      <c r="Z13" s="227" t="str">
        <f t="shared" ca="1" si="9"/>
        <v xml:space="preserve">PENDIENTE </v>
      </c>
      <c r="AA13" s="48"/>
      <c r="AB13" s="49">
        <v>11.8</v>
      </c>
      <c r="AC13" s="50"/>
      <c r="AD13" s="51"/>
      <c r="AE13" s="52">
        <v>13281.15857297513</v>
      </c>
      <c r="AF13" s="53">
        <v>5240.5</v>
      </c>
      <c r="AG13" s="53"/>
      <c r="AH13" s="54">
        <v>3403.62</v>
      </c>
      <c r="AI13" s="55"/>
      <c r="AJ13" s="53">
        <f>AE13-AF13-AH13-150</f>
        <v>4487.0385729751297</v>
      </c>
      <c r="AK13" s="53"/>
      <c r="AL13" s="53"/>
      <c r="AM13" s="52"/>
      <c r="AN13" s="56"/>
      <c r="AO13" s="277"/>
      <c r="AP13" s="144" t="str">
        <f t="shared" ca="1" si="10"/>
        <v/>
      </c>
      <c r="AQ13" s="141" t="s">
        <v>2381</v>
      </c>
      <c r="AR13" s="141" t="s">
        <v>2374</v>
      </c>
      <c r="AS13" s="57" t="str">
        <f t="shared" si="3"/>
        <v>---</v>
      </c>
      <c r="AT13" s="141" t="str">
        <f t="shared" si="4"/>
        <v xml:space="preserve">PLAN CINCO CCPP (C) Alfareros 3 - </v>
      </c>
      <c r="AU13" s="141" t="str">
        <f t="shared" ca="1" si="5"/>
        <v/>
      </c>
      <c r="AV13" s="256" t="str">
        <f t="shared" ca="1" si="6"/>
        <v/>
      </c>
      <c r="AW13" s="256" t="str">
        <f t="shared" si="7"/>
        <v/>
      </c>
      <c r="AX13" s="141" t="s">
        <v>1410</v>
      </c>
      <c r="AY13" s="141"/>
    </row>
    <row r="14" spans="1:51" s="262" customFormat="1" x14ac:dyDescent="0.25">
      <c r="A14" s="60" t="s">
        <v>2165</v>
      </c>
      <c r="B14" s="60" t="s">
        <v>2194</v>
      </c>
      <c r="C14" s="61" t="s">
        <v>1354</v>
      </c>
      <c r="D14" s="43" t="s">
        <v>1789</v>
      </c>
      <c r="E14" s="201">
        <v>654805164</v>
      </c>
      <c r="F14" s="43" t="s">
        <v>1790</v>
      </c>
      <c r="G14" s="203" t="s">
        <v>2156</v>
      </c>
      <c r="H14" s="203" t="s">
        <v>0</v>
      </c>
      <c r="I14" s="122" t="s">
        <v>0</v>
      </c>
      <c r="J14" s="44">
        <v>45833</v>
      </c>
      <c r="K14" s="44">
        <v>45835</v>
      </c>
      <c r="L14" s="44">
        <v>45840</v>
      </c>
      <c r="M14" s="44"/>
      <c r="N14" s="149" t="s">
        <v>0</v>
      </c>
      <c r="O14" s="128" t="s">
        <v>2105</v>
      </c>
      <c r="P14" s="126" t="s">
        <v>2107</v>
      </c>
      <c r="Q14" s="45"/>
      <c r="R14" s="45"/>
      <c r="S14" s="45"/>
      <c r="T14" s="45"/>
      <c r="U14" s="45"/>
      <c r="V14" s="46">
        <f t="shared" ca="1" si="0"/>
        <v>0</v>
      </c>
      <c r="W14" s="47">
        <f t="shared" ca="1" si="1"/>
        <v>0</v>
      </c>
      <c r="X14" s="47" t="str">
        <f t="shared" ca="1" si="8"/>
        <v xml:space="preserve">PENDIENTE </v>
      </c>
      <c r="Y14" s="47">
        <f t="shared" ca="1" si="2"/>
        <v>0</v>
      </c>
      <c r="Z14" s="227" t="str">
        <f t="shared" ca="1" si="9"/>
        <v xml:space="preserve">PENDIENTE </v>
      </c>
      <c r="AA14" s="48"/>
      <c r="AB14" s="49">
        <v>10.8</v>
      </c>
      <c r="AC14" s="50"/>
      <c r="AD14" s="51"/>
      <c r="AE14" s="52">
        <v>11100.313844599845</v>
      </c>
      <c r="AF14" s="53">
        <v>4822.375</v>
      </c>
      <c r="AG14" s="53"/>
      <c r="AH14" s="54">
        <v>2775.18</v>
      </c>
      <c r="AI14" s="55"/>
      <c r="AJ14" s="53">
        <f>AE14-AF14-AH14-150</f>
        <v>3352.7588445998449</v>
      </c>
      <c r="AK14" s="53"/>
      <c r="AL14" s="53"/>
      <c r="AM14" s="52"/>
      <c r="AN14" s="56"/>
      <c r="AO14" s="277"/>
      <c r="AP14" s="144" t="str">
        <f t="shared" ca="1" si="10"/>
        <v/>
      </c>
      <c r="AQ14" s="141" t="s">
        <v>2381</v>
      </c>
      <c r="AR14" s="141" t="s">
        <v>2374</v>
      </c>
      <c r="AS14" s="57" t="str">
        <f t="shared" si="3"/>
        <v>---</v>
      </c>
      <c r="AT14" s="141" t="str">
        <f t="shared" si="4"/>
        <v xml:space="preserve">PLAN CINCO CCPP (Av) Alvar Núñez 45 - </v>
      </c>
      <c r="AU14" s="141" t="str">
        <f t="shared" ca="1" si="5"/>
        <v/>
      </c>
      <c r="AV14" s="256" t="str">
        <f t="shared" ca="1" si="6"/>
        <v/>
      </c>
      <c r="AW14" s="256" t="str">
        <f t="shared" si="7"/>
        <v/>
      </c>
      <c r="AX14" s="141" t="s">
        <v>1410</v>
      </c>
      <c r="AY14" s="141"/>
    </row>
    <row r="15" spans="1:51" s="262" customFormat="1" x14ac:dyDescent="0.25">
      <c r="A15" s="60" t="s">
        <v>2162</v>
      </c>
      <c r="B15" s="60" t="s">
        <v>2197</v>
      </c>
      <c r="C15" s="61" t="s">
        <v>2129</v>
      </c>
      <c r="D15" s="43" t="s">
        <v>1791</v>
      </c>
      <c r="E15" s="201">
        <v>650129471</v>
      </c>
      <c r="F15" s="43" t="s">
        <v>0</v>
      </c>
      <c r="G15" s="43" t="s">
        <v>1792</v>
      </c>
      <c r="H15" s="201">
        <v>653971195</v>
      </c>
      <c r="I15" s="43" t="s">
        <v>1793</v>
      </c>
      <c r="J15" s="44">
        <v>45817</v>
      </c>
      <c r="K15" s="44">
        <v>45821</v>
      </c>
      <c r="L15" s="44">
        <v>45825</v>
      </c>
      <c r="M15" s="44"/>
      <c r="N15" s="127">
        <v>46157</v>
      </c>
      <c r="O15" s="128" t="s">
        <v>2103</v>
      </c>
      <c r="P15" s="126" t="s">
        <v>2522</v>
      </c>
      <c r="Q15" s="45"/>
      <c r="R15" s="45"/>
      <c r="S15" s="45"/>
      <c r="T15" s="45"/>
      <c r="U15" s="45"/>
      <c r="V15" s="46">
        <f t="shared" ca="1" si="0"/>
        <v>0</v>
      </c>
      <c r="W15" s="47">
        <f t="shared" ca="1" si="1"/>
        <v>0</v>
      </c>
      <c r="X15" s="47" t="str">
        <f t="shared" ca="1" si="8"/>
        <v xml:space="preserve">PENDIENTE </v>
      </c>
      <c r="Y15" s="47">
        <f t="shared" ca="1" si="2"/>
        <v>0</v>
      </c>
      <c r="Z15" s="227" t="str">
        <f t="shared" ca="1" si="9"/>
        <v xml:space="preserve">PENDIENTE </v>
      </c>
      <c r="AA15" s="48"/>
      <c r="AB15" s="49">
        <v>12.7</v>
      </c>
      <c r="AC15" s="50"/>
      <c r="AD15" s="51"/>
      <c r="AE15" s="52">
        <v>15765.129530843566</v>
      </c>
      <c r="AF15" s="53">
        <v>5657.51</v>
      </c>
      <c r="AG15" s="53"/>
      <c r="AH15" s="54">
        <v>4509.68</v>
      </c>
      <c r="AI15" s="55"/>
      <c r="AJ15" s="53">
        <f>AE15-AF15-AH15-150</f>
        <v>5447.9395308435651</v>
      </c>
      <c r="AK15" s="53"/>
      <c r="AL15" s="53"/>
      <c r="AM15" s="52"/>
      <c r="AN15" s="56"/>
      <c r="AO15" s="277"/>
      <c r="AP15" s="144" t="str">
        <f t="shared" ca="1" si="10"/>
        <v/>
      </c>
      <c r="AQ15" s="141" t="s">
        <v>2381</v>
      </c>
      <c r="AR15" s="141" t="s">
        <v>2374</v>
      </c>
      <c r="AS15" s="57" t="str">
        <f t="shared" si="3"/>
        <v>03</v>
      </c>
      <c r="AT15" s="141" t="str">
        <f t="shared" si="4"/>
        <v>PLAN CINCO CCPP (C) Alvaro de Luna 7 - Presupuesto pendiente de adjudicación</v>
      </c>
      <c r="AU15" s="141" t="str">
        <f t="shared" ca="1" si="5"/>
        <v>Estimado/a Sr/Sra:
Desde Instalaciones Araujo nos ponemos en contacto con ud, en relación con el Presupuesto de individualización de contadores de agua que le facilitamos el pasado 00/01/1900 para la CCPP (C) Alvaro de Luna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5" s="256" t="str">
        <f t="shared" ca="1" si="6"/>
        <v>Estimado/a Sr/Sra:
Desde Instalaciones Araujo nos ponemos en contacto con ud, en relación con el Presupuesto de individualización de contadores de agua que le facilitamos el pasado {FECHA_PTO} para la CCPP (C) Alvaro de Luna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5" s="256" t="str">
        <f t="shared" si="7"/>
        <v>Estimado/a Sr/Sra:
Desde Instalaciones Araujo nos ponemos en contacto con ud, en relación con el Presupuesto de individualización de contadores de agua que le facilitamos el pasado {FECHA_PTO} para la CCPP (C) Alvaro de Luna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5" s="141" t="s">
        <v>1410</v>
      </c>
      <c r="AY15" s="141"/>
    </row>
    <row r="16" spans="1:51" s="262" customFormat="1" x14ac:dyDescent="0.25">
      <c r="A16" s="60" t="s">
        <v>2162</v>
      </c>
      <c r="B16" s="60" t="s">
        <v>2196</v>
      </c>
      <c r="C16" s="61" t="s">
        <v>2129</v>
      </c>
      <c r="D16" s="43" t="s">
        <v>1794</v>
      </c>
      <c r="E16" s="201">
        <v>663359758</v>
      </c>
      <c r="F16" s="43" t="s">
        <v>1795</v>
      </c>
      <c r="G16" s="43" t="s">
        <v>1796</v>
      </c>
      <c r="H16" s="201">
        <v>650661676</v>
      </c>
      <c r="I16" s="43" t="s">
        <v>1797</v>
      </c>
      <c r="J16" s="44">
        <v>45659</v>
      </c>
      <c r="K16" s="44">
        <v>45946</v>
      </c>
      <c r="L16" s="44">
        <v>45951</v>
      </c>
      <c r="M16" s="44"/>
      <c r="N16" s="149" t="s">
        <v>0</v>
      </c>
      <c r="O16" s="128" t="s">
        <v>2106</v>
      </c>
      <c r="P16" s="126" t="s">
        <v>2107</v>
      </c>
      <c r="Q16" s="45"/>
      <c r="R16" s="45"/>
      <c r="S16" s="45"/>
      <c r="T16" s="45"/>
      <c r="U16" s="45"/>
      <c r="V16" s="46">
        <f t="shared" ca="1" si="0"/>
        <v>0</v>
      </c>
      <c r="W16" s="47">
        <f t="shared" ca="1" si="1"/>
        <v>0</v>
      </c>
      <c r="X16" s="47" t="str">
        <f t="shared" ca="1" si="8"/>
        <v xml:space="preserve">PENDIENTE </v>
      </c>
      <c r="Y16" s="47">
        <f t="shared" ca="1" si="2"/>
        <v>0</v>
      </c>
      <c r="Z16" s="227" t="str">
        <f t="shared" ca="1" si="9"/>
        <v xml:space="preserve">PENDIENTE </v>
      </c>
      <c r="AA16" s="48"/>
      <c r="AB16" s="49">
        <v>19</v>
      </c>
      <c r="AC16" s="50"/>
      <c r="AD16" s="51"/>
      <c r="AE16" s="52">
        <v>18282.543965543326</v>
      </c>
      <c r="AF16" s="53">
        <v>8462.85</v>
      </c>
      <c r="AG16" s="53"/>
      <c r="AH16" s="54">
        <v>4644.05</v>
      </c>
      <c r="AI16" s="55"/>
      <c r="AJ16" s="53">
        <f>AE16-AF16-AH16-150</f>
        <v>5025.6439655433251</v>
      </c>
      <c r="AK16" s="53"/>
      <c r="AL16" s="53"/>
      <c r="AM16" s="52"/>
      <c r="AN16" s="56"/>
      <c r="AO16" s="277"/>
      <c r="AP16" s="144" t="str">
        <f t="shared" ca="1" si="10"/>
        <v/>
      </c>
      <c r="AQ16" s="141" t="s">
        <v>2381</v>
      </c>
      <c r="AR16" s="141" t="s">
        <v>2374</v>
      </c>
      <c r="AS16" s="57" t="str">
        <f t="shared" si="3"/>
        <v>---</v>
      </c>
      <c r="AT16" s="141" t="str">
        <f t="shared" si="4"/>
        <v xml:space="preserve">PLAN CINCO CCPP (C) Amparo 4 - </v>
      </c>
      <c r="AU16" s="141" t="str">
        <f t="shared" ca="1" si="5"/>
        <v/>
      </c>
      <c r="AV16" s="256" t="str">
        <f t="shared" ca="1" si="6"/>
        <v/>
      </c>
      <c r="AW16" s="256" t="str">
        <f t="shared" si="7"/>
        <v/>
      </c>
      <c r="AX16" s="141" t="s">
        <v>1410</v>
      </c>
      <c r="AY16" s="141"/>
    </row>
    <row r="17" spans="1:51" s="262" customFormat="1" x14ac:dyDescent="0.25">
      <c r="A17" s="60" t="s">
        <v>2163</v>
      </c>
      <c r="B17" s="60" t="s">
        <v>2198</v>
      </c>
      <c r="C17" s="61" t="s">
        <v>1798</v>
      </c>
      <c r="D17" s="43" t="s">
        <v>1800</v>
      </c>
      <c r="E17" s="201">
        <v>655956504</v>
      </c>
      <c r="F17" s="263" t="s">
        <v>1799</v>
      </c>
      <c r="G17" s="43" t="s">
        <v>0</v>
      </c>
      <c r="H17" s="201" t="s">
        <v>0</v>
      </c>
      <c r="I17" s="43" t="s">
        <v>0</v>
      </c>
      <c r="J17" s="44">
        <v>46066</v>
      </c>
      <c r="K17" s="44"/>
      <c r="L17" s="44"/>
      <c r="M17" s="44"/>
      <c r="N17" s="127">
        <v>46157</v>
      </c>
      <c r="O17" s="128" t="s">
        <v>2134</v>
      </c>
      <c r="P17" s="126" t="s">
        <v>2514</v>
      </c>
      <c r="Q17" s="45"/>
      <c r="R17" s="45"/>
      <c r="S17" s="45"/>
      <c r="T17" s="45"/>
      <c r="U17" s="45"/>
      <c r="V17" s="46">
        <f t="shared" ca="1" si="0"/>
        <v>0</v>
      </c>
      <c r="W17" s="47">
        <f t="shared" ca="1" si="1"/>
        <v>0</v>
      </c>
      <c r="X17" s="47" t="str">
        <f t="shared" ca="1" si="8"/>
        <v xml:space="preserve">PENDIENTE </v>
      </c>
      <c r="Y17" s="47">
        <f t="shared" ca="1" si="2"/>
        <v>0</v>
      </c>
      <c r="Z17" s="227" t="str">
        <f t="shared" ca="1" si="9"/>
        <v xml:space="preserve">PENDIENTE </v>
      </c>
      <c r="AA17" s="210"/>
      <c r="AB17" s="49"/>
      <c r="AC17" s="50"/>
      <c r="AD17" s="51"/>
      <c r="AE17" s="52"/>
      <c r="AF17" s="53"/>
      <c r="AG17" s="53"/>
      <c r="AH17" s="54"/>
      <c r="AI17" s="55"/>
      <c r="AJ17" s="53"/>
      <c r="AK17" s="53"/>
      <c r="AL17" s="53"/>
      <c r="AM17" s="52"/>
      <c r="AN17" s="56"/>
      <c r="AO17" s="277"/>
      <c r="AP17" s="144" t="str">
        <f t="shared" ca="1" si="10"/>
        <v/>
      </c>
      <c r="AQ17" s="141" t="s">
        <v>2381</v>
      </c>
      <c r="AR17" s="141" t="s">
        <v>2374</v>
      </c>
      <c r="AS17" s="57" t="str">
        <f t="shared" si="3"/>
        <v>01</v>
      </c>
      <c r="AT17" s="141" t="str">
        <f t="shared" si="4"/>
        <v>PLAN CINCO CCPP (Pz) Anjolí 1, Bloque 26 - Solicitud de documentación para presupuestar</v>
      </c>
      <c r="AU17" s="141" t="str">
        <f t="shared" ca="1" si="5"/>
        <v>Estimado/a Sr/Sra:
Gracias por contactar con Instalaciones Araujo para valorar la individualización de contadores de agua en la CCPP (Pz) Anjolí 1, Bloque 26.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7" s="256" t="str">
        <f t="shared" ca="1" si="6"/>
        <v>Estimado/a Sr/Sra:
Gracias por contactar con Instalaciones Araujo para valorar la individualización de contadores de agua en la CCPP (Pz) Anjolí 1, Bloque 26.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7" s="256" t="str">
        <f t="shared" si="7"/>
        <v>Estimado/a Sr/Sra:
Gracias por contactar con Instalaciones Araujo para valorar la individualización de contadores de agua en la CCPP (Pz) Anjolí 1, Bloque 26.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7" s="141" t="s">
        <v>1410</v>
      </c>
      <c r="AY17" s="141"/>
    </row>
    <row r="18" spans="1:51" s="262" customFormat="1" x14ac:dyDescent="0.25">
      <c r="A18" s="60" t="s">
        <v>2162</v>
      </c>
      <c r="B18" s="60" t="s">
        <v>2199</v>
      </c>
      <c r="C18" s="61" t="s">
        <v>1798</v>
      </c>
      <c r="D18" s="43" t="s">
        <v>1801</v>
      </c>
      <c r="E18" s="201">
        <v>625341839</v>
      </c>
      <c r="F18" s="263" t="s">
        <v>1802</v>
      </c>
      <c r="G18" s="43" t="s">
        <v>0</v>
      </c>
      <c r="H18" s="201" t="s">
        <v>0</v>
      </c>
      <c r="I18" s="43" t="s">
        <v>0</v>
      </c>
      <c r="J18" s="44">
        <v>46056</v>
      </c>
      <c r="K18" s="44"/>
      <c r="L18" s="44"/>
      <c r="M18" s="44"/>
      <c r="N18" s="127">
        <v>46157</v>
      </c>
      <c r="O18" s="128" t="s">
        <v>2135</v>
      </c>
      <c r="P18" s="126" t="s">
        <v>2514</v>
      </c>
      <c r="Q18" s="45"/>
      <c r="R18" s="45"/>
      <c r="S18" s="45"/>
      <c r="T18" s="45"/>
      <c r="U18" s="45"/>
      <c r="V18" s="46">
        <f t="shared" ca="1" si="0"/>
        <v>0</v>
      </c>
      <c r="W18" s="47">
        <f t="shared" ca="1" si="1"/>
        <v>0</v>
      </c>
      <c r="X18" s="47" t="str">
        <f t="shared" ca="1" si="8"/>
        <v xml:space="preserve">PENDIENTE </v>
      </c>
      <c r="Y18" s="47">
        <f t="shared" ca="1" si="2"/>
        <v>0</v>
      </c>
      <c r="Z18" s="227" t="str">
        <f t="shared" ca="1" si="9"/>
        <v xml:space="preserve">PENDIENTE </v>
      </c>
      <c r="AA18" s="210"/>
      <c r="AB18" s="49"/>
      <c r="AC18" s="50"/>
      <c r="AD18" s="51"/>
      <c r="AE18" s="52"/>
      <c r="AF18" s="53"/>
      <c r="AG18" s="53"/>
      <c r="AH18" s="54"/>
      <c r="AI18" s="55"/>
      <c r="AJ18" s="53"/>
      <c r="AK18" s="53"/>
      <c r="AL18" s="53"/>
      <c r="AM18" s="52"/>
      <c r="AN18" s="56"/>
      <c r="AO18" s="277"/>
      <c r="AP18" s="144" t="str">
        <f t="shared" ca="1" si="10"/>
        <v/>
      </c>
      <c r="AQ18" s="141" t="s">
        <v>2381</v>
      </c>
      <c r="AR18" s="141" t="s">
        <v>2374</v>
      </c>
      <c r="AS18" s="57" t="str">
        <f t="shared" si="3"/>
        <v>01</v>
      </c>
      <c r="AT18" s="141" t="str">
        <f t="shared" si="4"/>
        <v>PLAN CINCO CCPP (C) Aragón ??? - Solicitud de documentación para presupuestar</v>
      </c>
      <c r="AU18" s="141" t="str">
        <f t="shared" ca="1" si="5"/>
        <v>Estimado/a Sr/Sra:
Gracias por contactar con Instalaciones Araujo para valorar la individualización de contadores de agua en la CCPP (C) Aragón ???.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8" s="256" t="str">
        <f t="shared" ca="1" si="6"/>
        <v>Estimado/a Sr/Sra:
Gracias por contactar con Instalaciones Araujo para valorar la individualización de contadores de agua en la CCPP (C) Aragón ???.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8" s="256" t="str">
        <f t="shared" si="7"/>
        <v>Estimado/a Sr/Sra:
Gracias por contactar con Instalaciones Araujo para valorar la individualización de contadores de agua en la CCPP (C) Aragón ???.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8" s="141" t="s">
        <v>1410</v>
      </c>
      <c r="AY18" s="141"/>
    </row>
    <row r="19" spans="1:51" s="262" customFormat="1" x14ac:dyDescent="0.25">
      <c r="A19" s="60" t="s">
        <v>2162</v>
      </c>
      <c r="B19" s="60" t="s">
        <v>2202</v>
      </c>
      <c r="C19" s="61" t="s">
        <v>2129</v>
      </c>
      <c r="D19" s="43" t="s">
        <v>1803</v>
      </c>
      <c r="E19" s="201">
        <v>954276868</v>
      </c>
      <c r="F19" s="263" t="s">
        <v>2389</v>
      </c>
      <c r="G19" s="43" t="s">
        <v>1804</v>
      </c>
      <c r="H19" s="201">
        <v>600636351</v>
      </c>
      <c r="I19" s="43" t="s">
        <v>0</v>
      </c>
      <c r="J19" s="44">
        <v>46087</v>
      </c>
      <c r="K19" s="44"/>
      <c r="L19" s="44"/>
      <c r="M19" s="44"/>
      <c r="N19" s="127"/>
      <c r="O19" s="128" t="s">
        <v>2429</v>
      </c>
      <c r="P19" s="126" t="s">
        <v>2098</v>
      </c>
      <c r="Q19" s="45"/>
      <c r="R19" s="45"/>
      <c r="S19" s="45"/>
      <c r="T19" s="45"/>
      <c r="U19" s="45"/>
      <c r="V19" s="46">
        <f t="shared" ca="1" si="0"/>
        <v>0</v>
      </c>
      <c r="W19" s="47">
        <f t="shared" ca="1" si="1"/>
        <v>0</v>
      </c>
      <c r="X19" s="47" t="str">
        <f t="shared" ca="1" si="8"/>
        <v xml:space="preserve">PENDIENTE </v>
      </c>
      <c r="Y19" s="47">
        <f t="shared" ca="1" si="2"/>
        <v>0</v>
      </c>
      <c r="Z19" s="227" t="str">
        <f t="shared" ca="1" si="9"/>
        <v xml:space="preserve">PENDIENTE </v>
      </c>
      <c r="AA19" s="210"/>
      <c r="AB19" s="49"/>
      <c r="AC19" s="50"/>
      <c r="AD19" s="51"/>
      <c r="AE19" s="52"/>
      <c r="AF19" s="53"/>
      <c r="AG19" s="53"/>
      <c r="AH19" s="54"/>
      <c r="AI19" s="55"/>
      <c r="AJ19" s="53"/>
      <c r="AK19" s="53"/>
      <c r="AL19" s="53"/>
      <c r="AM19" s="52"/>
      <c r="AN19" s="56"/>
      <c r="AO19" s="277"/>
      <c r="AP19" s="144" t="str">
        <f t="shared" ca="1" si="10"/>
        <v/>
      </c>
      <c r="AQ19" s="141" t="s">
        <v>2381</v>
      </c>
      <c r="AR19" s="141" t="s">
        <v>2374</v>
      </c>
      <c r="AS19" s="57" t="str">
        <f t="shared" si="3"/>
        <v>---</v>
      </c>
      <c r="AT19" s="141" t="str">
        <f t="shared" si="4"/>
        <v xml:space="preserve">PLAN CINCO CCPP (C) Arcángel San Miguel 6 - </v>
      </c>
      <c r="AU19" s="141" t="str">
        <f t="shared" ca="1" si="5"/>
        <v/>
      </c>
      <c r="AV19" s="256" t="str">
        <f t="shared" ca="1" si="6"/>
        <v/>
      </c>
      <c r="AW19" s="256" t="str">
        <f t="shared" si="7"/>
        <v/>
      </c>
      <c r="AX19" s="141" t="s">
        <v>1410</v>
      </c>
      <c r="AY19" s="141"/>
    </row>
    <row r="20" spans="1:51" s="262" customFormat="1" x14ac:dyDescent="0.25">
      <c r="A20" s="60" t="s">
        <v>2162</v>
      </c>
      <c r="B20" s="60" t="s">
        <v>2200</v>
      </c>
      <c r="C20" s="61" t="s">
        <v>2129</v>
      </c>
      <c r="D20" s="43" t="s">
        <v>1059</v>
      </c>
      <c r="E20" s="201">
        <v>677594520</v>
      </c>
      <c r="F20" s="43" t="s">
        <v>1805</v>
      </c>
      <c r="G20" s="43" t="s">
        <v>0</v>
      </c>
      <c r="H20" s="201" t="s">
        <v>0</v>
      </c>
      <c r="I20" s="43" t="s">
        <v>0</v>
      </c>
      <c r="J20" s="44">
        <v>45859</v>
      </c>
      <c r="K20" s="44">
        <v>45863</v>
      </c>
      <c r="L20" s="44">
        <v>45864</v>
      </c>
      <c r="M20" s="44"/>
      <c r="N20" s="149" t="s">
        <v>0</v>
      </c>
      <c r="O20" s="128" t="s">
        <v>2105</v>
      </c>
      <c r="P20" s="126" t="s">
        <v>2107</v>
      </c>
      <c r="Q20" s="45"/>
      <c r="R20" s="45"/>
      <c r="S20" s="45"/>
      <c r="T20" s="45"/>
      <c r="U20" s="45"/>
      <c r="V20" s="46">
        <f t="shared" ca="1" si="0"/>
        <v>0</v>
      </c>
      <c r="W20" s="47">
        <f t="shared" ca="1" si="1"/>
        <v>0</v>
      </c>
      <c r="X20" s="47" t="str">
        <f t="shared" ca="1" si="8"/>
        <v xml:space="preserve">PENDIENTE </v>
      </c>
      <c r="Y20" s="47">
        <f t="shared" ca="1" si="2"/>
        <v>0</v>
      </c>
      <c r="Z20" s="227" t="str">
        <f t="shared" ca="1" si="9"/>
        <v xml:space="preserve">PENDIENTE </v>
      </c>
      <c r="AA20" s="48"/>
      <c r="AB20" s="49">
        <v>27</v>
      </c>
      <c r="AC20" s="50"/>
      <c r="AD20" s="51"/>
      <c r="AE20" s="52">
        <v>36442.023931832358</v>
      </c>
      <c r="AF20" s="53">
        <v>12030.85</v>
      </c>
      <c r="AG20" s="53"/>
      <c r="AH20" s="54">
        <v>11420.06</v>
      </c>
      <c r="AI20" s="55"/>
      <c r="AJ20" s="53">
        <f>AE20-AF20-AH20-150</f>
        <v>12841.11393183236</v>
      </c>
      <c r="AK20" s="53"/>
      <c r="AL20" s="53"/>
      <c r="AM20" s="52"/>
      <c r="AN20" s="56"/>
      <c r="AO20" s="277"/>
      <c r="AP20" s="144" t="str">
        <f t="shared" ca="1" si="10"/>
        <v/>
      </c>
      <c r="AQ20" s="141" t="s">
        <v>2381</v>
      </c>
      <c r="AR20" s="141" t="s">
        <v>2374</v>
      </c>
      <c r="AS20" s="57" t="str">
        <f t="shared" si="3"/>
        <v>---</v>
      </c>
      <c r="AT20" s="141" t="str">
        <f t="shared" si="4"/>
        <v xml:space="preserve">PLAN CINCO CCPP (C) Argantonio 5 - </v>
      </c>
      <c r="AU20" s="141" t="str">
        <f t="shared" ca="1" si="5"/>
        <v/>
      </c>
      <c r="AV20" s="256" t="str">
        <f t="shared" ca="1" si="6"/>
        <v/>
      </c>
      <c r="AW20" s="256" t="str">
        <f t="shared" si="7"/>
        <v/>
      </c>
      <c r="AX20" s="141" t="s">
        <v>1410</v>
      </c>
      <c r="AY20" s="141"/>
    </row>
    <row r="21" spans="1:51" s="262" customFormat="1" x14ac:dyDescent="0.25">
      <c r="A21" s="60" t="s">
        <v>2162</v>
      </c>
      <c r="B21" s="60" t="s">
        <v>2201</v>
      </c>
      <c r="C21" s="61" t="s">
        <v>2129</v>
      </c>
      <c r="D21" s="43" t="s">
        <v>1167</v>
      </c>
      <c r="E21" s="201">
        <v>608870230</v>
      </c>
      <c r="F21" s="43" t="s">
        <v>1806</v>
      </c>
      <c r="G21" s="43" t="s">
        <v>0</v>
      </c>
      <c r="H21" s="201" t="s">
        <v>0</v>
      </c>
      <c r="I21" s="43" t="s">
        <v>0</v>
      </c>
      <c r="J21" s="44">
        <v>45776</v>
      </c>
      <c r="K21" s="44">
        <v>45793</v>
      </c>
      <c r="L21" s="44">
        <v>45798</v>
      </c>
      <c r="M21" s="44"/>
      <c r="N21" s="149" t="s">
        <v>0</v>
      </c>
      <c r="O21" s="128" t="s">
        <v>2105</v>
      </c>
      <c r="P21" s="126" t="s">
        <v>2107</v>
      </c>
      <c r="Q21" s="45"/>
      <c r="R21" s="45"/>
      <c r="S21" s="45"/>
      <c r="T21" s="45"/>
      <c r="U21" s="45"/>
      <c r="V21" s="46">
        <f t="shared" ca="1" si="0"/>
        <v>0</v>
      </c>
      <c r="W21" s="47">
        <f t="shared" ca="1" si="1"/>
        <v>0</v>
      </c>
      <c r="X21" s="47" t="str">
        <f t="shared" ca="1" si="8"/>
        <v xml:space="preserve">PENDIENTE </v>
      </c>
      <c r="Y21" s="47">
        <f t="shared" ca="1" si="2"/>
        <v>0</v>
      </c>
      <c r="Z21" s="227" t="str">
        <f t="shared" ca="1" si="9"/>
        <v xml:space="preserve">PENDIENTE </v>
      </c>
      <c r="AA21" s="48"/>
      <c r="AB21" s="49">
        <v>17</v>
      </c>
      <c r="AC21" s="50"/>
      <c r="AD21" s="51"/>
      <c r="AE21" s="52">
        <v>19615.175517237753</v>
      </c>
      <c r="AF21" s="53">
        <v>7570.85</v>
      </c>
      <c r="AG21" s="53"/>
      <c r="AH21" s="54">
        <v>6506.43</v>
      </c>
      <c r="AI21" s="55"/>
      <c r="AJ21" s="53">
        <f>AE21-AF21-AH21-150</f>
        <v>5387.8955172377518</v>
      </c>
      <c r="AK21" s="53"/>
      <c r="AL21" s="53"/>
      <c r="AM21" s="52"/>
      <c r="AN21" s="56"/>
      <c r="AO21" s="277"/>
      <c r="AP21" s="144" t="str">
        <f t="shared" ca="1" si="10"/>
        <v/>
      </c>
      <c r="AQ21" s="141" t="s">
        <v>2381</v>
      </c>
      <c r="AR21" s="141" t="s">
        <v>2374</v>
      </c>
      <c r="AS21" s="57" t="str">
        <f t="shared" si="3"/>
        <v>---</v>
      </c>
      <c r="AT21" s="141" t="str">
        <f t="shared" si="4"/>
        <v xml:space="preserve">PLAN CINCO CCPP (C) Asunción 22 - </v>
      </c>
      <c r="AU21" s="141" t="str">
        <f t="shared" ca="1" si="5"/>
        <v/>
      </c>
      <c r="AV21" s="256" t="str">
        <f t="shared" ca="1" si="6"/>
        <v/>
      </c>
      <c r="AW21" s="256" t="str">
        <f t="shared" si="7"/>
        <v/>
      </c>
      <c r="AX21" s="141" t="s">
        <v>1410</v>
      </c>
      <c r="AY21" s="141"/>
    </row>
    <row r="22" spans="1:51" s="262" customFormat="1" x14ac:dyDescent="0.25">
      <c r="A22" s="60" t="s">
        <v>2162</v>
      </c>
      <c r="B22" s="60" t="s">
        <v>2203</v>
      </c>
      <c r="C22" s="61" t="s">
        <v>2129</v>
      </c>
      <c r="D22" s="43" t="s">
        <v>1807</v>
      </c>
      <c r="E22" s="201">
        <v>658774143</v>
      </c>
      <c r="F22" s="61" t="s">
        <v>0</v>
      </c>
      <c r="G22" s="203" t="s">
        <v>2156</v>
      </c>
      <c r="H22" s="203" t="s">
        <v>0</v>
      </c>
      <c r="I22" s="122" t="s">
        <v>0</v>
      </c>
      <c r="J22" s="136">
        <v>45980</v>
      </c>
      <c r="K22" s="136"/>
      <c r="L22" s="136"/>
      <c r="M22" s="136"/>
      <c r="N22" s="127">
        <v>46157</v>
      </c>
      <c r="O22" s="128" t="s">
        <v>2515</v>
      </c>
      <c r="P22" s="126" t="s">
        <v>2514</v>
      </c>
      <c r="Q22" s="45"/>
      <c r="R22" s="45"/>
      <c r="S22" s="45"/>
      <c r="T22" s="45"/>
      <c r="U22" s="45"/>
      <c r="V22" s="46">
        <f t="shared" ca="1" si="0"/>
        <v>0</v>
      </c>
      <c r="W22" s="47">
        <f t="shared" ca="1" si="1"/>
        <v>0</v>
      </c>
      <c r="X22" s="47" t="str">
        <f t="shared" ca="1" si="8"/>
        <v xml:space="preserve">PENDIENTE </v>
      </c>
      <c r="Y22" s="47">
        <f t="shared" ca="1" si="2"/>
        <v>0</v>
      </c>
      <c r="Z22" s="227" t="str">
        <f t="shared" ca="1" si="9"/>
        <v xml:space="preserve">PENDIENTE </v>
      </c>
      <c r="AA22" s="210"/>
      <c r="AB22" s="49"/>
      <c r="AC22" s="50"/>
      <c r="AD22" s="51"/>
      <c r="AE22" s="52"/>
      <c r="AF22" s="53"/>
      <c r="AG22" s="53"/>
      <c r="AH22" s="54"/>
      <c r="AI22" s="55"/>
      <c r="AJ22" s="53"/>
      <c r="AK22" s="53"/>
      <c r="AL22" s="53"/>
      <c r="AM22" s="52"/>
      <c r="AN22" s="56"/>
      <c r="AO22" s="277"/>
      <c r="AP22" s="144" t="str">
        <f t="shared" ca="1" si="10"/>
        <v/>
      </c>
      <c r="AQ22" s="141" t="s">
        <v>2381</v>
      </c>
      <c r="AR22" s="141" t="s">
        <v>2374</v>
      </c>
      <c r="AS22" s="57" t="str">
        <f t="shared" si="3"/>
        <v>01</v>
      </c>
      <c r="AT22" s="141" t="str">
        <f t="shared" si="4"/>
        <v>PLAN CINCO CCPP (C) Atanasio Barrón 2 - Solicitud de documentación para presupuestar</v>
      </c>
      <c r="AU22" s="141" t="str">
        <f t="shared" ca="1" si="5"/>
        <v>Estimado/a Sr/Sra:
Gracias por contactar con Instalaciones Araujo para valorar la individualización de contadores de agua en la CCPP (C) Atanasio Barrón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2" s="256" t="str">
        <f t="shared" ca="1" si="6"/>
        <v>Estimado/a Sr/Sra:
Gracias por contactar con Instalaciones Araujo para valorar la individualización de contadores de agua en la CCPP (C) Atanasio Barrón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2" s="256" t="str">
        <f t="shared" si="7"/>
        <v>Estimado/a Sr/Sra:
Gracias por contactar con Instalaciones Araujo para valorar la individualización de contadores de agua en la CCPP (C) Atanasio Barrón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2" s="141" t="s">
        <v>1410</v>
      </c>
      <c r="AY22" s="141"/>
    </row>
    <row r="23" spans="1:51" s="262" customFormat="1" x14ac:dyDescent="0.25">
      <c r="A23" s="60" t="s">
        <v>2162</v>
      </c>
      <c r="B23" s="60" t="s">
        <v>2204</v>
      </c>
      <c r="C23" s="61" t="s">
        <v>1798</v>
      </c>
      <c r="D23" s="43" t="s">
        <v>1808</v>
      </c>
      <c r="E23" s="201">
        <v>615671540</v>
      </c>
      <c r="F23" s="263" t="s">
        <v>1809</v>
      </c>
      <c r="G23" s="43" t="s">
        <v>1810</v>
      </c>
      <c r="H23" s="201">
        <v>624779598</v>
      </c>
      <c r="I23" s="43" t="s">
        <v>0</v>
      </c>
      <c r="J23" s="44">
        <v>46087</v>
      </c>
      <c r="K23" s="44"/>
      <c r="L23" s="44"/>
      <c r="M23" s="44"/>
      <c r="N23" s="127">
        <v>46157</v>
      </c>
      <c r="O23" s="128" t="s">
        <v>2124</v>
      </c>
      <c r="P23" s="126" t="s">
        <v>2514</v>
      </c>
      <c r="Q23" s="45"/>
      <c r="R23" s="45"/>
      <c r="S23" s="45"/>
      <c r="T23" s="45"/>
      <c r="U23" s="45"/>
      <c r="V23" s="46">
        <f t="shared" ca="1" si="0"/>
        <v>0</v>
      </c>
      <c r="W23" s="47">
        <f t="shared" ca="1" si="1"/>
        <v>0</v>
      </c>
      <c r="X23" s="47" t="str">
        <f t="shared" ca="1" si="8"/>
        <v xml:space="preserve">PENDIENTE </v>
      </c>
      <c r="Y23" s="47">
        <f t="shared" ca="1" si="2"/>
        <v>0</v>
      </c>
      <c r="Z23" s="227" t="str">
        <f t="shared" ca="1" si="9"/>
        <v xml:space="preserve">PENDIENTE </v>
      </c>
      <c r="AA23" s="210"/>
      <c r="AB23" s="49"/>
      <c r="AC23" s="50"/>
      <c r="AD23" s="51"/>
      <c r="AE23" s="52"/>
      <c r="AF23" s="53"/>
      <c r="AG23" s="53"/>
      <c r="AH23" s="54"/>
      <c r="AI23" s="55"/>
      <c r="AJ23" s="53"/>
      <c r="AK23" s="53"/>
      <c r="AL23" s="53"/>
      <c r="AM23" s="52"/>
      <c r="AN23" s="56"/>
      <c r="AO23" s="277"/>
      <c r="AP23" s="144" t="str">
        <f t="shared" ca="1" si="10"/>
        <v/>
      </c>
      <c r="AQ23" s="141" t="s">
        <v>2381</v>
      </c>
      <c r="AR23" s="141" t="s">
        <v>2374</v>
      </c>
      <c r="AS23" s="57" t="str">
        <f t="shared" si="3"/>
        <v>01</v>
      </c>
      <c r="AT23" s="141" t="str">
        <f t="shared" si="4"/>
        <v>PLAN CINCO CCPP (C) Ballena 6 - Solicitud de documentación para presupuestar</v>
      </c>
      <c r="AU23" s="141" t="str">
        <f t="shared" ca="1" si="5"/>
        <v>Estimado/a Sr/Sra:
Gracias por contactar con Instalaciones Araujo para valorar la individualización de contadores de agua en la CCPP (C) Ballena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3" s="256" t="str">
        <f t="shared" ca="1" si="6"/>
        <v>Estimado/a Sr/Sra:
Gracias por contactar con Instalaciones Araujo para valorar la individualización de contadores de agua en la CCPP (C) Ballena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3" s="256" t="str">
        <f t="shared" si="7"/>
        <v>Estimado/a Sr/Sra:
Gracias por contactar con Instalaciones Araujo para valorar la individualización de contadores de agua en la CCPP (C) Ballena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3" s="141" t="s">
        <v>1410</v>
      </c>
      <c r="AY23" s="141"/>
    </row>
    <row r="24" spans="1:51" s="262" customFormat="1" x14ac:dyDescent="0.25">
      <c r="A24" s="41" t="s">
        <v>2162</v>
      </c>
      <c r="B24" s="41" t="s">
        <v>2205</v>
      </c>
      <c r="C24" s="61" t="s">
        <v>2129</v>
      </c>
      <c r="D24" s="43" t="s">
        <v>1417</v>
      </c>
      <c r="E24" s="201">
        <v>656315210</v>
      </c>
      <c r="F24" s="43" t="s">
        <v>1811</v>
      </c>
      <c r="G24" s="43" t="s">
        <v>1812</v>
      </c>
      <c r="H24" s="201">
        <v>692153938</v>
      </c>
      <c r="I24" s="43" t="s">
        <v>1813</v>
      </c>
      <c r="J24" s="44">
        <v>45791</v>
      </c>
      <c r="K24" s="44">
        <v>45793</v>
      </c>
      <c r="L24" s="44">
        <v>45798</v>
      </c>
      <c r="M24" s="44"/>
      <c r="N24" s="127" t="s">
        <v>0</v>
      </c>
      <c r="O24" s="128" t="s">
        <v>0</v>
      </c>
      <c r="P24" s="126" t="s">
        <v>2100</v>
      </c>
      <c r="Q24" s="45">
        <v>45805</v>
      </c>
      <c r="R24" s="45">
        <v>45842</v>
      </c>
      <c r="S24" s="45">
        <v>45870</v>
      </c>
      <c r="T24" s="45">
        <v>45908</v>
      </c>
      <c r="U24" s="45">
        <v>45923</v>
      </c>
      <c r="V24" s="46" t="str">
        <f t="shared" ca="1" si="0"/>
        <v>OK</v>
      </c>
      <c r="W24" s="47">
        <f t="shared" ca="1" si="1"/>
        <v>1</v>
      </c>
      <c r="X24" s="47" t="str">
        <f t="shared" ca="1" si="8"/>
        <v>COMPLETO</v>
      </c>
      <c r="Y24" s="47">
        <f t="shared" ca="1" si="2"/>
        <v>1</v>
      </c>
      <c r="Z24" s="227" t="str">
        <f t="shared" ca="1" si="9"/>
        <v>COMPLETO</v>
      </c>
      <c r="AA24" s="48" t="s">
        <v>53</v>
      </c>
      <c r="AB24" s="213">
        <v>8.9</v>
      </c>
      <c r="AC24" s="216">
        <f>19.5/2</f>
        <v>9.75</v>
      </c>
      <c r="AD24" s="217">
        <f>1-(AC24/AB24)</f>
        <v>-9.550561797752799E-2</v>
      </c>
      <c r="AE24" s="218">
        <v>8474.89</v>
      </c>
      <c r="AF24" s="219">
        <v>3956.02</v>
      </c>
      <c r="AG24" s="219">
        <v>4478</v>
      </c>
      <c r="AH24" s="222">
        <v>2379.08</v>
      </c>
      <c r="AI24" s="224">
        <v>2760</v>
      </c>
      <c r="AJ24" s="219">
        <f>AE24-AF24-AH24-150</f>
        <v>1989.7899999999991</v>
      </c>
      <c r="AK24" s="219">
        <f>AE24-AG24-AI24</f>
        <v>1236.8899999999994</v>
      </c>
      <c r="AL24" s="219">
        <f>AK24-AJ24</f>
        <v>-752.89999999999964</v>
      </c>
      <c r="AM24" s="218">
        <f>AK24*0.2</f>
        <v>247.3779999999999</v>
      </c>
      <c r="AN24" s="226">
        <v>45987</v>
      </c>
      <c r="AO24" s="277"/>
      <c r="AP24" s="144" t="str">
        <f t="shared" ca="1" si="10"/>
        <v/>
      </c>
      <c r="AQ24" s="141" t="s">
        <v>2381</v>
      </c>
      <c r="AR24" s="141" t="s">
        <v>2374</v>
      </c>
      <c r="AS24" s="57" t="str">
        <f t="shared" si="3"/>
        <v>---</v>
      </c>
      <c r="AT24" s="141" t="str">
        <f t="shared" si="4"/>
        <v xml:space="preserve">PLAN CINCO CCPP (C) Betis 20 - </v>
      </c>
      <c r="AU24" s="141" t="str">
        <f t="shared" ca="1" si="5"/>
        <v/>
      </c>
      <c r="AV24" s="256" t="str">
        <f t="shared" ca="1" si="6"/>
        <v/>
      </c>
      <c r="AW24" s="256" t="str">
        <f t="shared" si="7"/>
        <v/>
      </c>
      <c r="AX24" s="141" t="s">
        <v>1410</v>
      </c>
      <c r="AY24" s="141"/>
    </row>
    <row r="25" spans="1:51" s="262" customFormat="1" x14ac:dyDescent="0.25">
      <c r="A25" s="60" t="s">
        <v>2162</v>
      </c>
      <c r="B25" s="60" t="s">
        <v>2206</v>
      </c>
      <c r="C25" s="61" t="s">
        <v>2129</v>
      </c>
      <c r="D25" s="43" t="s">
        <v>2436</v>
      </c>
      <c r="E25" s="201">
        <v>600035101</v>
      </c>
      <c r="F25" s="364" t="s">
        <v>1814</v>
      </c>
      <c r="G25" s="43" t="s">
        <v>0</v>
      </c>
      <c r="H25" s="201" t="s">
        <v>0</v>
      </c>
      <c r="I25" s="43" t="s">
        <v>0</v>
      </c>
      <c r="J25" s="44">
        <v>46073</v>
      </c>
      <c r="K25" s="44">
        <v>46127</v>
      </c>
      <c r="L25" s="44">
        <v>46141</v>
      </c>
      <c r="M25" s="44"/>
      <c r="N25" s="127">
        <v>46172</v>
      </c>
      <c r="O25" s="128" t="s">
        <v>2594</v>
      </c>
      <c r="P25" s="126" t="s">
        <v>2522</v>
      </c>
      <c r="Q25" s="45"/>
      <c r="R25" s="45"/>
      <c r="S25" s="45"/>
      <c r="T25" s="45"/>
      <c r="U25" s="45"/>
      <c r="V25" s="46">
        <f t="shared" ca="1" si="0"/>
        <v>0</v>
      </c>
      <c r="W25" s="47">
        <f t="shared" ca="1" si="1"/>
        <v>0</v>
      </c>
      <c r="X25" s="47" t="str">
        <f t="shared" ca="1" si="8"/>
        <v xml:space="preserve">PENDIENTE </v>
      </c>
      <c r="Y25" s="47">
        <f t="shared" ca="1" si="2"/>
        <v>0</v>
      </c>
      <c r="Z25" s="227" t="str">
        <f t="shared" ca="1" si="9"/>
        <v xml:space="preserve">PENDIENTE </v>
      </c>
      <c r="AA25" s="210"/>
      <c r="AB25" s="49">
        <v>10</v>
      </c>
      <c r="AC25" s="50"/>
      <c r="AD25" s="51"/>
      <c r="AE25" s="52">
        <v>11817.53</v>
      </c>
      <c r="AF25" s="53">
        <v>4454.43</v>
      </c>
      <c r="AG25" s="53"/>
      <c r="AH25" s="54">
        <f>2353.42+830</f>
        <v>3183.42</v>
      </c>
      <c r="AI25" s="55"/>
      <c r="AJ25" s="53">
        <f>AE25-AF25-AH25-180</f>
        <v>3999.6800000000003</v>
      </c>
      <c r="AK25" s="53"/>
      <c r="AL25" s="53"/>
      <c r="AM25" s="52"/>
      <c r="AN25" s="56"/>
      <c r="AO25" s="277"/>
      <c r="AP25" s="144" t="str">
        <f t="shared" ca="1" si="10"/>
        <v/>
      </c>
      <c r="AQ25" s="141" t="s">
        <v>2381</v>
      </c>
      <c r="AR25" s="141" t="s">
        <v>2374</v>
      </c>
      <c r="AS25" s="57" t="str">
        <f t="shared" si="3"/>
        <v>03</v>
      </c>
      <c r="AT25" s="141" t="str">
        <f t="shared" si="4"/>
        <v>PLAN CINCO CCPP (C) Brújula 4 - Presupuesto pendiente de adjudicación</v>
      </c>
      <c r="AU25" s="141" t="str">
        <f t="shared" ca="1" si="5"/>
        <v>Estimado/a Sr/Sra:
Desde Instalaciones Araujo nos ponemos en contacto con ud, en relación con el Presupuesto de individualización de contadores de agua que le facilitamos el pasado 00/01/1900 para la CCPP (C) Brújula 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25" s="256" t="str">
        <f t="shared" ca="1" si="6"/>
        <v>Estimado/a Sr/Sra:
Desde Instalaciones Araujo nos ponemos en contacto con ud, en relación con el Presupuesto de individualización de contadores de agua que le facilitamos el pasado {FECHA_PTO} para la CCPP (C) Brújula 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25" s="256" t="str">
        <f t="shared" si="7"/>
        <v>Estimado/a Sr/Sra:
Desde Instalaciones Araujo nos ponemos en contacto con ud, en relación con el Presupuesto de individualización de contadores de agua que le facilitamos el pasado {FECHA_PTO} para la CCPP (C) Brújula 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25" s="141" t="s">
        <v>1410</v>
      </c>
      <c r="AY25" s="141"/>
    </row>
    <row r="26" spans="1:51" s="262" customFormat="1" x14ac:dyDescent="0.25">
      <c r="A26" s="60" t="s">
        <v>2179</v>
      </c>
      <c r="B26" s="60" t="s">
        <v>2207</v>
      </c>
      <c r="C26" s="61" t="s">
        <v>2129</v>
      </c>
      <c r="D26" s="43" t="s">
        <v>1866</v>
      </c>
      <c r="E26" s="201">
        <v>661592498</v>
      </c>
      <c r="F26" s="263" t="s">
        <v>1867</v>
      </c>
      <c r="G26" s="43" t="s">
        <v>2469</v>
      </c>
      <c r="H26" s="201">
        <v>954641272</v>
      </c>
      <c r="I26" s="263" t="s">
        <v>2470</v>
      </c>
      <c r="J26" s="136">
        <v>46122</v>
      </c>
      <c r="K26" s="136"/>
      <c r="L26" s="136"/>
      <c r="M26" s="136"/>
      <c r="N26" s="127"/>
      <c r="O26" s="128" t="s">
        <v>2428</v>
      </c>
      <c r="P26" s="126" t="s">
        <v>2098</v>
      </c>
      <c r="Q26" s="45"/>
      <c r="R26" s="45"/>
      <c r="S26" s="45"/>
      <c r="T26" s="45"/>
      <c r="U26" s="45"/>
      <c r="V26" s="46">
        <f t="shared" ca="1" si="0"/>
        <v>0</v>
      </c>
      <c r="W26" s="47">
        <f t="shared" ca="1" si="1"/>
        <v>0</v>
      </c>
      <c r="X26" s="47" t="str">
        <f t="shared" ca="1" si="8"/>
        <v xml:space="preserve">PENDIENTE </v>
      </c>
      <c r="Y26" s="47">
        <f t="shared" ca="1" si="2"/>
        <v>0</v>
      </c>
      <c r="Z26" s="227" t="str">
        <f t="shared" ca="1" si="9"/>
        <v xml:space="preserve">PENDIENTE </v>
      </c>
      <c r="AA26" s="210"/>
      <c r="AB26" s="49"/>
      <c r="AC26" s="50"/>
      <c r="AD26" s="51"/>
      <c r="AE26" s="52"/>
      <c r="AF26" s="53"/>
      <c r="AG26" s="53"/>
      <c r="AH26" s="54"/>
      <c r="AI26" s="55"/>
      <c r="AJ26" s="53"/>
      <c r="AK26" s="53"/>
      <c r="AL26" s="53"/>
      <c r="AM26" s="52"/>
      <c r="AN26" s="56"/>
      <c r="AO26" s="277"/>
      <c r="AP26" s="144" t="str">
        <f t="shared" ca="1" si="10"/>
        <v/>
      </c>
      <c r="AQ26" s="141" t="s">
        <v>2381</v>
      </c>
      <c r="AR26" s="141" t="s">
        <v>2374</v>
      </c>
      <c r="AS26" s="57" t="str">
        <f t="shared" si="3"/>
        <v>---</v>
      </c>
      <c r="AT26" s="141" t="str">
        <f t="shared" si="4"/>
        <v xml:space="preserve">PLAN CINCO CCPP (Av de la) Calesera 8 - </v>
      </c>
      <c r="AU26" s="141" t="str">
        <f t="shared" ca="1" si="5"/>
        <v/>
      </c>
      <c r="AV26" s="256" t="str">
        <f t="shared" ca="1" si="6"/>
        <v/>
      </c>
      <c r="AW26" s="256" t="str">
        <f t="shared" si="7"/>
        <v/>
      </c>
      <c r="AX26" s="141" t="s">
        <v>1410</v>
      </c>
      <c r="AY26" s="141"/>
    </row>
    <row r="27" spans="1:51" s="262" customFormat="1" x14ac:dyDescent="0.25">
      <c r="A27" s="60" t="s">
        <v>2165</v>
      </c>
      <c r="B27" s="60" t="s">
        <v>2211</v>
      </c>
      <c r="C27" s="61" t="s">
        <v>2129</v>
      </c>
      <c r="D27" s="43" t="s">
        <v>1815</v>
      </c>
      <c r="E27" s="201">
        <v>605720800</v>
      </c>
      <c r="F27" s="364" t="s">
        <v>1816</v>
      </c>
      <c r="G27" s="203" t="s">
        <v>2156</v>
      </c>
      <c r="H27" s="203" t="s">
        <v>0</v>
      </c>
      <c r="I27" s="122" t="s">
        <v>0</v>
      </c>
      <c r="J27" s="44">
        <v>46070</v>
      </c>
      <c r="K27" s="44">
        <v>46127</v>
      </c>
      <c r="L27" s="44">
        <v>46141</v>
      </c>
      <c r="M27" s="44"/>
      <c r="N27" s="127"/>
      <c r="O27" s="128"/>
      <c r="P27" s="126" t="s">
        <v>2522</v>
      </c>
      <c r="Q27" s="45"/>
      <c r="R27" s="45"/>
      <c r="S27" s="45"/>
      <c r="T27" s="45"/>
      <c r="U27" s="45"/>
      <c r="V27" s="46">
        <f t="shared" ca="1" si="0"/>
        <v>0</v>
      </c>
      <c r="W27" s="47">
        <f t="shared" ca="1" si="1"/>
        <v>0</v>
      </c>
      <c r="X27" s="47" t="str">
        <f t="shared" ca="1" si="8"/>
        <v xml:space="preserve">PENDIENTE </v>
      </c>
      <c r="Y27" s="47">
        <f t="shared" ca="1" si="2"/>
        <v>0</v>
      </c>
      <c r="Z27" s="227" t="str">
        <f t="shared" ca="1" si="9"/>
        <v xml:space="preserve">PENDIENTE </v>
      </c>
      <c r="AA27" s="210"/>
      <c r="AB27" s="49">
        <v>12.1</v>
      </c>
      <c r="AC27" s="50"/>
      <c r="AD27" s="51"/>
      <c r="AE27" s="52">
        <v>12547.35</v>
      </c>
      <c r="AF27" s="53">
        <v>5379.88</v>
      </c>
      <c r="AG27" s="53"/>
      <c r="AH27" s="54">
        <f>2047.9+870</f>
        <v>2917.9</v>
      </c>
      <c r="AI27" s="55"/>
      <c r="AJ27" s="53">
        <f>AE27-AF27-AH27-177</f>
        <v>4072.5699999999997</v>
      </c>
      <c r="AK27" s="53"/>
      <c r="AL27" s="53"/>
      <c r="AM27" s="52"/>
      <c r="AN27" s="56"/>
      <c r="AO27" s="277"/>
      <c r="AP27" s="144" t="str">
        <f t="shared" ca="1" si="10"/>
        <v/>
      </c>
      <c r="AQ27" s="141" t="s">
        <v>2381</v>
      </c>
      <c r="AR27" s="141" t="s">
        <v>2374</v>
      </c>
      <c r="AS27" s="57" t="str">
        <f t="shared" si="3"/>
        <v>03</v>
      </c>
      <c r="AT27" s="141" t="str">
        <f t="shared" si="4"/>
        <v>PLAN CINCO CCPP (Av) Carlos Marx 18, Bloque 3 - Presupuesto pendiente de adjudicación</v>
      </c>
      <c r="AU27" s="141" t="str">
        <f t="shared" ca="1" si="5"/>
        <v>Estimado/a Sr/Sra:
Desde Instalaciones Araujo nos ponemos en contacto con ud, en relación con el Presupuesto de individualización de contadores de agua que le facilitamos el pasado 00/01/1900 para la CCPP (Av) Carlos Marx 18, Bloque 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27" s="256" t="str">
        <f t="shared" ca="1" si="6"/>
        <v>Estimado/a Sr/Sra:
Desde Instalaciones Araujo nos ponemos en contacto con ud, en relación con el Presupuesto de individualización de contadores de agua que le facilitamos el pasado {FECHA_PTO} para la CCPP (Av) Carlos Marx 18, Bloque 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27" s="256" t="str">
        <f t="shared" si="7"/>
        <v>Estimado/a Sr/Sra:
Desde Instalaciones Araujo nos ponemos en contacto con ud, en relación con el Presupuesto de individualización de contadores de agua que le facilitamos el pasado {FECHA_PTO} para la CCPP (Av) Carlos Marx 18, Bloque 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27" s="141" t="s">
        <v>1410</v>
      </c>
      <c r="AY27" s="141"/>
    </row>
    <row r="28" spans="1:51" s="262" customFormat="1" x14ac:dyDescent="0.25">
      <c r="A28" s="60" t="s">
        <v>2162</v>
      </c>
      <c r="B28" s="60" t="s">
        <v>2212</v>
      </c>
      <c r="C28" s="61" t="s">
        <v>2129</v>
      </c>
      <c r="D28" s="43" t="s">
        <v>1818</v>
      </c>
      <c r="E28" s="201">
        <v>954214057</v>
      </c>
      <c r="F28" s="43" t="s">
        <v>1819</v>
      </c>
      <c r="G28" s="43" t="s">
        <v>1820</v>
      </c>
      <c r="H28" s="201">
        <v>669883889</v>
      </c>
      <c r="I28" s="43" t="s">
        <v>0</v>
      </c>
      <c r="J28" s="44">
        <v>45988</v>
      </c>
      <c r="K28" s="44">
        <v>46009</v>
      </c>
      <c r="L28" s="44">
        <v>46011</v>
      </c>
      <c r="M28" s="44"/>
      <c r="N28" s="127">
        <v>46157</v>
      </c>
      <c r="O28" s="128" t="s">
        <v>2103</v>
      </c>
      <c r="P28" s="126" t="s">
        <v>2522</v>
      </c>
      <c r="Q28" s="45"/>
      <c r="R28" s="45"/>
      <c r="S28" s="45"/>
      <c r="T28" s="45"/>
      <c r="U28" s="45"/>
      <c r="V28" s="46">
        <f t="shared" ca="1" si="0"/>
        <v>0</v>
      </c>
      <c r="W28" s="47">
        <f t="shared" ca="1" si="1"/>
        <v>0</v>
      </c>
      <c r="X28" s="47" t="str">
        <f t="shared" ca="1" si="8"/>
        <v xml:space="preserve">PENDIENTE </v>
      </c>
      <c r="Y28" s="47">
        <f t="shared" ca="1" si="2"/>
        <v>0</v>
      </c>
      <c r="Z28" s="227" t="str">
        <f t="shared" ca="1" si="9"/>
        <v xml:space="preserve">PENDIENTE </v>
      </c>
      <c r="AA28" s="48"/>
      <c r="AB28" s="49">
        <v>10</v>
      </c>
      <c r="AC28" s="50"/>
      <c r="AD28" s="51"/>
      <c r="AE28" s="52">
        <v>10850.523667379315</v>
      </c>
      <c r="AF28" s="53">
        <v>4448.8500000000004</v>
      </c>
      <c r="AG28" s="53"/>
      <c r="AH28" s="54">
        <v>3065.3</v>
      </c>
      <c r="AI28" s="55"/>
      <c r="AJ28" s="53">
        <f t="shared" ref="AJ28:AJ36" si="11">AE28-AF28-AH28-150</f>
        <v>3186.3736673793146</v>
      </c>
      <c r="AK28" s="53"/>
      <c r="AL28" s="53"/>
      <c r="AM28" s="52"/>
      <c r="AN28" s="56"/>
      <c r="AO28" s="277"/>
      <c r="AP28" s="144" t="str">
        <f t="shared" ca="1" si="10"/>
        <v/>
      </c>
      <c r="AQ28" s="141" t="s">
        <v>2381</v>
      </c>
      <c r="AR28" s="141" t="s">
        <v>2374</v>
      </c>
      <c r="AS28" s="57" t="str">
        <f t="shared" si="3"/>
        <v>03</v>
      </c>
      <c r="AT28" s="141" t="str">
        <f t="shared" si="4"/>
        <v>PLAN CINCO CCPP (C) Carretera de Carmona 26 - Presupuesto pendiente de adjudicación</v>
      </c>
      <c r="AU28" s="141" t="str">
        <f t="shared" ca="1" si="5"/>
        <v>Estimado/a Sr/Sra:
Desde Instalaciones Araujo nos ponemos en contacto con ud, en relación con el Presupuesto de individualización de contadores de agua que le facilitamos el pasado 00/01/1900 para la CCPP (C) Carretera de Carmona 26.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28" s="256" t="str">
        <f t="shared" ca="1" si="6"/>
        <v>Estimado/a Sr/Sra:
Desde Instalaciones Araujo nos ponemos en contacto con ud, en relación con el Presupuesto de individualización de contadores de agua que le facilitamos el pasado {FECHA_PTO} para la CCPP (C) Carretera de Carmona 26.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28" s="256" t="str">
        <f t="shared" si="7"/>
        <v>Estimado/a Sr/Sra:
Desde Instalaciones Araujo nos ponemos en contacto con ud, en relación con el Presupuesto de individualización de contadores de agua que le facilitamos el pasado {FECHA_PTO} para la CCPP (C) Carretera de Carmona 26.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28" s="141" t="s">
        <v>1410</v>
      </c>
      <c r="AY28" s="141"/>
    </row>
    <row r="29" spans="1:51" s="262" customFormat="1" x14ac:dyDescent="0.25">
      <c r="A29" s="60" t="s">
        <v>2162</v>
      </c>
      <c r="B29" s="60" t="s">
        <v>2208</v>
      </c>
      <c r="C29" s="61" t="s">
        <v>2129</v>
      </c>
      <c r="D29" s="43" t="s">
        <v>1821</v>
      </c>
      <c r="E29" s="201">
        <v>675976129</v>
      </c>
      <c r="F29" s="43" t="s">
        <v>1822</v>
      </c>
      <c r="G29" s="203" t="s">
        <v>2156</v>
      </c>
      <c r="H29" s="203" t="s">
        <v>0</v>
      </c>
      <c r="I29" s="122" t="s">
        <v>0</v>
      </c>
      <c r="J29" s="44">
        <v>45833</v>
      </c>
      <c r="K29" s="44">
        <v>45861</v>
      </c>
      <c r="L29" s="44">
        <v>45863</v>
      </c>
      <c r="M29" s="44"/>
      <c r="N29" s="127" t="s">
        <v>0</v>
      </c>
      <c r="O29" s="128" t="s">
        <v>2105</v>
      </c>
      <c r="P29" s="126" t="s">
        <v>2107</v>
      </c>
      <c r="Q29" s="45"/>
      <c r="R29" s="45"/>
      <c r="S29" s="45"/>
      <c r="T29" s="45"/>
      <c r="U29" s="45"/>
      <c r="V29" s="46">
        <f t="shared" ca="1" si="0"/>
        <v>0</v>
      </c>
      <c r="W29" s="47">
        <f t="shared" ca="1" si="1"/>
        <v>0</v>
      </c>
      <c r="X29" s="47" t="str">
        <f t="shared" ca="1" si="8"/>
        <v xml:space="preserve">PENDIENTE </v>
      </c>
      <c r="Y29" s="47">
        <f t="shared" ca="1" si="2"/>
        <v>0</v>
      </c>
      <c r="Z29" s="227" t="str">
        <f t="shared" ca="1" si="9"/>
        <v xml:space="preserve">PENDIENTE </v>
      </c>
      <c r="AA29" s="48"/>
      <c r="AB29" s="49">
        <v>7.4</v>
      </c>
      <c r="AC29" s="50"/>
      <c r="AD29" s="51"/>
      <c r="AE29" s="52">
        <v>7761.6219366171463</v>
      </c>
      <c r="AF29" s="53">
        <v>3317.125</v>
      </c>
      <c r="AG29" s="53"/>
      <c r="AH29" s="54">
        <v>1841.88</v>
      </c>
      <c r="AI29" s="55"/>
      <c r="AJ29" s="53">
        <f t="shared" si="11"/>
        <v>2452.6169366171462</v>
      </c>
      <c r="AK29" s="53"/>
      <c r="AL29" s="53"/>
      <c r="AM29" s="52"/>
      <c r="AN29" s="56"/>
      <c r="AO29" s="277"/>
      <c r="AP29" s="144" t="str">
        <f t="shared" ca="1" si="10"/>
        <v/>
      </c>
      <c r="AQ29" s="141" t="s">
        <v>2381</v>
      </c>
      <c r="AR29" s="141" t="s">
        <v>2374</v>
      </c>
      <c r="AS29" s="57" t="str">
        <f t="shared" si="3"/>
        <v>---</v>
      </c>
      <c r="AT29" s="141" t="str">
        <f t="shared" si="4"/>
        <v xml:space="preserve">PLAN CINCO CCPP (C) Chaves Rey 5 - </v>
      </c>
      <c r="AU29" s="141" t="str">
        <f t="shared" ca="1" si="5"/>
        <v/>
      </c>
      <c r="AV29" s="256" t="str">
        <f t="shared" ca="1" si="6"/>
        <v/>
      </c>
      <c r="AW29" s="256" t="str">
        <f t="shared" si="7"/>
        <v/>
      </c>
      <c r="AX29" s="141" t="s">
        <v>1410</v>
      </c>
      <c r="AY29" s="141"/>
    </row>
    <row r="30" spans="1:51" s="262" customFormat="1" x14ac:dyDescent="0.25">
      <c r="A30" s="64" t="s">
        <v>2162</v>
      </c>
      <c r="B30" s="64" t="s">
        <v>2209</v>
      </c>
      <c r="C30" s="61" t="s">
        <v>2129</v>
      </c>
      <c r="D30" s="43" t="s">
        <v>1823</v>
      </c>
      <c r="E30" s="201">
        <v>649022015</v>
      </c>
      <c r="F30" s="263" t="s">
        <v>1824</v>
      </c>
      <c r="G30" s="203" t="s">
        <v>2156</v>
      </c>
      <c r="H30" s="203" t="s">
        <v>0</v>
      </c>
      <c r="I30" s="122" t="s">
        <v>0</v>
      </c>
      <c r="J30" s="44">
        <v>45722</v>
      </c>
      <c r="K30" s="44">
        <v>45874</v>
      </c>
      <c r="L30" s="44">
        <v>45876</v>
      </c>
      <c r="M30" s="44"/>
      <c r="N30" s="127" t="s">
        <v>0</v>
      </c>
      <c r="O30" s="128" t="s">
        <v>2105</v>
      </c>
      <c r="P30" s="126" t="s">
        <v>2107</v>
      </c>
      <c r="Q30" s="65"/>
      <c r="R30" s="65"/>
      <c r="S30" s="65"/>
      <c r="T30" s="65"/>
      <c r="U30" s="65"/>
      <c r="V30" s="46">
        <f t="shared" ca="1" si="0"/>
        <v>0</v>
      </c>
      <c r="W30" s="47">
        <f t="shared" ca="1" si="1"/>
        <v>0</v>
      </c>
      <c r="X30" s="47" t="str">
        <f t="shared" ca="1" si="8"/>
        <v xml:space="preserve">PENDIENTE </v>
      </c>
      <c r="Y30" s="47">
        <f t="shared" ca="1" si="2"/>
        <v>0</v>
      </c>
      <c r="Z30" s="227" t="str">
        <f t="shared" ca="1" si="9"/>
        <v xml:space="preserve">PENDIENTE </v>
      </c>
      <c r="AA30" s="66"/>
      <c r="AB30" s="67">
        <v>6.5</v>
      </c>
      <c r="AC30" s="68"/>
      <c r="AD30" s="69"/>
      <c r="AE30" s="70">
        <v>7875.6141811076159</v>
      </c>
      <c r="AF30" s="71">
        <v>2887.85</v>
      </c>
      <c r="AG30" s="71"/>
      <c r="AH30" s="72">
        <v>2129.59</v>
      </c>
      <c r="AI30" s="73"/>
      <c r="AJ30" s="71">
        <f t="shared" si="11"/>
        <v>2708.1741811076154</v>
      </c>
      <c r="AK30" s="71"/>
      <c r="AL30" s="71"/>
      <c r="AM30" s="70"/>
      <c r="AN30" s="74"/>
      <c r="AO30" s="278"/>
      <c r="AP30" s="144" t="str">
        <f t="shared" ca="1" si="10"/>
        <v/>
      </c>
      <c r="AQ30" s="142" t="s">
        <v>2381</v>
      </c>
      <c r="AR30" s="142" t="s">
        <v>2374</v>
      </c>
      <c r="AS30" s="57" t="str">
        <f t="shared" si="3"/>
        <v>---</v>
      </c>
      <c r="AT30" s="141" t="str">
        <f t="shared" si="4"/>
        <v xml:space="preserve">PLAN CINCO CCPP (C) Chicuelo II 1 - </v>
      </c>
      <c r="AU30" s="141" t="str">
        <f t="shared" ca="1" si="5"/>
        <v/>
      </c>
      <c r="AV30" s="257" t="str">
        <f t="shared" ca="1" si="6"/>
        <v/>
      </c>
      <c r="AW30" s="257" t="str">
        <f t="shared" si="7"/>
        <v/>
      </c>
      <c r="AX30" s="141" t="s">
        <v>1410</v>
      </c>
      <c r="AY30" s="142"/>
    </row>
    <row r="31" spans="1:51" s="262" customFormat="1" x14ac:dyDescent="0.25">
      <c r="A31" s="64" t="s">
        <v>2162</v>
      </c>
      <c r="B31" s="64" t="s">
        <v>2210</v>
      </c>
      <c r="C31" s="61" t="s">
        <v>2129</v>
      </c>
      <c r="D31" s="43" t="s">
        <v>1825</v>
      </c>
      <c r="E31" s="201">
        <v>676059612</v>
      </c>
      <c r="F31" s="43" t="s">
        <v>1826</v>
      </c>
      <c r="G31" s="43" t="s">
        <v>1827</v>
      </c>
      <c r="H31" s="201">
        <v>607873290</v>
      </c>
      <c r="I31" s="43" t="s">
        <v>0</v>
      </c>
      <c r="J31" s="44">
        <v>45734</v>
      </c>
      <c r="K31" s="44">
        <v>45736</v>
      </c>
      <c r="L31" s="44">
        <v>45818</v>
      </c>
      <c r="M31" s="44"/>
      <c r="N31" s="127" t="s">
        <v>0</v>
      </c>
      <c r="O31" s="128" t="s">
        <v>2105</v>
      </c>
      <c r="P31" s="126" t="s">
        <v>2107</v>
      </c>
      <c r="Q31" s="65"/>
      <c r="R31" s="65"/>
      <c r="S31" s="65"/>
      <c r="T31" s="65"/>
      <c r="U31" s="65"/>
      <c r="V31" s="46">
        <f t="shared" ca="1" si="0"/>
        <v>0</v>
      </c>
      <c r="W31" s="47">
        <f t="shared" ca="1" si="1"/>
        <v>0</v>
      </c>
      <c r="X31" s="47" t="str">
        <f t="shared" ca="1" si="8"/>
        <v xml:space="preserve">PENDIENTE </v>
      </c>
      <c r="Y31" s="47">
        <f t="shared" ca="1" si="2"/>
        <v>0</v>
      </c>
      <c r="Z31" s="227" t="str">
        <f t="shared" ca="1" si="9"/>
        <v xml:space="preserve">PENDIENTE </v>
      </c>
      <c r="AA31" s="66"/>
      <c r="AB31" s="67">
        <v>15.1</v>
      </c>
      <c r="AC31" s="68"/>
      <c r="AD31" s="69"/>
      <c r="AE31" s="70">
        <v>16158.76295031992</v>
      </c>
      <c r="AF31" s="71">
        <v>6745.75</v>
      </c>
      <c r="AG31" s="71"/>
      <c r="AH31" s="72">
        <v>4747.29</v>
      </c>
      <c r="AI31" s="73"/>
      <c r="AJ31" s="71">
        <f t="shared" si="11"/>
        <v>4515.7229503199205</v>
      </c>
      <c r="AK31" s="71"/>
      <c r="AL31" s="71"/>
      <c r="AM31" s="70"/>
      <c r="AN31" s="74"/>
      <c r="AO31" s="278"/>
      <c r="AP31" s="144" t="str">
        <f t="shared" ca="1" si="10"/>
        <v/>
      </c>
      <c r="AQ31" s="142" t="s">
        <v>2381</v>
      </c>
      <c r="AR31" s="142" t="s">
        <v>2374</v>
      </c>
      <c r="AS31" s="57" t="str">
        <f t="shared" si="3"/>
        <v>---</v>
      </c>
      <c r="AT31" s="141" t="str">
        <f t="shared" si="4"/>
        <v xml:space="preserve">PLAN CINCO CCPP (C) Ciudad de Alfafar 2A - </v>
      </c>
      <c r="AU31" s="141" t="str">
        <f t="shared" ca="1" si="5"/>
        <v/>
      </c>
      <c r="AV31" s="257" t="str">
        <f t="shared" ca="1" si="6"/>
        <v/>
      </c>
      <c r="AW31" s="257" t="str">
        <f t="shared" si="7"/>
        <v/>
      </c>
      <c r="AX31" s="141" t="s">
        <v>1410</v>
      </c>
      <c r="AY31" s="142"/>
    </row>
    <row r="32" spans="1:51" s="262" customFormat="1" x14ac:dyDescent="0.25">
      <c r="A32" s="64" t="s">
        <v>2162</v>
      </c>
      <c r="B32" s="64" t="s">
        <v>2213</v>
      </c>
      <c r="C32" s="61" t="s">
        <v>2129</v>
      </c>
      <c r="D32" s="43" t="s">
        <v>1828</v>
      </c>
      <c r="E32" s="201">
        <v>722604350</v>
      </c>
      <c r="F32" s="43" t="s">
        <v>1829</v>
      </c>
      <c r="G32" s="43" t="s">
        <v>1830</v>
      </c>
      <c r="H32" s="201">
        <v>699329798</v>
      </c>
      <c r="I32" s="43" t="s">
        <v>0</v>
      </c>
      <c r="J32" s="44">
        <v>45806</v>
      </c>
      <c r="K32" s="44">
        <v>45812</v>
      </c>
      <c r="L32" s="44">
        <v>45819</v>
      </c>
      <c r="M32" s="44"/>
      <c r="N32" s="127">
        <v>46157</v>
      </c>
      <c r="O32" s="128" t="s">
        <v>2108</v>
      </c>
      <c r="P32" s="126" t="s">
        <v>2522</v>
      </c>
      <c r="Q32" s="65"/>
      <c r="R32" s="65"/>
      <c r="S32" s="65"/>
      <c r="T32" s="65"/>
      <c r="U32" s="65"/>
      <c r="V32" s="46">
        <f t="shared" ca="1" si="0"/>
        <v>0</v>
      </c>
      <c r="W32" s="47">
        <f t="shared" ca="1" si="1"/>
        <v>0</v>
      </c>
      <c r="X32" s="47" t="str">
        <f t="shared" ca="1" si="8"/>
        <v xml:space="preserve">PENDIENTE </v>
      </c>
      <c r="Y32" s="47">
        <f t="shared" ca="1" si="2"/>
        <v>0</v>
      </c>
      <c r="Z32" s="227" t="str">
        <f t="shared" ca="1" si="9"/>
        <v xml:space="preserve">PENDIENTE </v>
      </c>
      <c r="AA32" s="66"/>
      <c r="AB32" s="67">
        <v>19.399999999999999</v>
      </c>
      <c r="AC32" s="68"/>
      <c r="AD32" s="69"/>
      <c r="AE32" s="70">
        <v>22582.081533188109</v>
      </c>
      <c r="AF32" s="71">
        <v>8669.125</v>
      </c>
      <c r="AG32" s="71"/>
      <c r="AH32" s="72">
        <v>5583.72</v>
      </c>
      <c r="AI32" s="73"/>
      <c r="AJ32" s="71">
        <f t="shared" si="11"/>
        <v>8179.2365331881083</v>
      </c>
      <c r="AK32" s="71"/>
      <c r="AL32" s="71"/>
      <c r="AM32" s="70"/>
      <c r="AN32" s="74"/>
      <c r="AO32" s="278"/>
      <c r="AP32" s="144" t="str">
        <f t="shared" ca="1" si="10"/>
        <v/>
      </c>
      <c r="AQ32" s="142" t="s">
        <v>2381</v>
      </c>
      <c r="AR32" s="142" t="s">
        <v>2374</v>
      </c>
      <c r="AS32" s="57" t="str">
        <f t="shared" si="3"/>
        <v>03</v>
      </c>
      <c r="AT32" s="141" t="str">
        <f t="shared" si="4"/>
        <v>PLAN CINCO CCPP (C) Ciudad de Ayora 6 - Presupuesto pendiente de adjudicación</v>
      </c>
      <c r="AU32" s="141" t="str">
        <f t="shared" ca="1" si="5"/>
        <v>Estimado/a Sr/Sra:
Desde Instalaciones Araujo nos ponemos en contacto con ud, en relación con el Presupuesto de individualización de contadores de agua que le facilitamos el pasado 00/01/1900 para la CCPP (C) Ciudad de Ayora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32" s="257" t="str">
        <f t="shared" ca="1" si="6"/>
        <v>Estimado/a Sr/Sra:
Desde Instalaciones Araujo nos ponemos en contacto con ud, en relación con el Presupuesto de individualización de contadores de agua que le facilitamos el pasado {FECHA_PTO} para la CCPP (C) Ciudad de Ayora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32" s="257" t="str">
        <f t="shared" si="7"/>
        <v>Estimado/a Sr/Sra:
Desde Instalaciones Araujo nos ponemos en contacto con ud, en relación con el Presupuesto de individualización de contadores de agua que le facilitamos el pasado {FECHA_PTO} para la CCPP (C) Ciudad de Ayora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32" s="141" t="s">
        <v>1410</v>
      </c>
      <c r="AY32" s="142"/>
    </row>
    <row r="33" spans="1:51" s="262" customFormat="1" x14ac:dyDescent="0.25">
      <c r="A33" s="75" t="s">
        <v>2162</v>
      </c>
      <c r="B33" s="75" t="s">
        <v>2214</v>
      </c>
      <c r="C33" s="61" t="s">
        <v>2129</v>
      </c>
      <c r="D33" s="43" t="s">
        <v>1828</v>
      </c>
      <c r="E33" s="201">
        <v>722604350</v>
      </c>
      <c r="F33" s="43" t="s">
        <v>1829</v>
      </c>
      <c r="G33" s="43" t="s">
        <v>1831</v>
      </c>
      <c r="H33" s="201">
        <v>661256127</v>
      </c>
      <c r="I33" s="43" t="s">
        <v>1832</v>
      </c>
      <c r="J33" s="44">
        <v>45901</v>
      </c>
      <c r="K33" s="44">
        <v>45965</v>
      </c>
      <c r="L33" s="44">
        <v>45973</v>
      </c>
      <c r="M33" s="44"/>
      <c r="N33" s="127" t="s">
        <v>0</v>
      </c>
      <c r="O33" s="128" t="s">
        <v>2158</v>
      </c>
      <c r="P33" s="129" t="s">
        <v>2528</v>
      </c>
      <c r="Q33" s="65">
        <v>46032</v>
      </c>
      <c r="R33" s="65">
        <v>46097</v>
      </c>
      <c r="S33" s="65">
        <v>46128</v>
      </c>
      <c r="T33" s="65" t="s">
        <v>609</v>
      </c>
      <c r="U33" s="65"/>
      <c r="V33" s="46" t="str">
        <f t="shared" ca="1" si="0"/>
        <v>OK</v>
      </c>
      <c r="W33" s="47">
        <f t="shared" ca="1" si="1"/>
        <v>1</v>
      </c>
      <c r="X33" s="47" t="str">
        <f t="shared" ca="1" si="8"/>
        <v>COMPLETO</v>
      </c>
      <c r="Y33" s="47">
        <f t="shared" ca="1" si="2"/>
        <v>1</v>
      </c>
      <c r="Z33" s="227" t="str">
        <f t="shared" ca="1" si="9"/>
        <v>COMPLETO</v>
      </c>
      <c r="AA33" s="66" t="s">
        <v>53</v>
      </c>
      <c r="AB33" s="67">
        <v>22.3</v>
      </c>
      <c r="AC33" s="68">
        <f>AB33</f>
        <v>22.3</v>
      </c>
      <c r="AD33" s="78">
        <f>1-(AC33/AB33)</f>
        <v>0</v>
      </c>
      <c r="AE33" s="70">
        <v>28524.76</v>
      </c>
      <c r="AF33" s="71">
        <v>9923.5</v>
      </c>
      <c r="AG33" s="71">
        <f>AF33</f>
        <v>9923.5</v>
      </c>
      <c r="AH33" s="72">
        <v>9077.2999999999993</v>
      </c>
      <c r="AI33" s="73">
        <f>AH33</f>
        <v>9077.2999999999993</v>
      </c>
      <c r="AJ33" s="80">
        <f t="shared" si="11"/>
        <v>9373.9599999999991</v>
      </c>
      <c r="AK33" s="80">
        <f>AE33-AG33-AI33</f>
        <v>9523.9599999999991</v>
      </c>
      <c r="AL33" s="80">
        <f>AK33-AJ33</f>
        <v>150</v>
      </c>
      <c r="AM33" s="79">
        <f>AK33*0.2</f>
        <v>1904.7919999999999</v>
      </c>
      <c r="AN33" s="74"/>
      <c r="AO33" s="278"/>
      <c r="AP33" s="144" t="str">
        <f t="shared" ca="1" si="10"/>
        <v/>
      </c>
      <c r="AQ33" s="142" t="s">
        <v>2381</v>
      </c>
      <c r="AR33" s="142" t="s">
        <v>2374</v>
      </c>
      <c r="AS33" s="57" t="str">
        <f t="shared" si="3"/>
        <v>---</v>
      </c>
      <c r="AT33" s="141" t="str">
        <f t="shared" si="4"/>
        <v xml:space="preserve">PLAN CINCO CCPP (C) Ciudad de Carcagente 2 - </v>
      </c>
      <c r="AU33" s="141" t="str">
        <f t="shared" ca="1" si="5"/>
        <v/>
      </c>
      <c r="AV33" s="257" t="str">
        <f t="shared" ca="1" si="6"/>
        <v/>
      </c>
      <c r="AW33" s="257" t="str">
        <f t="shared" si="7"/>
        <v/>
      </c>
      <c r="AX33" s="141" t="s">
        <v>1410</v>
      </c>
      <c r="AY33" s="142"/>
    </row>
    <row r="34" spans="1:51" s="262" customFormat="1" x14ac:dyDescent="0.25">
      <c r="A34" s="64" t="s">
        <v>2165</v>
      </c>
      <c r="B34" s="64" t="s">
        <v>2216</v>
      </c>
      <c r="C34" s="61" t="s">
        <v>2129</v>
      </c>
      <c r="D34" s="43" t="s">
        <v>1835</v>
      </c>
      <c r="E34" s="201" t="s">
        <v>1836</v>
      </c>
      <c r="F34" s="43" t="s">
        <v>1837</v>
      </c>
      <c r="G34" s="43" t="s">
        <v>1838</v>
      </c>
      <c r="H34" s="201">
        <v>652818500</v>
      </c>
      <c r="I34" s="43" t="s">
        <v>1834</v>
      </c>
      <c r="J34" s="44">
        <v>45652</v>
      </c>
      <c r="K34" s="44">
        <v>45874</v>
      </c>
      <c r="L34" s="44">
        <v>45874</v>
      </c>
      <c r="M34" s="44"/>
      <c r="N34" s="127">
        <v>46157</v>
      </c>
      <c r="O34" s="128" t="s">
        <v>2103</v>
      </c>
      <c r="P34" s="126" t="s">
        <v>2522</v>
      </c>
      <c r="Q34" s="65"/>
      <c r="R34" s="65"/>
      <c r="S34" s="65"/>
      <c r="T34" s="65"/>
      <c r="U34" s="65"/>
      <c r="V34" s="46">
        <f t="shared" ca="1" si="0"/>
        <v>0</v>
      </c>
      <c r="W34" s="47">
        <f t="shared" ca="1" si="1"/>
        <v>0</v>
      </c>
      <c r="X34" s="47" t="str">
        <f t="shared" ca="1" si="8"/>
        <v xml:space="preserve">PENDIENTE </v>
      </c>
      <c r="Y34" s="47">
        <f t="shared" ca="1" si="2"/>
        <v>0</v>
      </c>
      <c r="Z34" s="227" t="str">
        <f t="shared" ca="1" si="9"/>
        <v xml:space="preserve">PENDIENTE </v>
      </c>
      <c r="AA34" s="66"/>
      <c r="AB34" s="67">
        <v>11.4</v>
      </c>
      <c r="AC34" s="68"/>
      <c r="AD34" s="69"/>
      <c r="AE34" s="70">
        <v>12768.990852351624</v>
      </c>
      <c r="AF34" s="71">
        <v>5073.25</v>
      </c>
      <c r="AG34" s="71"/>
      <c r="AH34" s="72">
        <v>3172.71</v>
      </c>
      <c r="AI34" s="73"/>
      <c r="AJ34" s="71">
        <f t="shared" si="11"/>
        <v>4373.0308523516242</v>
      </c>
      <c r="AK34" s="71"/>
      <c r="AL34" s="71"/>
      <c r="AM34" s="70"/>
      <c r="AN34" s="74"/>
      <c r="AO34" s="278"/>
      <c r="AP34" s="144" t="str">
        <f t="shared" ca="1" si="10"/>
        <v/>
      </c>
      <c r="AQ34" s="142" t="s">
        <v>2381</v>
      </c>
      <c r="AR34" s="142" t="s">
        <v>2374</v>
      </c>
      <c r="AS34" s="57" t="str">
        <f t="shared" si="3"/>
        <v>03</v>
      </c>
      <c r="AT34" s="141" t="str">
        <f t="shared" si="4"/>
        <v>PLAN CINCO CCPP (Av) Ciudad de Chiva 16 - Presupuesto pendiente de adjudicación</v>
      </c>
      <c r="AU34" s="141" t="str">
        <f t="shared" ca="1" si="5"/>
        <v>Estimado/a Sr/Sra:
Desde Instalaciones Araujo nos ponemos en contacto con ud, en relación con el Presupuesto de individualización de contadores de agua que le facilitamos el pasado 00/01/1900 para la CCPP (Av) Ciudad de Chiva 16.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34" s="257" t="str">
        <f t="shared" ca="1" si="6"/>
        <v>Estimado/a Sr/Sra:
Desde Instalaciones Araujo nos ponemos en contacto con ud, en relación con el Presupuesto de individualización de contadores de agua que le facilitamos el pasado {FECHA_PTO} para la CCPP (Av) Ciudad de Chiva 16.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34" s="257" t="str">
        <f t="shared" si="7"/>
        <v>Estimado/a Sr/Sra:
Desde Instalaciones Araujo nos ponemos en contacto con ud, en relación con el Presupuesto de individualización de contadores de agua que le facilitamos el pasado {FECHA_PTO} para la CCPP (Av) Ciudad de Chiva 16.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34" s="141" t="s">
        <v>1410</v>
      </c>
      <c r="AY34" s="142"/>
    </row>
    <row r="35" spans="1:51" s="262" customFormat="1" x14ac:dyDescent="0.25">
      <c r="A35" s="75" t="s">
        <v>2165</v>
      </c>
      <c r="B35" s="75" t="s">
        <v>2217</v>
      </c>
      <c r="C35" s="42" t="s">
        <v>2129</v>
      </c>
      <c r="D35" s="43" t="s">
        <v>241</v>
      </c>
      <c r="E35" s="201">
        <v>637377199</v>
      </c>
      <c r="F35" s="43" t="s">
        <v>1839</v>
      </c>
      <c r="G35" s="43" t="s">
        <v>1840</v>
      </c>
      <c r="H35" s="201" t="s">
        <v>0</v>
      </c>
      <c r="I35" s="43" t="s">
        <v>0</v>
      </c>
      <c r="J35" s="44">
        <v>45790</v>
      </c>
      <c r="K35" s="44">
        <v>45812</v>
      </c>
      <c r="L35" s="44">
        <v>45819</v>
      </c>
      <c r="M35" s="44"/>
      <c r="N35" s="127">
        <v>46129</v>
      </c>
      <c r="O35" s="199" t="s">
        <v>2461</v>
      </c>
      <c r="P35" s="129" t="s">
        <v>2525</v>
      </c>
      <c r="Q35" s="65">
        <v>45946</v>
      </c>
      <c r="R35" s="65">
        <v>46024</v>
      </c>
      <c r="S35" s="65">
        <v>46056</v>
      </c>
      <c r="T35" s="65">
        <v>46083</v>
      </c>
      <c r="U35" s="65" t="s">
        <v>609</v>
      </c>
      <c r="V35" s="46" t="str">
        <f t="shared" ca="1" si="0"/>
        <v>OK</v>
      </c>
      <c r="W35" s="47">
        <f t="shared" ca="1" si="1"/>
        <v>0.5</v>
      </c>
      <c r="X35" s="47" t="str">
        <f t="shared" ca="1" si="8"/>
        <v>PENDIENTE -JUSTIFICANTE PAGO</v>
      </c>
      <c r="Y35" s="47">
        <f t="shared" ca="1" si="2"/>
        <v>0.91666666666666663</v>
      </c>
      <c r="Z35" s="227" t="str">
        <f t="shared" ca="1" si="9"/>
        <v>PENDIENTE -(1-7)-(4-18)</v>
      </c>
      <c r="AA35" s="66" t="s">
        <v>53</v>
      </c>
      <c r="AB35" s="67">
        <v>21.7</v>
      </c>
      <c r="AC35" s="68">
        <f>AB35</f>
        <v>21.7</v>
      </c>
      <c r="AD35" s="78">
        <f>1-(AC35/AB35)</f>
        <v>0</v>
      </c>
      <c r="AE35" s="70">
        <v>27447.84</v>
      </c>
      <c r="AF35" s="71">
        <v>9672.6299999999992</v>
      </c>
      <c r="AG35" s="71">
        <f>AF35</f>
        <v>9672.6299999999992</v>
      </c>
      <c r="AH35" s="72">
        <v>8477.02</v>
      </c>
      <c r="AI35" s="73">
        <f>AH35</f>
        <v>8477.02</v>
      </c>
      <c r="AJ35" s="80">
        <f t="shared" si="11"/>
        <v>9148.1899999999987</v>
      </c>
      <c r="AK35" s="80">
        <f>AE35-AG35-AI35</f>
        <v>9298.1899999999987</v>
      </c>
      <c r="AL35" s="80">
        <f>AK35-AJ35</f>
        <v>150</v>
      </c>
      <c r="AM35" s="79">
        <f>AK35*0.2</f>
        <v>1859.6379999999999</v>
      </c>
      <c r="AN35" s="74"/>
      <c r="AO35" s="278"/>
      <c r="AP35" s="144" t="str">
        <f t="shared" ca="1" si="10"/>
        <v>SI</v>
      </c>
      <c r="AQ35" s="142" t="s">
        <v>2381</v>
      </c>
      <c r="AR35" s="142" t="s">
        <v>2374</v>
      </c>
      <c r="AS35" s="57" t="str">
        <f t="shared" si="3"/>
        <v>08</v>
      </c>
      <c r="AT35" s="141" t="str">
        <f t="shared" si="4"/>
        <v>PLAN CINCO CCPP (Av) Ciudad de Chiva 7 - Proceso de Contratos y Cartas de pago</v>
      </c>
      <c r="AU35" s="141" t="str">
        <f t="shared" ca="1" si="5"/>
        <v>Estimado/a Sr/Sra:
Nos ponemos en contacto desde Instalaciones Araujo, la empresa encargada para la individualización de contadores de agua en la CCPP (Av) Ciudad de Chiva 7, agradeciéndole la confianza depositada en nosotros.
Le comunicamos que con fecha 02/03/2026 remitimos instrucciones (para su traslado a los vecinos) con los Contratos y Pagos necesarios para terminar la tramitación del expediente con EMASESA.
Para su conocimiento, le informamos que, hasta la fecha, hemos recibido el {92%} de la documentación.
DOCUMENTACION DE LA CCPP:  PENDIENTE -JUSTIFICANTE PAGO
DOCUMENTACION DE LAS VIVIENDAS: PENDIENTE -(1-7)-(4-18)
Le mantendremos informado, rogándole que igualmente informe de este particular a los propietarios con la fecha limite de envío 12/03/2026.
Comunicación confidencial conforme al RGPD y la LOPDGDD, en el marco del contrato suscrito con la CCPP.
***ROGAMOS CONFIRMACION DE RECEPCION***
Quedamos a su disposición para resolver cualquier duda
Atentamente, Instalaciones Araujo</v>
      </c>
      <c r="AV35" s="257" t="str">
        <f t="shared" ca="1" si="6"/>
        <v>Estimado/a Sr/Sra:
Nos ponemos en contacto desde Instalaciones Araujo, la empresa encargada para la individualización de contadores de agua en la CCPP (Av) Ciudad de Chiva 7, agradeciéndole la confianza depositada en nosotros.
Le comunicamos que con fecha 02/03/2026 remitimos instrucciones (para su traslado a los vecinos) con los Contratos y Pagos necesarios para terminar la tramitación del expediente con EMASESA.
Para su conocimiento, le informamos que, hasta la fecha, hemos recibido el {92%} de la documentación.
DOCUMENTACION DE LA CCPP:  {DOC_CCPP}
DOCUMENTACION DE LAS VIVIENDAS: {DOC_PISOS}
Le mantendremos informado, rogándole que igualmente informe de este particular a los propietarios con la fecha limite de envío 12/03/2026.
Comunicación confidencial conforme al RGPD y la LOPDGDD, en el marco del contrato suscrito con la CCPP.
***ROGAMOS CONFIRMACION DE RECEPCION***
Quedamos a su disposición para resolver cualquier duda
Atentamente, Instalaciones Araujo</v>
      </c>
      <c r="AW35" s="257" t="str">
        <f t="shared" si="7"/>
        <v>Estimado/a Sr/Sra:
Nos ponemos en contacto desde Instalaciones Araujo, la empresa encargada para la individualización de contadores de agua en la CCPP (Av) Ciudad de Chiva 7, agradeciéndole la confianza depositada en nosotros.
Le comunicamos que con fecha {FECHA_ENVIO_CYCP} remitimos instrucciones (para su traslado a los vecinos) con los Contratos y Pagos necesarios para terminar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{FECHA+10}.
Comunicación confidencial conforme al RGPD y la LOPDGDD, en el marco del contrato suscrito con la CCPP.
***ROGAMOS CONFIRMACION DE RECEPCION***
Quedamos a su disposición para resolver cualquier duda
Atentamente, Instalaciones Araujo</v>
      </c>
      <c r="AX35" s="141" t="s">
        <v>1410</v>
      </c>
      <c r="AY35" s="142"/>
    </row>
    <row r="36" spans="1:51" s="262" customFormat="1" x14ac:dyDescent="0.25">
      <c r="A36" s="64" t="s">
        <v>2163</v>
      </c>
      <c r="B36" s="64" t="s">
        <v>2215</v>
      </c>
      <c r="C36" s="61" t="s">
        <v>2129</v>
      </c>
      <c r="D36" s="43" t="s">
        <v>1841</v>
      </c>
      <c r="E36" s="201">
        <v>606082806</v>
      </c>
      <c r="F36" s="43" t="s">
        <v>1842</v>
      </c>
      <c r="G36" s="203" t="s">
        <v>2156</v>
      </c>
      <c r="H36" s="203" t="s">
        <v>0</v>
      </c>
      <c r="I36" s="122" t="s">
        <v>0</v>
      </c>
      <c r="J36" s="44">
        <v>45916</v>
      </c>
      <c r="K36" s="44">
        <v>45965</v>
      </c>
      <c r="L36" s="44">
        <v>45973</v>
      </c>
      <c r="M36" s="44"/>
      <c r="N36" s="127" t="s">
        <v>0</v>
      </c>
      <c r="O36" s="128" t="s">
        <v>2105</v>
      </c>
      <c r="P36" s="129" t="s">
        <v>2107</v>
      </c>
      <c r="Q36" s="65"/>
      <c r="R36" s="65"/>
      <c r="S36" s="65"/>
      <c r="T36" s="65"/>
      <c r="U36" s="65"/>
      <c r="V36" s="46">
        <f t="shared" ca="1" si="0"/>
        <v>0</v>
      </c>
      <c r="W36" s="47">
        <f t="shared" ca="1" si="1"/>
        <v>0</v>
      </c>
      <c r="X36" s="47" t="str">
        <f t="shared" ca="1" si="8"/>
        <v xml:space="preserve">PENDIENTE </v>
      </c>
      <c r="Y36" s="47">
        <f t="shared" ca="1" si="2"/>
        <v>0</v>
      </c>
      <c r="Z36" s="227" t="str">
        <f t="shared" ca="1" si="9"/>
        <v xml:space="preserve">PENDIENTE </v>
      </c>
      <c r="AA36" s="66"/>
      <c r="AB36" s="67">
        <v>18</v>
      </c>
      <c r="AC36" s="68"/>
      <c r="AD36" s="69"/>
      <c r="AE36" s="70">
        <v>17514.568281776759</v>
      </c>
      <c r="AF36" s="71">
        <v>8044.7250000000004</v>
      </c>
      <c r="AG36" s="71"/>
      <c r="AH36" s="72">
        <v>3977.09</v>
      </c>
      <c r="AI36" s="73"/>
      <c r="AJ36" s="71">
        <f t="shared" si="11"/>
        <v>5342.7532817767587</v>
      </c>
      <c r="AK36" s="71"/>
      <c r="AL36" s="71"/>
      <c r="AM36" s="70"/>
      <c r="AN36" s="74"/>
      <c r="AO36" s="278"/>
      <c r="AP36" s="144" t="str">
        <f t="shared" ca="1" si="10"/>
        <v/>
      </c>
      <c r="AQ36" s="142" t="s">
        <v>2381</v>
      </c>
      <c r="AR36" s="142" t="s">
        <v>2374</v>
      </c>
      <c r="AS36" s="57" t="str">
        <f t="shared" si="3"/>
        <v>---</v>
      </c>
      <c r="AT36" s="141" t="str">
        <f t="shared" si="4"/>
        <v xml:space="preserve">PLAN CINCO CCPP (Pz) Collao 4 - </v>
      </c>
      <c r="AU36" s="141" t="str">
        <f t="shared" ca="1" si="5"/>
        <v/>
      </c>
      <c r="AV36" s="257" t="str">
        <f t="shared" ca="1" si="6"/>
        <v/>
      </c>
      <c r="AW36" s="257" t="str">
        <f t="shared" si="7"/>
        <v/>
      </c>
      <c r="AX36" s="141" t="s">
        <v>1410</v>
      </c>
      <c r="AY36" s="142"/>
    </row>
    <row r="37" spans="1:51" s="262" customFormat="1" x14ac:dyDescent="0.25">
      <c r="A37" s="64" t="s">
        <v>2162</v>
      </c>
      <c r="B37" s="64" t="s">
        <v>2218</v>
      </c>
      <c r="C37" s="61" t="s">
        <v>2129</v>
      </c>
      <c r="D37" s="43" t="s">
        <v>1844</v>
      </c>
      <c r="E37" s="201">
        <v>644069203</v>
      </c>
      <c r="F37" s="263" t="s">
        <v>1843</v>
      </c>
      <c r="G37" s="203" t="s">
        <v>2156</v>
      </c>
      <c r="H37" s="203" t="s">
        <v>0</v>
      </c>
      <c r="I37" s="122" t="s">
        <v>0</v>
      </c>
      <c r="J37" s="44">
        <v>45932</v>
      </c>
      <c r="K37" s="44"/>
      <c r="L37" s="44"/>
      <c r="M37" s="44"/>
      <c r="N37" s="127">
        <v>46157</v>
      </c>
      <c r="O37" s="128" t="s">
        <v>2133</v>
      </c>
      <c r="P37" s="129" t="s">
        <v>2514</v>
      </c>
      <c r="Q37" s="65"/>
      <c r="R37" s="65"/>
      <c r="S37" s="65"/>
      <c r="T37" s="65"/>
      <c r="U37" s="65"/>
      <c r="V37" s="46">
        <f t="shared" ca="1" si="0"/>
        <v>0</v>
      </c>
      <c r="W37" s="47">
        <f t="shared" ca="1" si="1"/>
        <v>0</v>
      </c>
      <c r="X37" s="47" t="str">
        <f t="shared" ca="1" si="8"/>
        <v xml:space="preserve">PENDIENTE </v>
      </c>
      <c r="Y37" s="47">
        <f t="shared" ca="1" si="2"/>
        <v>0</v>
      </c>
      <c r="Z37" s="227" t="str">
        <f t="shared" ca="1" si="9"/>
        <v xml:space="preserve">PENDIENTE </v>
      </c>
      <c r="AA37" s="124"/>
      <c r="AB37" s="67"/>
      <c r="AC37" s="68"/>
      <c r="AD37" s="69"/>
      <c r="AE37" s="70"/>
      <c r="AF37" s="71"/>
      <c r="AG37" s="71"/>
      <c r="AH37" s="72"/>
      <c r="AI37" s="73"/>
      <c r="AJ37" s="71"/>
      <c r="AK37" s="71"/>
      <c r="AL37" s="71"/>
      <c r="AM37" s="70"/>
      <c r="AN37" s="74"/>
      <c r="AO37" s="278"/>
      <c r="AP37" s="144" t="str">
        <f t="shared" ca="1" si="10"/>
        <v/>
      </c>
      <c r="AQ37" s="142" t="s">
        <v>2381</v>
      </c>
      <c r="AR37" s="142" t="s">
        <v>2374</v>
      </c>
      <c r="AS37" s="57" t="str">
        <f t="shared" si="3"/>
        <v>01</v>
      </c>
      <c r="AT37" s="141" t="str">
        <f t="shared" si="4"/>
        <v>PLAN CINCO CCPP (C) Comunidad Extremeña 10 - Solicitud de documentación para presupuestar</v>
      </c>
      <c r="AU37" s="141" t="str">
        <f t="shared" ca="1" si="5"/>
        <v>Estimado/a Sr/Sra:
Gracias por contactar con Instalaciones Araujo para valorar la individualización de contadores de agua en la CCPP (C) Comunidad Extremeña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37" s="257" t="str">
        <f t="shared" ca="1" si="6"/>
        <v>Estimado/a Sr/Sra:
Gracias por contactar con Instalaciones Araujo para valorar la individualización de contadores de agua en la CCPP (C) Comunidad Extremeña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37" s="257" t="str">
        <f t="shared" si="7"/>
        <v>Estimado/a Sr/Sra:
Gracias por contactar con Instalaciones Araujo para valorar la individualización de contadores de agua en la CCPP (C) Comunidad Extremeña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37" s="141" t="s">
        <v>1410</v>
      </c>
      <c r="AY37" s="142"/>
    </row>
    <row r="38" spans="1:51" s="262" customFormat="1" x14ac:dyDescent="0.25">
      <c r="A38" s="64" t="s">
        <v>2162</v>
      </c>
      <c r="B38" s="64" t="s">
        <v>2219</v>
      </c>
      <c r="C38" s="61" t="s">
        <v>2129</v>
      </c>
      <c r="D38" s="43" t="s">
        <v>1803</v>
      </c>
      <c r="E38" s="201">
        <v>954276868</v>
      </c>
      <c r="F38" s="263" t="s">
        <v>2389</v>
      </c>
      <c r="G38" s="43" t="s">
        <v>1845</v>
      </c>
      <c r="H38" s="201">
        <v>687313399</v>
      </c>
      <c r="I38" s="43" t="s">
        <v>0</v>
      </c>
      <c r="J38" s="44">
        <v>46008</v>
      </c>
      <c r="K38" s="44"/>
      <c r="L38" s="44"/>
      <c r="M38" s="44"/>
      <c r="N38" s="127"/>
      <c r="O38" s="199" t="s">
        <v>2508</v>
      </c>
      <c r="P38" s="129" t="s">
        <v>2098</v>
      </c>
      <c r="Q38" s="65"/>
      <c r="R38" s="65"/>
      <c r="S38" s="65"/>
      <c r="T38" s="65"/>
      <c r="U38" s="65"/>
      <c r="V38" s="46">
        <f t="shared" ca="1" si="0"/>
        <v>0</v>
      </c>
      <c r="W38" s="47">
        <f t="shared" ca="1" si="1"/>
        <v>0</v>
      </c>
      <c r="X38" s="47" t="str">
        <f t="shared" ca="1" si="8"/>
        <v xml:space="preserve">PENDIENTE </v>
      </c>
      <c r="Y38" s="47">
        <f t="shared" ca="1" si="2"/>
        <v>0</v>
      </c>
      <c r="Z38" s="227" t="str">
        <f t="shared" ca="1" si="9"/>
        <v xml:space="preserve">PENDIENTE </v>
      </c>
      <c r="AA38" s="124"/>
      <c r="AB38" s="67"/>
      <c r="AC38" s="68"/>
      <c r="AD38" s="69"/>
      <c r="AE38" s="70"/>
      <c r="AF38" s="71"/>
      <c r="AG38" s="71"/>
      <c r="AH38" s="72"/>
      <c r="AI38" s="73"/>
      <c r="AJ38" s="71"/>
      <c r="AK38" s="71"/>
      <c r="AL38" s="71"/>
      <c r="AM38" s="70"/>
      <c r="AN38" s="74"/>
      <c r="AO38" s="278"/>
      <c r="AP38" s="144" t="str">
        <f t="shared" ca="1" si="10"/>
        <v/>
      </c>
      <c r="AQ38" s="142" t="s">
        <v>2381</v>
      </c>
      <c r="AR38" s="142" t="s">
        <v>2374</v>
      </c>
      <c r="AS38" s="57" t="str">
        <f t="shared" si="3"/>
        <v>---</v>
      </c>
      <c r="AT38" s="141" t="str">
        <f t="shared" si="4"/>
        <v xml:space="preserve">PLAN CINCO CCPP (C) Cristo de la Sed 81 - </v>
      </c>
      <c r="AU38" s="141" t="str">
        <f t="shared" ca="1" si="5"/>
        <v/>
      </c>
      <c r="AV38" s="257" t="str">
        <f t="shared" ca="1" si="6"/>
        <v/>
      </c>
      <c r="AW38" s="257" t="str">
        <f t="shared" si="7"/>
        <v/>
      </c>
      <c r="AX38" s="141" t="s">
        <v>1410</v>
      </c>
      <c r="AY38" s="142"/>
    </row>
    <row r="39" spans="1:51" s="262" customFormat="1" x14ac:dyDescent="0.25">
      <c r="A39" s="64" t="s">
        <v>2165</v>
      </c>
      <c r="B39" s="64" t="s">
        <v>2220</v>
      </c>
      <c r="C39" s="61" t="s">
        <v>1798</v>
      </c>
      <c r="D39" s="43" t="s">
        <v>1846</v>
      </c>
      <c r="E39" s="201">
        <v>651758719</v>
      </c>
      <c r="F39" s="263" t="s">
        <v>1847</v>
      </c>
      <c r="G39" s="43" t="s">
        <v>0</v>
      </c>
      <c r="H39" s="201" t="s">
        <v>0</v>
      </c>
      <c r="I39" s="43" t="s">
        <v>0</v>
      </c>
      <c r="J39" s="44">
        <v>46034</v>
      </c>
      <c r="K39" s="44"/>
      <c r="L39" s="44"/>
      <c r="M39" s="44"/>
      <c r="N39" s="127">
        <v>46157</v>
      </c>
      <c r="O39" s="128" t="s">
        <v>2130</v>
      </c>
      <c r="P39" s="129" t="s">
        <v>2514</v>
      </c>
      <c r="Q39" s="65"/>
      <c r="R39" s="65"/>
      <c r="S39" s="65"/>
      <c r="T39" s="65"/>
      <c r="U39" s="65"/>
      <c r="V39" s="46">
        <f t="shared" ca="1" si="0"/>
        <v>0</v>
      </c>
      <c r="W39" s="47">
        <f t="shared" ca="1" si="1"/>
        <v>0</v>
      </c>
      <c r="X39" s="47" t="str">
        <f t="shared" ca="1" si="8"/>
        <v xml:space="preserve">PENDIENTE </v>
      </c>
      <c r="Y39" s="47">
        <f t="shared" ca="1" si="2"/>
        <v>0</v>
      </c>
      <c r="Z39" s="227" t="str">
        <f t="shared" ca="1" si="9"/>
        <v xml:space="preserve">PENDIENTE </v>
      </c>
      <c r="AA39" s="124"/>
      <c r="AB39" s="67"/>
      <c r="AC39" s="68"/>
      <c r="AD39" s="69"/>
      <c r="AE39" s="70"/>
      <c r="AF39" s="71"/>
      <c r="AG39" s="71"/>
      <c r="AH39" s="72"/>
      <c r="AI39" s="73"/>
      <c r="AJ39" s="71"/>
      <c r="AK39" s="71"/>
      <c r="AL39" s="71"/>
      <c r="AM39" s="70"/>
      <c r="AN39" s="74"/>
      <c r="AO39" s="278"/>
      <c r="AP39" s="144" t="str">
        <f t="shared" ca="1" si="10"/>
        <v/>
      </c>
      <c r="AQ39" s="142" t="s">
        <v>2381</v>
      </c>
      <c r="AR39" s="142" t="s">
        <v>2374</v>
      </c>
      <c r="AS39" s="57" t="str">
        <f t="shared" si="3"/>
        <v>01</v>
      </c>
      <c r="AT39" s="141" t="str">
        <f t="shared" si="4"/>
        <v>PLAN CINCO CCPP (Av) Cruz del Campo 9 - Solicitud de documentación para presupuestar</v>
      </c>
      <c r="AU39" s="141" t="str">
        <f t="shared" ca="1" si="5"/>
        <v>Estimado/a Sr/Sra:
Gracias por contactar con Instalaciones Araujo para valorar la individualización de contadores de agua en la CCPP (Av) Cruz del Campo 9.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39" s="257" t="str">
        <f t="shared" ca="1" si="6"/>
        <v>Estimado/a Sr/Sra:
Gracias por contactar con Instalaciones Araujo para valorar la individualización de contadores de agua en la CCPP (Av) Cruz del Campo 9.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39" s="257" t="str">
        <f t="shared" si="7"/>
        <v>Estimado/a Sr/Sra:
Gracias por contactar con Instalaciones Araujo para valorar la individualización de contadores de agua en la CCPP (Av) Cruz del Campo 9.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39" s="141" t="s">
        <v>1410</v>
      </c>
      <c r="AY39" s="142"/>
    </row>
    <row r="40" spans="1:51" s="262" customFormat="1" x14ac:dyDescent="0.25">
      <c r="A40" s="64" t="s">
        <v>2162</v>
      </c>
      <c r="B40" s="64" t="s">
        <v>2222</v>
      </c>
      <c r="C40" s="61" t="s">
        <v>1798</v>
      </c>
      <c r="D40" s="43" t="s">
        <v>1808</v>
      </c>
      <c r="E40" s="201">
        <v>615671540</v>
      </c>
      <c r="F40" s="263" t="s">
        <v>1809</v>
      </c>
      <c r="G40" s="43" t="s">
        <v>1848</v>
      </c>
      <c r="H40" s="201">
        <v>699803865</v>
      </c>
      <c r="I40" s="43" t="s">
        <v>0</v>
      </c>
      <c r="J40" s="44">
        <v>46087</v>
      </c>
      <c r="K40" s="44"/>
      <c r="L40" s="44"/>
      <c r="M40" s="44"/>
      <c r="N40" s="127">
        <v>46157</v>
      </c>
      <c r="O40" s="128" t="s">
        <v>2123</v>
      </c>
      <c r="P40" s="126" t="s">
        <v>2514</v>
      </c>
      <c r="Q40" s="65"/>
      <c r="R40" s="65"/>
      <c r="S40" s="65"/>
      <c r="T40" s="65"/>
      <c r="U40" s="65"/>
      <c r="V40" s="46">
        <f t="shared" ca="1" si="0"/>
        <v>0</v>
      </c>
      <c r="W40" s="47">
        <f t="shared" ca="1" si="1"/>
        <v>0</v>
      </c>
      <c r="X40" s="47" t="str">
        <f t="shared" ca="1" si="8"/>
        <v xml:space="preserve">PENDIENTE </v>
      </c>
      <c r="Y40" s="47">
        <f t="shared" ca="1" si="2"/>
        <v>0</v>
      </c>
      <c r="Z40" s="227" t="str">
        <f t="shared" ca="1" si="9"/>
        <v xml:space="preserve">PENDIENTE </v>
      </c>
      <c r="AA40" s="124"/>
      <c r="AB40" s="67"/>
      <c r="AC40" s="68"/>
      <c r="AD40" s="69"/>
      <c r="AE40" s="70"/>
      <c r="AF40" s="71"/>
      <c r="AG40" s="71"/>
      <c r="AH40" s="72"/>
      <c r="AI40" s="73"/>
      <c r="AJ40" s="71"/>
      <c r="AK40" s="71"/>
      <c r="AL40" s="71"/>
      <c r="AM40" s="70"/>
      <c r="AN40" s="74"/>
      <c r="AO40" s="278"/>
      <c r="AP40" s="144" t="str">
        <f t="shared" ca="1" si="10"/>
        <v/>
      </c>
      <c r="AQ40" s="142" t="s">
        <v>2381</v>
      </c>
      <c r="AR40" s="142" t="s">
        <v>2374</v>
      </c>
      <c r="AS40" s="57" t="str">
        <f t="shared" si="3"/>
        <v>01</v>
      </c>
      <c r="AT40" s="141" t="str">
        <f t="shared" si="4"/>
        <v>PLAN CINCO CCPP (C) Cruz del Sur 13 - Solicitud de documentación para presupuestar</v>
      </c>
      <c r="AU40" s="141" t="str">
        <f t="shared" ca="1" si="5"/>
        <v>Estimado/a Sr/Sra:
Gracias por contactar con Instalaciones Araujo para valorar la individualización de contadores de agua en la CCPP (C) Cruz del Sur 13.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40" s="257" t="str">
        <f t="shared" ca="1" si="6"/>
        <v>Estimado/a Sr/Sra:
Gracias por contactar con Instalaciones Araujo para valorar la individualización de contadores de agua en la CCPP (C) Cruz del Sur 13.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40" s="257" t="str">
        <f t="shared" si="7"/>
        <v>Estimado/a Sr/Sra:
Gracias por contactar con Instalaciones Araujo para valorar la individualización de contadores de agua en la CCPP (C) Cruz del Sur 13.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40" s="141" t="s">
        <v>1410</v>
      </c>
      <c r="AY40" s="142"/>
    </row>
    <row r="41" spans="1:51" s="262" customFormat="1" x14ac:dyDescent="0.25">
      <c r="A41" s="64" t="s">
        <v>2162</v>
      </c>
      <c r="B41" s="64" t="s">
        <v>2223</v>
      </c>
      <c r="C41" s="61" t="s">
        <v>2129</v>
      </c>
      <c r="D41" s="43" t="s">
        <v>1849</v>
      </c>
      <c r="E41" s="201">
        <v>665253314</v>
      </c>
      <c r="F41" s="263" t="s">
        <v>1850</v>
      </c>
      <c r="G41" s="43" t="s">
        <v>1851</v>
      </c>
      <c r="H41" s="201">
        <v>609584835</v>
      </c>
      <c r="I41" s="43" t="s">
        <v>0</v>
      </c>
      <c r="J41" s="44">
        <v>46056</v>
      </c>
      <c r="K41" s="44"/>
      <c r="L41" s="44"/>
      <c r="M41" s="44"/>
      <c r="N41" s="127">
        <v>46157</v>
      </c>
      <c r="O41" s="128" t="s">
        <v>2133</v>
      </c>
      <c r="P41" s="129" t="s">
        <v>2514</v>
      </c>
      <c r="Q41" s="65"/>
      <c r="R41" s="65"/>
      <c r="S41" s="65"/>
      <c r="T41" s="65"/>
      <c r="U41" s="65"/>
      <c r="V41" s="46">
        <f t="shared" ca="1" si="0"/>
        <v>0</v>
      </c>
      <c r="W41" s="47">
        <f t="shared" ca="1" si="1"/>
        <v>0</v>
      </c>
      <c r="X41" s="47" t="str">
        <f t="shared" ca="1" si="8"/>
        <v xml:space="preserve">PENDIENTE </v>
      </c>
      <c r="Y41" s="47">
        <f t="shared" ca="1" si="2"/>
        <v>0</v>
      </c>
      <c r="Z41" s="227" t="str">
        <f t="shared" ca="1" si="9"/>
        <v xml:space="preserve">PENDIENTE </v>
      </c>
      <c r="AA41" s="124"/>
      <c r="AB41" s="67"/>
      <c r="AC41" s="68"/>
      <c r="AD41" s="69"/>
      <c r="AE41" s="70"/>
      <c r="AF41" s="71"/>
      <c r="AG41" s="71"/>
      <c r="AH41" s="72"/>
      <c r="AI41" s="73"/>
      <c r="AJ41" s="71"/>
      <c r="AK41" s="71"/>
      <c r="AL41" s="71"/>
      <c r="AM41" s="70"/>
      <c r="AN41" s="74"/>
      <c r="AO41" s="278"/>
      <c r="AP41" s="144" t="str">
        <f t="shared" ca="1" si="10"/>
        <v/>
      </c>
      <c r="AQ41" s="142" t="s">
        <v>2381</v>
      </c>
      <c r="AR41" s="142" t="s">
        <v>2374</v>
      </c>
      <c r="AS41" s="57" t="str">
        <f t="shared" si="3"/>
        <v>01</v>
      </c>
      <c r="AT41" s="141" t="str">
        <f t="shared" si="4"/>
        <v>PLAN CINCO CCPP (C) Cueva de la Pileta 2, Bloque 10 - Solicitud de documentación para presupuestar</v>
      </c>
      <c r="AU41" s="141" t="str">
        <f t="shared" ca="1" si="5"/>
        <v>Estimado/a Sr/Sra:
Gracias por contactar con Instalaciones Araujo para valorar la individualización de contadores de agua en la CCPP (C) Cueva de la Pileta 2, Bloque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41" s="257" t="str">
        <f t="shared" ca="1" si="6"/>
        <v>Estimado/a Sr/Sra:
Gracias por contactar con Instalaciones Araujo para valorar la individualización de contadores de agua en la CCPP (C) Cueva de la Pileta 2, Bloque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41" s="257" t="str">
        <f t="shared" si="7"/>
        <v>Estimado/a Sr/Sra:
Gracias por contactar con Instalaciones Araujo para valorar la individualización de contadores de agua en la CCPP (C) Cueva de la Pileta 2, Bloque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41" s="141" t="s">
        <v>1410</v>
      </c>
      <c r="AY41" s="142"/>
    </row>
    <row r="42" spans="1:51" s="262" customFormat="1" x14ac:dyDescent="0.25">
      <c r="A42" s="64" t="s">
        <v>2162</v>
      </c>
      <c r="B42" s="64" t="s">
        <v>2221</v>
      </c>
      <c r="C42" s="61" t="s">
        <v>2129</v>
      </c>
      <c r="D42" s="43" t="s">
        <v>1852</v>
      </c>
      <c r="E42" s="201">
        <v>654590473</v>
      </c>
      <c r="F42" s="43" t="s">
        <v>1853</v>
      </c>
      <c r="G42" s="43" t="s">
        <v>1854</v>
      </c>
      <c r="H42" s="201">
        <v>687688320</v>
      </c>
      <c r="I42" s="43" t="s">
        <v>0</v>
      </c>
      <c r="J42" s="44">
        <v>45923</v>
      </c>
      <c r="K42" s="44">
        <v>45965</v>
      </c>
      <c r="L42" s="44">
        <v>45973</v>
      </c>
      <c r="M42" s="44"/>
      <c r="N42" s="127" t="s">
        <v>0</v>
      </c>
      <c r="O42" s="128" t="s">
        <v>2106</v>
      </c>
      <c r="P42" s="129" t="s">
        <v>2107</v>
      </c>
      <c r="Q42" s="65"/>
      <c r="R42" s="65"/>
      <c r="S42" s="65"/>
      <c r="T42" s="65"/>
      <c r="U42" s="65"/>
      <c r="V42" s="46">
        <f t="shared" ca="1" si="0"/>
        <v>0</v>
      </c>
      <c r="W42" s="47">
        <f t="shared" ca="1" si="1"/>
        <v>0</v>
      </c>
      <c r="X42" s="47" t="str">
        <f t="shared" ca="1" si="8"/>
        <v xml:space="preserve">PENDIENTE </v>
      </c>
      <c r="Y42" s="47">
        <f t="shared" ca="1" si="2"/>
        <v>0</v>
      </c>
      <c r="Z42" s="227" t="str">
        <f t="shared" ca="1" si="9"/>
        <v xml:space="preserve">PENDIENTE </v>
      </c>
      <c r="AA42" s="66"/>
      <c r="AB42" s="67">
        <v>15</v>
      </c>
      <c r="AC42" s="68"/>
      <c r="AD42" s="69"/>
      <c r="AE42" s="70">
        <v>13688.430340190913</v>
      </c>
      <c r="AF42" s="71">
        <v>6690</v>
      </c>
      <c r="AG42" s="71"/>
      <c r="AH42" s="72">
        <v>2981.01</v>
      </c>
      <c r="AI42" s="73"/>
      <c r="AJ42" s="71">
        <f>AE42-AF42-AH42-150</f>
        <v>3867.4203401909126</v>
      </c>
      <c r="AK42" s="71"/>
      <c r="AL42" s="71"/>
      <c r="AM42" s="70"/>
      <c r="AN42" s="74"/>
      <c r="AO42" s="278"/>
      <c r="AP42" s="144" t="str">
        <f t="shared" ca="1" si="10"/>
        <v/>
      </c>
      <c r="AQ42" s="142" t="s">
        <v>2381</v>
      </c>
      <c r="AR42" s="142" t="s">
        <v>2374</v>
      </c>
      <c r="AS42" s="57" t="str">
        <f t="shared" si="3"/>
        <v>---</v>
      </c>
      <c r="AT42" s="141" t="str">
        <f t="shared" si="4"/>
        <v xml:space="preserve">PLAN CINCO CCPP (C) Delfín 1 - </v>
      </c>
      <c r="AU42" s="141" t="str">
        <f t="shared" ca="1" si="5"/>
        <v/>
      </c>
      <c r="AV42" s="257" t="str">
        <f t="shared" ca="1" si="6"/>
        <v/>
      </c>
      <c r="AW42" s="257" t="str">
        <f t="shared" si="7"/>
        <v/>
      </c>
      <c r="AX42" s="141" t="s">
        <v>1410</v>
      </c>
      <c r="AY42" s="142"/>
    </row>
    <row r="43" spans="1:51" s="262" customFormat="1" x14ac:dyDescent="0.25">
      <c r="A43" s="64" t="s">
        <v>2165</v>
      </c>
      <c r="B43" s="64" t="s">
        <v>2224</v>
      </c>
      <c r="C43" s="61" t="s">
        <v>1354</v>
      </c>
      <c r="D43" s="43" t="s">
        <v>1855</v>
      </c>
      <c r="E43" s="201">
        <v>629290154</v>
      </c>
      <c r="F43" s="43" t="s">
        <v>1856</v>
      </c>
      <c r="G43" s="43" t="s">
        <v>0</v>
      </c>
      <c r="H43" s="201" t="s">
        <v>0</v>
      </c>
      <c r="I43" s="43" t="s">
        <v>0</v>
      </c>
      <c r="J43" s="44">
        <v>45904</v>
      </c>
      <c r="K43" s="44">
        <v>45923</v>
      </c>
      <c r="L43" s="44">
        <v>45929</v>
      </c>
      <c r="M43" s="44"/>
      <c r="N43" s="127">
        <v>46188</v>
      </c>
      <c r="O43" s="128" t="s">
        <v>2115</v>
      </c>
      <c r="P43" s="126" t="s">
        <v>2522</v>
      </c>
      <c r="Q43" s="65"/>
      <c r="R43" s="65"/>
      <c r="S43" s="65"/>
      <c r="T43" s="65"/>
      <c r="U43" s="65"/>
      <c r="V43" s="46">
        <f t="shared" ca="1" si="0"/>
        <v>0</v>
      </c>
      <c r="W43" s="47">
        <f t="shared" ca="1" si="1"/>
        <v>0</v>
      </c>
      <c r="X43" s="47" t="str">
        <f t="shared" ca="1" si="8"/>
        <v xml:space="preserve">PENDIENTE </v>
      </c>
      <c r="Y43" s="47">
        <f t="shared" ca="1" si="2"/>
        <v>0</v>
      </c>
      <c r="Z43" s="227" t="str">
        <f t="shared" ca="1" si="9"/>
        <v xml:space="preserve">PENDIENTE </v>
      </c>
      <c r="AA43" s="66"/>
      <c r="AB43" s="67">
        <v>15</v>
      </c>
      <c r="AC43" s="68"/>
      <c r="AD43" s="69"/>
      <c r="AE43" s="70">
        <v>16332.555279692013</v>
      </c>
      <c r="AF43" s="71">
        <v>6706.7250000000004</v>
      </c>
      <c r="AG43" s="71"/>
      <c r="AH43" s="72">
        <v>4378.6000000000004</v>
      </c>
      <c r="AI43" s="73"/>
      <c r="AJ43" s="71">
        <f>AE43-AF43-AH43-150</f>
        <v>5097.2302796920121</v>
      </c>
      <c r="AK43" s="71"/>
      <c r="AL43" s="71"/>
      <c r="AM43" s="70"/>
      <c r="AN43" s="74"/>
      <c r="AO43" s="278"/>
      <c r="AP43" s="144" t="str">
        <f t="shared" ca="1" si="10"/>
        <v/>
      </c>
      <c r="AQ43" s="142" t="s">
        <v>2381</v>
      </c>
      <c r="AR43" s="142" t="s">
        <v>2374</v>
      </c>
      <c r="AS43" s="57" t="str">
        <f t="shared" si="3"/>
        <v>03</v>
      </c>
      <c r="AT43" s="141" t="str">
        <f t="shared" si="4"/>
        <v>PLAN CINCO CCPP (Av) Diego Martínez Barrio 7 - Presupuesto pendiente de adjudicación</v>
      </c>
      <c r="AU43" s="141" t="str">
        <f t="shared" ca="1" si="5"/>
        <v>Estimado/a Sr/Sra:
Desde Instalaciones Araujo nos ponemos en contacto con ud, en relación con el Presupuesto de individualización de contadores de agua que le facilitamos el pasado 00/01/1900 para la CCPP (Av) Diego Martínez Barrio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43" s="257" t="str">
        <f t="shared" ca="1" si="6"/>
        <v>Estimado/a Sr/Sra:
Desde Instalaciones Araujo nos ponemos en contacto con ud, en relación con el Presupuesto de individualización de contadores de agua que le facilitamos el pasado {FECHA_PTO} para la CCPP (Av) Diego Martínez Barrio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43" s="257" t="str">
        <f t="shared" si="7"/>
        <v>Estimado/a Sr/Sra:
Desde Instalaciones Araujo nos ponemos en contacto con ud, en relación con el Presupuesto de individualización de contadores de agua que le facilitamos el pasado {FECHA_PTO} para la CCPP (Av) Diego Martínez Barrio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43" s="141" t="s">
        <v>1410</v>
      </c>
      <c r="AY43" s="142"/>
    </row>
    <row r="44" spans="1:51" s="262" customFormat="1" ht="31.5" x14ac:dyDescent="0.25">
      <c r="A44" s="75" t="s">
        <v>2162</v>
      </c>
      <c r="B44" s="75" t="s">
        <v>2225</v>
      </c>
      <c r="C44" s="42" t="s">
        <v>2129</v>
      </c>
      <c r="D44" s="43" t="s">
        <v>1857</v>
      </c>
      <c r="E44" s="201">
        <v>677546543</v>
      </c>
      <c r="F44" s="43" t="s">
        <v>1858</v>
      </c>
      <c r="G44" s="43" t="s">
        <v>1859</v>
      </c>
      <c r="H44" s="201">
        <v>651808728</v>
      </c>
      <c r="I44" s="43" t="s">
        <v>0</v>
      </c>
      <c r="J44" s="44">
        <v>45975</v>
      </c>
      <c r="K44" s="44">
        <v>45980</v>
      </c>
      <c r="L44" s="44">
        <v>45986</v>
      </c>
      <c r="M44" s="44"/>
      <c r="N44" s="127">
        <f>Q44+12+5+20+9+17+7</f>
        <v>46132</v>
      </c>
      <c r="O44" s="199" t="s">
        <v>2415</v>
      </c>
      <c r="P44" s="129" t="s">
        <v>2521</v>
      </c>
      <c r="Q44" s="65">
        <v>46062</v>
      </c>
      <c r="R44" s="65" t="s">
        <v>609</v>
      </c>
      <c r="S44" s="65"/>
      <c r="T44" s="65"/>
      <c r="U44" s="65"/>
      <c r="V44" s="46" t="str">
        <f t="shared" ca="1" si="0"/>
        <v>OK</v>
      </c>
      <c r="W44" s="47">
        <f t="shared" ca="1" si="1"/>
        <v>0.85714285714285721</v>
      </c>
      <c r="X44" s="47" t="str">
        <f t="shared" ca="1" si="8"/>
        <v>PENDIENTE -TOMA DE DATOS</v>
      </c>
      <c r="Y44" s="47">
        <f t="shared" ca="1" si="2"/>
        <v>0.77419354838709675</v>
      </c>
      <c r="Z44" s="227" t="str">
        <f t="shared" ca="1" si="9"/>
        <v>PENDIENTE -0C-1A-3C-4A-4B-5C-7D</v>
      </c>
      <c r="AA44" s="66" t="s">
        <v>53</v>
      </c>
      <c r="AB44" s="67">
        <v>36.4</v>
      </c>
      <c r="AC44" s="68">
        <f>AB44</f>
        <v>36.4</v>
      </c>
      <c r="AD44" s="69">
        <f>1-(AC44/AB44)</f>
        <v>0</v>
      </c>
      <c r="AE44" s="70">
        <v>45563.57</v>
      </c>
      <c r="AF44" s="71">
        <v>16223.25</v>
      </c>
      <c r="AG44" s="71">
        <f>AF44</f>
        <v>16223.25</v>
      </c>
      <c r="AH44" s="72">
        <v>12892.2</v>
      </c>
      <c r="AI44" s="73">
        <f>AH44</f>
        <v>12892.2</v>
      </c>
      <c r="AJ44" s="71">
        <f>AE44-AF44-AH44-150</f>
        <v>16298.119999999999</v>
      </c>
      <c r="AK44" s="71">
        <f>AE44-AG44-AI44</f>
        <v>16448.12</v>
      </c>
      <c r="AL44" s="71">
        <f>AK44-AJ44</f>
        <v>150</v>
      </c>
      <c r="AM44" s="70">
        <f>AK44*0.2</f>
        <v>3289.6239999999998</v>
      </c>
      <c r="AN44" s="74"/>
      <c r="AO44" s="278"/>
      <c r="AP44" s="144" t="str">
        <f t="shared" ca="1" si="10"/>
        <v>SI</v>
      </c>
      <c r="AQ44" s="142" t="s">
        <v>2381</v>
      </c>
      <c r="AR44" s="142" t="s">
        <v>2374</v>
      </c>
      <c r="AS44" s="57" t="str">
        <f t="shared" si="3"/>
        <v>05</v>
      </c>
      <c r="AT44" s="141" t="str">
        <f t="shared" si="4"/>
        <v>PLAN CINCO CCPP (C) Diego Puerta 1-34 - Proceso de Documentación</v>
      </c>
      <c r="AU44" s="141" t="str">
        <f t="shared" ca="1" si="5"/>
        <v>Estimado/a Sr/Sra:
Nos ponemos en contacto desde Instalaciones Araujo, la empresa encargada para la individualización de contadores de agua en la CCPP (C) Diego Puerta 1-34, agradeciéndole la confianza depositada en nosotros.
Le comunicamos que con fecha 09/02/2026 solicitamos a la CCPP la entrega de la documentación necesaria para iniciar la tramitación del expediente con EMASESA.
Para su conocimiento, le informamos que, hasta la fecha, hemos recibido el {77%} de la documentación.
DOCUMENTACION DE LA CCPP:  PENDIENTE -TOMA DE DATOS
DOCUMENTACION DE LAS VIVIENDAS: PENDIENTE -0C-1A-3C-4A-4B-5C-7D
Le mantendremos informado, rogándole que igualmente informe de este particular a los propietarios con la fecha limite de envío 01/03/2026.
Comunicación confidencial conforme al RGPD y la LOPDGDD, en el marco del contrato suscrito con la CCPP.
***ROGAMOS CONFIRMACION DE RECEPCION***
Quedamos a su disposición para resolver cualquier duda
Atentamente, Instalaciones Araujo</v>
      </c>
      <c r="AV44" s="257" t="str">
        <f t="shared" ca="1" si="6"/>
        <v>Estimado/a Sr/Sra:
Nos ponemos en contacto desde Instalaciones Araujo, la empresa encargada para la individualización de contadores de agua en la CCPP (C) Diego Puerta 1-34, agradeciéndole la confianza depositada en nosotros.
Le comunicamos que con fecha 09/02/2026 solicitamos a la CCPP la entrega de la documentación necesaria para iniciar la tramitación del expediente con EMASESA.
Para su conocimiento, le informamos que, hasta la fecha, hemos recibido el {77%} de la documentación.
DOCUMENTACION DE LA CCPP:  {DOC_CCPP}
DOCUMENTACION DE LAS VIVIENDAS: {DOC_PISOS}
Le mantendremos informado, rogándole que igualmente informe de este particular a los propietarios con la fecha limite de envío 01/03/2026.
Comunicación confidencial conforme al RGPD y la LOPDGDD, en el marco del contrato suscrito con la CCPP.
***ROGAMOS CONFIRMACION DE RECEPCION***
Quedamos a su disposición para resolver cualquier duda
Atentamente, Instalaciones Araujo</v>
      </c>
      <c r="AW44" s="257" t="str">
        <f t="shared" si="7"/>
        <v>Estimado/a Sr/Sra:
Nos ponemos en contacto desde Instalaciones Araujo, la empresa encargada para la individualización de contadores de agua en la CCPP (C) Diego Puerta 1-34, agradeciéndole la confianza depositada en nosotros.
Le comunicamos que con fecha 09/02/2026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01/03/2026.
Comunicación confidencial conforme al RGPD y la LOPDGDD, en el marco del contrato suscrito con la CCPP.
***ROGAMOS CONFIRMACION DE RECEPCION***
Quedamos a su disposición para resolver cualquier duda
Atentamente, Instalaciones Araujo</v>
      </c>
      <c r="AX44" s="141" t="s">
        <v>1410</v>
      </c>
      <c r="AY44" s="142"/>
    </row>
    <row r="45" spans="1:51" s="262" customFormat="1" x14ac:dyDescent="0.25">
      <c r="A45" s="75" t="s">
        <v>2162</v>
      </c>
      <c r="B45" s="75" t="s">
        <v>2226</v>
      </c>
      <c r="C45" s="135" t="s">
        <v>0</v>
      </c>
      <c r="D45" s="43" t="s">
        <v>0</v>
      </c>
      <c r="E45" s="201" t="s">
        <v>0</v>
      </c>
      <c r="F45" s="43" t="s">
        <v>0</v>
      </c>
      <c r="G45" s="43" t="s">
        <v>0</v>
      </c>
      <c r="H45" s="201" t="s">
        <v>0</v>
      </c>
      <c r="I45" s="61" t="s">
        <v>0</v>
      </c>
      <c r="J45" s="134" t="s">
        <v>0</v>
      </c>
      <c r="K45" s="134" t="s">
        <v>0</v>
      </c>
      <c r="L45" s="134" t="s">
        <v>0</v>
      </c>
      <c r="M45" s="134"/>
      <c r="N45" s="127" t="s">
        <v>0</v>
      </c>
      <c r="O45" s="128" t="s">
        <v>0</v>
      </c>
      <c r="P45" s="129" t="s">
        <v>2521</v>
      </c>
      <c r="Q45" s="65">
        <v>46062</v>
      </c>
      <c r="R45" s="65" t="s">
        <v>7</v>
      </c>
      <c r="S45" s="65" t="s">
        <v>7</v>
      </c>
      <c r="T45" s="65"/>
      <c r="U45" s="65" t="s">
        <v>7</v>
      </c>
      <c r="V45" s="46" t="str">
        <f t="shared" ca="1" si="0"/>
        <v>NP</v>
      </c>
      <c r="W45" s="47">
        <f t="shared" ca="1" si="1"/>
        <v>1</v>
      </c>
      <c r="X45" s="47" t="str">
        <f t="shared" ca="1" si="8"/>
        <v>COMPLETO</v>
      </c>
      <c r="Y45" s="47">
        <f t="shared" ca="1" si="2"/>
        <v>0.87096774193548387</v>
      </c>
      <c r="Z45" s="227" t="str">
        <f t="shared" ca="1" si="9"/>
        <v>PENDIENTE -1D-3B-3D-7A</v>
      </c>
      <c r="AA45" s="66" t="s">
        <v>7</v>
      </c>
      <c r="AB45" s="76" t="s">
        <v>0</v>
      </c>
      <c r="AC45" s="77" t="s">
        <v>1731</v>
      </c>
      <c r="AD45" s="78" t="s">
        <v>0</v>
      </c>
      <c r="AE45" s="79" t="s">
        <v>0</v>
      </c>
      <c r="AF45" s="80" t="s">
        <v>0</v>
      </c>
      <c r="AG45" s="80" t="s">
        <v>0</v>
      </c>
      <c r="AH45" s="81" t="s">
        <v>0</v>
      </c>
      <c r="AI45" s="82" t="s">
        <v>0</v>
      </c>
      <c r="AJ45" s="80" t="s">
        <v>0</v>
      </c>
      <c r="AK45" s="80" t="s">
        <v>0</v>
      </c>
      <c r="AL45" s="80" t="s">
        <v>0</v>
      </c>
      <c r="AM45" s="79" t="s">
        <v>0</v>
      </c>
      <c r="AN45" s="83" t="s">
        <v>0</v>
      </c>
      <c r="AO45" s="278"/>
      <c r="AP45" s="144" t="str">
        <f t="shared" ca="1" si="10"/>
        <v/>
      </c>
      <c r="AQ45" s="142" t="s">
        <v>2381</v>
      </c>
      <c r="AR45" s="142" t="s">
        <v>2374</v>
      </c>
      <c r="AS45" s="57" t="str">
        <f t="shared" si="3"/>
        <v>05</v>
      </c>
      <c r="AT45" s="141" t="str">
        <f t="shared" si="4"/>
        <v>PLAN CINCO CCPP (C) Diego Puerta 1-35 - Proceso de Documentación</v>
      </c>
      <c r="AU45" s="141" t="str">
        <f t="shared" ca="1" si="5"/>
        <v>Estimado/a Sr/Sra:
Nos ponemos en contacto desde Instalaciones Araujo, la empresa encargada para la individualización de contadores de agua en la CCPP (C) Diego Puerta 1-35, agradeciéndole la confianza depositada en nosotros.
Le comunicamos que con fecha 09/02/2026 solicitamos a la CCPP la entrega de la documentación necesaria para iniciar la tramitación del expediente con EMASESA.
Para su conocimiento, le informamos que, hasta la fecha, hemos recibido el {87%} de la documentación.
DOCUMENTACION DE LA CCPP:  COMPLETO
DOCUMENTACION DE LAS VIVIENDAS: PENDIENTE -1D-3B-3D-7A
Le mantendremos informado, rogándole que igualmente informe de este particular a los propietarios con la fecha limite de envío 01/03/2026.
Comunicación confidencial conforme al RGPD y la LOPDGDD, en el marco del contrato suscrito con la CCPP.
***ROGAMOS CONFIRMACION DE RECEPCION***
Quedamos a su disposición para resolver cualquier duda
Atentamente, Instalaciones Araujo</v>
      </c>
      <c r="AV45" s="257" t="str">
        <f t="shared" ca="1" si="6"/>
        <v>Estimado/a Sr/Sra:
Nos ponemos en contacto desde Instalaciones Araujo, la empresa encargada para la individualización de contadores de agua en la CCPP (C) Diego Puerta 1-35, agradeciéndole la confianza depositada en nosotros.
Le comunicamos que con fecha 09/02/2026 solicitamos a la CCPP la entrega de la documentación necesaria para iniciar la tramitación del expediente con EMASESA.
Para su conocimiento, le informamos que, hasta la fecha, hemos recibido el {87%} de la documentación.
DOCUMENTACION DE LA CCPP:  {DOC_CCPP}
DOCUMENTACION DE LAS VIVIENDAS: {DOC_PISOS}
Le mantendremos informado, rogándole que igualmente informe de este particular a los propietarios con la fecha limite de envío 01/03/2026.
Comunicación confidencial conforme al RGPD y la LOPDGDD, en el marco del contrato suscrito con la CCPP.
***ROGAMOS CONFIRMACION DE RECEPCION***
Quedamos a su disposición para resolver cualquier duda
Atentamente, Instalaciones Araujo</v>
      </c>
      <c r="AW45" s="257" t="str">
        <f t="shared" si="7"/>
        <v>Estimado/a Sr/Sra:
Nos ponemos en contacto desde Instalaciones Araujo, la empresa encargada para la individualización de contadores de agua en la CCPP (C) Diego Puerta 1-35, agradeciéndole la confianza depositada en nosotros.
Le comunicamos que con fecha 09/02/2026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01/03/2026.
Comunicación confidencial conforme al RGPD y la LOPDGDD, en el marco del contrato suscrito con la CCPP.
***ROGAMOS CONFIRMACION DE RECEPCION***
Quedamos a su disposición para resolver cualquier duda
Atentamente, Instalaciones Araujo</v>
      </c>
      <c r="AX45" s="141" t="s">
        <v>1410</v>
      </c>
      <c r="AY45" s="142" t="s">
        <v>0</v>
      </c>
    </row>
    <row r="46" spans="1:51" s="262" customFormat="1" x14ac:dyDescent="0.25">
      <c r="A46" s="75" t="s">
        <v>2162</v>
      </c>
      <c r="B46" s="75" t="s">
        <v>2230</v>
      </c>
      <c r="C46" s="42" t="s">
        <v>2129</v>
      </c>
      <c r="D46" s="43" t="s">
        <v>1857</v>
      </c>
      <c r="E46" s="201">
        <v>677546543</v>
      </c>
      <c r="F46" s="43" t="s">
        <v>1858</v>
      </c>
      <c r="G46" s="43" t="s">
        <v>1860</v>
      </c>
      <c r="H46" s="201">
        <v>639623832</v>
      </c>
      <c r="I46" s="43" t="s">
        <v>0</v>
      </c>
      <c r="J46" s="44">
        <v>45975</v>
      </c>
      <c r="K46" s="44">
        <v>45980</v>
      </c>
      <c r="L46" s="44">
        <v>45987</v>
      </c>
      <c r="M46" s="44"/>
      <c r="N46" s="149" t="s">
        <v>0</v>
      </c>
      <c r="O46" s="128" t="s">
        <v>2408</v>
      </c>
      <c r="P46" s="129" t="s">
        <v>2521</v>
      </c>
      <c r="Q46" s="65">
        <v>46093</v>
      </c>
      <c r="R46" s="65" t="s">
        <v>609</v>
      </c>
      <c r="S46" s="65"/>
      <c r="T46" s="65"/>
      <c r="U46" s="65"/>
      <c r="V46" s="46" t="str">
        <f t="shared" ca="1" si="0"/>
        <v>F</v>
      </c>
      <c r="W46" s="47">
        <f t="shared" ca="1" si="1"/>
        <v>0</v>
      </c>
      <c r="X46" s="47" t="str">
        <f t="shared" ca="1" si="8"/>
        <v>PENDIENTE -PRESUPUESTO-TOMA DE DATOS-NIF-ACTA NOMBRAMIENTO PRESIDENTE-ACTA APROBACION PRESUPUESTO-RENUNCIA GRUPO PRESION-ULTIMA FACTURA EMASESA</v>
      </c>
      <c r="Y46" s="47">
        <f t="shared" ca="1" si="2"/>
        <v>0.22580645161290322</v>
      </c>
      <c r="Z46" s="227" t="str">
        <f t="shared" ca="1" si="9"/>
        <v>PENDIENTE -0A-0C-0D-1C-1D-2A-2B-2C-2D-3B-3C-4A-4B-5A-5B-5C-5D-6B-6C-6D-7A-7B-7C-7D</v>
      </c>
      <c r="AA46" s="84" t="s">
        <v>609</v>
      </c>
      <c r="AB46" s="67">
        <v>37.4</v>
      </c>
      <c r="AC46" s="68">
        <f>AB46</f>
        <v>37.4</v>
      </c>
      <c r="AD46" s="69">
        <f>1-(AC46/AB46)</f>
        <v>0</v>
      </c>
      <c r="AE46" s="70">
        <v>46306.78</v>
      </c>
      <c r="AF46" s="71">
        <v>16669.25</v>
      </c>
      <c r="AG46" s="71">
        <f>AF46</f>
        <v>16669.25</v>
      </c>
      <c r="AH46" s="72">
        <v>13042.2</v>
      </c>
      <c r="AI46" s="73">
        <f>AH46</f>
        <v>13042.2</v>
      </c>
      <c r="AJ46" s="71">
        <f>AE46-AF46-AH46-150</f>
        <v>16445.329999999998</v>
      </c>
      <c r="AK46" s="71">
        <f>AE46-AG46-AI46</f>
        <v>16595.329999999998</v>
      </c>
      <c r="AL46" s="71">
        <f>AK46-AJ46</f>
        <v>150</v>
      </c>
      <c r="AM46" s="70">
        <f>AK46*0.2</f>
        <v>3319.0659999999998</v>
      </c>
      <c r="AN46" s="74"/>
      <c r="AO46" s="278"/>
      <c r="AP46" s="144" t="str">
        <f t="shared" ca="1" si="10"/>
        <v/>
      </c>
      <c r="AQ46" s="142" t="s">
        <v>2381</v>
      </c>
      <c r="AR46" s="142" t="s">
        <v>2374</v>
      </c>
      <c r="AS46" s="57" t="str">
        <f t="shared" si="3"/>
        <v>05</v>
      </c>
      <c r="AT46" s="141" t="str">
        <f t="shared" si="4"/>
        <v>PLAN CINCO CCPP (C) Diego Puerta 5-38 - Proceso de Documentación</v>
      </c>
      <c r="AU46" s="141" t="str">
        <f t="shared" ca="1" si="5"/>
        <v>Estimado/a Sr/Sra:
Nos ponemos en contacto desde Instalaciones Araujo, la empresa encargada para la individualización de contadores de agua en la CCPP (C) Diego Puerta 5-38, agradeciéndole la confianza depositada en nosotros.
Le comunicamos que con fecha 12/03/2026 solicitamos a la CCPP la entrega de la documentación necesaria para iniciar la tramitación del expediente con EMASESA.
Para su conocimiento, le informamos que, hasta la fecha, hemos recibido el {23%} de la documentación.
DOCUMENTACION DE LA CCPP:  PENDIENTE -PRESUPUESTO-TOMA DE DATOS-NIF-ACTA NOMBRAMIENTO PRESIDENTE-ACTA APROBACION PRESUPUESTO-RENUNCIA GRUPO PRESION-ULTIMA FACTURA EMASESA
DOCUMENTACION DE LAS VIVIENDAS: PENDIENTE -0A-0C-0D-1C-1D-2A-2B-2C-2D-3B-3C-4A-4B-5A-5B-5C-5D-6B-6C-6D-7A-7B-7C-7D
Le mantendremos informado, rogándole que igualmente informe de este particular a los propietarios con la fecha limite de envío 01/04/2026.
Comunicación confidencial conforme al RGPD y la LOPDGDD, en el marco del contrato suscrito con la CCPP.
***ROGAMOS CONFIRMACION DE RECEPCION***
Quedamos a su disposición para resolver cualquier duda
Atentamente, Instalaciones Araujo</v>
      </c>
      <c r="AV46" s="257" t="str">
        <f t="shared" ca="1" si="6"/>
        <v>Estimado/a Sr/Sra:
Nos ponemos en contacto desde Instalaciones Araujo, la empresa encargada para la individualización de contadores de agua en la CCPP (C) Diego Puerta 5-38, agradeciéndole la confianza depositada en nosotros.
Le comunicamos que con fecha 12/03/2026 solicitamos a la CCPP la entrega de la documentación necesaria para iniciar la tramitación del expediente con EMASESA.
Para su conocimiento, le informamos que, hasta la fecha, hemos recibido el {23%} de la documentación.
DOCUMENTACION DE LA CCPP:  {DOC_CCPP}
DOCUMENTACION DE LAS VIVIENDAS: {DOC_PISOS}
Le mantendremos informado, rogándole que igualmente informe de este particular a los propietarios con la fecha limite de envío 01/04/2026.
Comunicación confidencial conforme al RGPD y la LOPDGDD, en el marco del contrato suscrito con la CCPP.
***ROGAMOS CONFIRMACION DE RECEPCION***
Quedamos a su disposición para resolver cualquier duda
Atentamente, Instalaciones Araujo</v>
      </c>
      <c r="AW46" s="257" t="str">
        <f t="shared" si="7"/>
        <v>Estimado/a Sr/Sra:
Nos ponemos en contacto desde Instalaciones Araujo, la empresa encargada para la individualización de contadores de agua en la CCPP (C) Diego Puerta 5-38, agradeciéndole la confianza depositada en nosotros.
Le comunicamos que con fecha 12/03/2026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01/04/2026.
Comunicación confidencial conforme al RGPD y la LOPDGDD, en el marco del contrato suscrito con la CCPP.
***ROGAMOS CONFIRMACION DE RECEPCION***
Quedamos a su disposición para resolver cualquier duda
Atentamente, Instalaciones Araujo</v>
      </c>
      <c r="AX46" s="141" t="s">
        <v>1410</v>
      </c>
      <c r="AY46" s="142"/>
    </row>
    <row r="47" spans="1:51" s="262" customFormat="1" x14ac:dyDescent="0.25">
      <c r="A47" s="75" t="s">
        <v>2162</v>
      </c>
      <c r="B47" s="75" t="s">
        <v>2231</v>
      </c>
      <c r="C47" s="135" t="s">
        <v>0</v>
      </c>
      <c r="D47" s="43" t="s">
        <v>0</v>
      </c>
      <c r="E47" s="201" t="s">
        <v>0</v>
      </c>
      <c r="F47" s="43" t="s">
        <v>0</v>
      </c>
      <c r="G47" s="43" t="s">
        <v>0</v>
      </c>
      <c r="H47" s="201" t="s">
        <v>0</v>
      </c>
      <c r="I47" s="61" t="s">
        <v>0</v>
      </c>
      <c r="J47" s="134" t="s">
        <v>0</v>
      </c>
      <c r="K47" s="134" t="s">
        <v>0</v>
      </c>
      <c r="L47" s="134" t="s">
        <v>0</v>
      </c>
      <c r="M47" s="134"/>
      <c r="N47" s="127" t="s">
        <v>0</v>
      </c>
      <c r="O47" s="128" t="s">
        <v>0</v>
      </c>
      <c r="P47" s="129" t="s">
        <v>2521</v>
      </c>
      <c r="Q47" s="65">
        <v>46093</v>
      </c>
      <c r="R47" s="65" t="s">
        <v>7</v>
      </c>
      <c r="S47" s="65" t="s">
        <v>7</v>
      </c>
      <c r="T47" s="65"/>
      <c r="U47" s="65" t="s">
        <v>7</v>
      </c>
      <c r="V47" s="46" t="str">
        <f t="shared" ca="1" si="0"/>
        <v>NP</v>
      </c>
      <c r="W47" s="47">
        <f t="shared" ca="1" si="1"/>
        <v>1</v>
      </c>
      <c r="X47" s="47" t="str">
        <f t="shared" ca="1" si="8"/>
        <v>COMPLETO</v>
      </c>
      <c r="Y47" s="47">
        <f t="shared" ca="1" si="2"/>
        <v>0.38709677419354838</v>
      </c>
      <c r="Z47" s="227" t="str">
        <f t="shared" ca="1" si="9"/>
        <v>PENDIENTE -0A-0C-0D-1A-1C-1D-2A-2B-2C-2D-3D-4A-4B-4D-6A-7A-7B-7C-7D</v>
      </c>
      <c r="AA47" s="66" t="s">
        <v>7</v>
      </c>
      <c r="AB47" s="76" t="s">
        <v>0</v>
      </c>
      <c r="AC47" s="77" t="s">
        <v>1731</v>
      </c>
      <c r="AD47" s="78" t="s">
        <v>0</v>
      </c>
      <c r="AE47" s="79" t="s">
        <v>0</v>
      </c>
      <c r="AF47" s="80" t="s">
        <v>0</v>
      </c>
      <c r="AG47" s="80" t="s">
        <v>0</v>
      </c>
      <c r="AH47" s="81" t="s">
        <v>0</v>
      </c>
      <c r="AI47" s="82" t="s">
        <v>0</v>
      </c>
      <c r="AJ47" s="80" t="s">
        <v>0</v>
      </c>
      <c r="AK47" s="80" t="s">
        <v>0</v>
      </c>
      <c r="AL47" s="80" t="s">
        <v>0</v>
      </c>
      <c r="AM47" s="79" t="s">
        <v>0</v>
      </c>
      <c r="AN47" s="83" t="s">
        <v>0</v>
      </c>
      <c r="AO47" s="278"/>
      <c r="AP47" s="144" t="str">
        <f t="shared" ca="1" si="10"/>
        <v/>
      </c>
      <c r="AQ47" s="142" t="s">
        <v>2381</v>
      </c>
      <c r="AR47" s="142" t="s">
        <v>2374</v>
      </c>
      <c r="AS47" s="57" t="str">
        <f t="shared" si="3"/>
        <v>05</v>
      </c>
      <c r="AT47" s="141" t="str">
        <f t="shared" si="4"/>
        <v>PLAN CINCO CCPP (C) Diego Puerta 5-39 - Proceso de Documentación</v>
      </c>
      <c r="AU47" s="141" t="str">
        <f t="shared" ca="1" si="5"/>
        <v>Estimado/a Sr/Sra:
Nos ponemos en contacto desde Instalaciones Araujo, la empresa encargada para la individualización de contadores de agua en la CCPP (C) Diego Puerta 5-39, agradeciéndole la confianza depositada en nosotros.
Le comunicamos que con fecha 12/03/2026 solicitamos a la CCPP la entrega de la documentación necesaria para iniciar la tramitación del expediente con EMASESA.
Para su conocimiento, le informamos que, hasta la fecha, hemos recibido el {39%} de la documentación.
DOCUMENTACION DE LA CCPP:  COMPLETO
DOCUMENTACION DE LAS VIVIENDAS: PENDIENTE -0A-0C-0D-1A-1C-1D-2A-2B-2C-2D-3D-4A-4B-4D-6A-7A-7B-7C-7D
Le mantendremos informado, rogándole que igualmente informe de este particular a los propietarios con la fecha limite de envío 01/04/2026.
Comunicación confidencial conforme al RGPD y la LOPDGDD, en el marco del contrato suscrito con la CCPP.
***ROGAMOS CONFIRMACION DE RECEPCION***
Quedamos a su disposición para resolver cualquier duda
Atentamente, Instalaciones Araujo</v>
      </c>
      <c r="AV47" s="257" t="str">
        <f t="shared" ca="1" si="6"/>
        <v>Estimado/a Sr/Sra:
Nos ponemos en contacto desde Instalaciones Araujo, la empresa encargada para la individualización de contadores de agua en la CCPP (C) Diego Puerta 5-39, agradeciéndole la confianza depositada en nosotros.
Le comunicamos que con fecha 12/03/2026 solicitamos a la CCPP la entrega de la documentación necesaria para iniciar la tramitación del expediente con EMASESA.
Para su conocimiento, le informamos que, hasta la fecha, hemos recibido el {39%} de la documentación.
DOCUMENTACION DE LA CCPP:  {DOC_CCPP}
DOCUMENTACION DE LAS VIVIENDAS: {DOC_PISOS}
Le mantendremos informado, rogándole que igualmente informe de este particular a los propietarios con la fecha limite de envío 01/04/2026.
Comunicación confidencial conforme al RGPD y la LOPDGDD, en el marco del contrato suscrito con la CCPP.
***ROGAMOS CONFIRMACION DE RECEPCION***
Quedamos a su disposición para resolver cualquier duda
Atentamente, Instalaciones Araujo</v>
      </c>
      <c r="AW47" s="257" t="str">
        <f t="shared" si="7"/>
        <v>Estimado/a Sr/Sra:
Nos ponemos en contacto desde Instalaciones Araujo, la empresa encargada para la individualización de contadores de agua en la CCPP (C) Diego Puerta 5-39, agradeciéndole la confianza depositada en nosotros.
Le comunicamos que con fecha 12/03/2026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01/04/2026.
Comunicación confidencial conforme al RGPD y la LOPDGDD, en el marco del contrato suscrito con la CCPP.
***ROGAMOS CONFIRMACION DE RECEPCION***
Quedamos a su disposición para resolver cualquier duda
Atentamente, Instalaciones Araujo</v>
      </c>
      <c r="AX47" s="141" t="s">
        <v>1410</v>
      </c>
      <c r="AY47" s="142" t="s">
        <v>0</v>
      </c>
    </row>
    <row r="48" spans="1:51" s="262" customFormat="1" x14ac:dyDescent="0.25">
      <c r="A48" s="64" t="s">
        <v>2165</v>
      </c>
      <c r="B48" s="64" t="s">
        <v>2227</v>
      </c>
      <c r="C48" s="135" t="s">
        <v>2129</v>
      </c>
      <c r="D48" s="43" t="s">
        <v>1861</v>
      </c>
      <c r="E48" s="201">
        <v>717120021</v>
      </c>
      <c r="F48" s="43" t="s">
        <v>1862</v>
      </c>
      <c r="G48" s="43" t="s">
        <v>0</v>
      </c>
      <c r="H48" s="201" t="s">
        <v>0</v>
      </c>
      <c r="I48" s="43" t="s">
        <v>0</v>
      </c>
      <c r="J48" s="44">
        <v>45949</v>
      </c>
      <c r="K48" s="44">
        <v>45950</v>
      </c>
      <c r="L48" s="44">
        <v>45960</v>
      </c>
      <c r="M48" s="44"/>
      <c r="N48" s="127" t="s">
        <v>0</v>
      </c>
      <c r="O48" s="128" t="s">
        <v>2105</v>
      </c>
      <c r="P48" s="126" t="s">
        <v>2107</v>
      </c>
      <c r="Q48" s="65"/>
      <c r="R48" s="65"/>
      <c r="S48" s="65"/>
      <c r="T48" s="65"/>
      <c r="U48" s="65"/>
      <c r="V48" s="46">
        <f t="shared" ca="1" si="0"/>
        <v>0</v>
      </c>
      <c r="W48" s="47">
        <f t="shared" ca="1" si="1"/>
        <v>0</v>
      </c>
      <c r="X48" s="47" t="str">
        <f t="shared" ca="1" si="8"/>
        <v xml:space="preserve">PENDIENTE </v>
      </c>
      <c r="Y48" s="47">
        <f t="shared" ca="1" si="2"/>
        <v>0</v>
      </c>
      <c r="Z48" s="227" t="str">
        <f t="shared" ca="1" si="9"/>
        <v xml:space="preserve">PENDIENTE </v>
      </c>
      <c r="AA48" s="66"/>
      <c r="AB48" s="67">
        <v>17</v>
      </c>
      <c r="AC48" s="68"/>
      <c r="AD48" s="69"/>
      <c r="AE48" s="70">
        <v>18085.542841892584</v>
      </c>
      <c r="AF48" s="71">
        <v>7587.5750000000007</v>
      </c>
      <c r="AG48" s="71"/>
      <c r="AH48" s="72">
        <v>4435.0200000000004</v>
      </c>
      <c r="AI48" s="73"/>
      <c r="AJ48" s="71">
        <f>AE48-AF48-AH48-150</f>
        <v>5912.9478418925828</v>
      </c>
      <c r="AK48" s="71"/>
      <c r="AL48" s="71"/>
      <c r="AM48" s="70"/>
      <c r="AN48" s="74"/>
      <c r="AO48" s="278"/>
      <c r="AP48" s="144" t="str">
        <f t="shared" ca="1" si="10"/>
        <v/>
      </c>
      <c r="AQ48" s="142" t="s">
        <v>2381</v>
      </c>
      <c r="AR48" s="142" t="s">
        <v>2374</v>
      </c>
      <c r="AS48" s="57" t="str">
        <f t="shared" si="3"/>
        <v>---</v>
      </c>
      <c r="AT48" s="141" t="str">
        <f t="shared" si="4"/>
        <v xml:space="preserve">PLAN CINCO CCPP (Av) Doctor Fedriani 17 - </v>
      </c>
      <c r="AU48" s="141" t="str">
        <f t="shared" ca="1" si="5"/>
        <v/>
      </c>
      <c r="AV48" s="257" t="str">
        <f t="shared" ca="1" si="6"/>
        <v/>
      </c>
      <c r="AW48" s="257" t="str">
        <f t="shared" si="7"/>
        <v/>
      </c>
      <c r="AX48" s="141" t="s">
        <v>1410</v>
      </c>
      <c r="AY48" s="142"/>
    </row>
    <row r="49" spans="1:51" s="262" customFormat="1" x14ac:dyDescent="0.25">
      <c r="A49" s="64" t="s">
        <v>2165</v>
      </c>
      <c r="B49" s="64" t="s">
        <v>2228</v>
      </c>
      <c r="C49" s="61" t="s">
        <v>2129</v>
      </c>
      <c r="D49" s="43" t="s">
        <v>1863</v>
      </c>
      <c r="E49" s="201">
        <v>655236051</v>
      </c>
      <c r="F49" s="43" t="s">
        <v>1864</v>
      </c>
      <c r="G49" s="203" t="s">
        <v>2156</v>
      </c>
      <c r="H49" s="203" t="s">
        <v>0</v>
      </c>
      <c r="I49" s="122" t="s">
        <v>0</v>
      </c>
      <c r="J49" s="44">
        <v>45912</v>
      </c>
      <c r="K49" s="44">
        <v>45931</v>
      </c>
      <c r="L49" s="44">
        <v>45933</v>
      </c>
      <c r="M49" s="44"/>
      <c r="N49" s="127" t="s">
        <v>0</v>
      </c>
      <c r="O49" s="128" t="s">
        <v>2106</v>
      </c>
      <c r="P49" s="129" t="s">
        <v>2107</v>
      </c>
      <c r="Q49" s="65"/>
      <c r="R49" s="65"/>
      <c r="S49" s="65"/>
      <c r="T49" s="65"/>
      <c r="U49" s="65"/>
      <c r="V49" s="46">
        <f t="shared" ca="1" si="0"/>
        <v>0</v>
      </c>
      <c r="W49" s="47">
        <f t="shared" ca="1" si="1"/>
        <v>0</v>
      </c>
      <c r="X49" s="47" t="str">
        <f t="shared" ca="1" si="8"/>
        <v xml:space="preserve">PENDIENTE </v>
      </c>
      <c r="Y49" s="47">
        <f t="shared" ca="1" si="2"/>
        <v>0</v>
      </c>
      <c r="Z49" s="227" t="str">
        <f t="shared" ca="1" si="9"/>
        <v xml:space="preserve">PENDIENTE </v>
      </c>
      <c r="AA49" s="66"/>
      <c r="AB49" s="67">
        <v>12.6</v>
      </c>
      <c r="AC49" s="68"/>
      <c r="AD49" s="69"/>
      <c r="AE49" s="70">
        <v>11523.997682879963</v>
      </c>
      <c r="AF49" s="71">
        <v>5616.2550000000001</v>
      </c>
      <c r="AG49" s="71"/>
      <c r="AH49" s="72">
        <v>2555.66</v>
      </c>
      <c r="AI49" s="73"/>
      <c r="AJ49" s="71">
        <f>AE49-AF49-AH49-150</f>
        <v>3202.0826828799627</v>
      </c>
      <c r="AK49" s="71"/>
      <c r="AL49" s="71"/>
      <c r="AM49" s="70"/>
      <c r="AN49" s="74"/>
      <c r="AO49" s="278"/>
      <c r="AP49" s="144" t="str">
        <f t="shared" ca="1" si="10"/>
        <v/>
      </c>
      <c r="AQ49" s="142" t="s">
        <v>2381</v>
      </c>
      <c r="AR49" s="142" t="s">
        <v>2374</v>
      </c>
      <c r="AS49" s="57" t="str">
        <f t="shared" si="3"/>
        <v>---</v>
      </c>
      <c r="AT49" s="141" t="str">
        <f t="shared" si="4"/>
        <v xml:space="preserve">PLAN CINCO CCPP (Av) Doctor Fedriani 29 - </v>
      </c>
      <c r="AU49" s="141" t="str">
        <f t="shared" ca="1" si="5"/>
        <v/>
      </c>
      <c r="AV49" s="257" t="str">
        <f t="shared" ca="1" si="6"/>
        <v/>
      </c>
      <c r="AW49" s="257" t="str">
        <f t="shared" si="7"/>
        <v/>
      </c>
      <c r="AX49" s="141" t="s">
        <v>1410</v>
      </c>
      <c r="AY49" s="142"/>
    </row>
    <row r="50" spans="1:51" s="262" customFormat="1" x14ac:dyDescent="0.25">
      <c r="A50" s="64" t="s">
        <v>2165</v>
      </c>
      <c r="B50" s="64" t="s">
        <v>2229</v>
      </c>
      <c r="C50" s="61" t="s">
        <v>2129</v>
      </c>
      <c r="D50" s="43" t="s">
        <v>2110</v>
      </c>
      <c r="E50" s="201">
        <v>676417975</v>
      </c>
      <c r="F50" s="43" t="s">
        <v>1865</v>
      </c>
      <c r="G50" s="43" t="s">
        <v>0</v>
      </c>
      <c r="H50" s="201" t="s">
        <v>0</v>
      </c>
      <c r="I50" s="43" t="s">
        <v>0</v>
      </c>
      <c r="J50" s="44">
        <v>45904</v>
      </c>
      <c r="K50" s="44">
        <v>45931</v>
      </c>
      <c r="L50" s="44">
        <v>45933</v>
      </c>
      <c r="M50" s="44"/>
      <c r="N50" s="127" t="s">
        <v>0</v>
      </c>
      <c r="O50" s="128" t="s">
        <v>2105</v>
      </c>
      <c r="P50" s="129" t="s">
        <v>2107</v>
      </c>
      <c r="Q50" s="65"/>
      <c r="R50" s="65"/>
      <c r="S50" s="65"/>
      <c r="T50" s="65"/>
      <c r="U50" s="65"/>
      <c r="V50" s="46">
        <f t="shared" ca="1" si="0"/>
        <v>0</v>
      </c>
      <c r="W50" s="47">
        <f t="shared" ca="1" si="1"/>
        <v>0</v>
      </c>
      <c r="X50" s="47" t="str">
        <f t="shared" ca="1" si="8"/>
        <v xml:space="preserve">PENDIENTE </v>
      </c>
      <c r="Y50" s="47">
        <f t="shared" ca="1" si="2"/>
        <v>0</v>
      </c>
      <c r="Z50" s="227" t="str">
        <f t="shared" ca="1" si="9"/>
        <v xml:space="preserve">PENDIENTE </v>
      </c>
      <c r="AA50" s="66"/>
      <c r="AB50" s="67">
        <v>12.4</v>
      </c>
      <c r="AC50" s="68"/>
      <c r="AD50" s="69"/>
      <c r="AE50" s="70">
        <v>12043.298931362981</v>
      </c>
      <c r="AF50" s="71">
        <v>5522.5950000000003</v>
      </c>
      <c r="AG50" s="71"/>
      <c r="AH50" s="72">
        <v>2837.39</v>
      </c>
      <c r="AI50" s="73"/>
      <c r="AJ50" s="71">
        <f>AE50-AF50-AH50-150</f>
        <v>3533.3139313629804</v>
      </c>
      <c r="AK50" s="71"/>
      <c r="AL50" s="71"/>
      <c r="AM50" s="70"/>
      <c r="AN50" s="74"/>
      <c r="AO50" s="278"/>
      <c r="AP50" s="144" t="str">
        <f t="shared" ca="1" si="10"/>
        <v/>
      </c>
      <c r="AQ50" s="142" t="s">
        <v>2381</v>
      </c>
      <c r="AR50" s="142" t="s">
        <v>2374</v>
      </c>
      <c r="AS50" s="57" t="str">
        <f t="shared" si="3"/>
        <v>---</v>
      </c>
      <c r="AT50" s="141" t="str">
        <f t="shared" si="4"/>
        <v xml:space="preserve">PLAN CINCO CCPP (Av) Doctor Fedriani 31 - </v>
      </c>
      <c r="AU50" s="141" t="str">
        <f t="shared" ca="1" si="5"/>
        <v/>
      </c>
      <c r="AV50" s="257" t="str">
        <f t="shared" ca="1" si="6"/>
        <v/>
      </c>
      <c r="AW50" s="257" t="str">
        <f t="shared" si="7"/>
        <v/>
      </c>
      <c r="AX50" s="141" t="s">
        <v>1410</v>
      </c>
      <c r="AY50" s="142"/>
    </row>
    <row r="51" spans="1:51" s="262" customFormat="1" x14ac:dyDescent="0.25">
      <c r="A51" s="75" t="s">
        <v>2165</v>
      </c>
      <c r="B51" s="75" t="s">
        <v>2233</v>
      </c>
      <c r="C51" s="61" t="s">
        <v>2129</v>
      </c>
      <c r="D51" s="43" t="s">
        <v>1866</v>
      </c>
      <c r="E51" s="201">
        <v>661592498</v>
      </c>
      <c r="F51" s="43" t="s">
        <v>1867</v>
      </c>
      <c r="G51" s="43" t="s">
        <v>0</v>
      </c>
      <c r="H51" s="201" t="s">
        <v>0</v>
      </c>
      <c r="I51" s="43" t="s">
        <v>0</v>
      </c>
      <c r="J51" s="44">
        <v>45748</v>
      </c>
      <c r="K51" s="44">
        <v>45748</v>
      </c>
      <c r="L51" s="44">
        <v>45748</v>
      </c>
      <c r="M51" s="44"/>
      <c r="N51" s="127" t="s">
        <v>0</v>
      </c>
      <c r="O51" s="128" t="s">
        <v>0</v>
      </c>
      <c r="P51" s="129" t="s">
        <v>2100</v>
      </c>
      <c r="Q51" s="65">
        <v>45768</v>
      </c>
      <c r="R51" s="65">
        <v>45863</v>
      </c>
      <c r="S51" s="65">
        <v>45883</v>
      </c>
      <c r="T51" s="65">
        <v>45923</v>
      </c>
      <c r="U51" s="65">
        <v>45933</v>
      </c>
      <c r="V51" s="46" t="str">
        <f t="shared" ca="1" si="0"/>
        <v>OK</v>
      </c>
      <c r="W51" s="47">
        <f t="shared" ca="1" si="1"/>
        <v>1</v>
      </c>
      <c r="X51" s="47" t="str">
        <f t="shared" ca="1" si="8"/>
        <v>COMPLETO</v>
      </c>
      <c r="Y51" s="47">
        <f t="shared" ca="1" si="2"/>
        <v>1</v>
      </c>
      <c r="Z51" s="227" t="str">
        <f t="shared" ca="1" si="9"/>
        <v>COMPLETO</v>
      </c>
      <c r="AA51" s="66" t="s">
        <v>53</v>
      </c>
      <c r="AB51" s="85">
        <v>24</v>
      </c>
      <c r="AC51" s="86">
        <f>49.75/2</f>
        <v>24.875</v>
      </c>
      <c r="AD51" s="87">
        <f>1-(AC51/AB51)</f>
        <v>-3.6458333333333259E-2</v>
      </c>
      <c r="AE51" s="88">
        <v>20999.27</v>
      </c>
      <c r="AF51" s="89">
        <v>10690.29</v>
      </c>
      <c r="AG51" s="89">
        <v>11287.11</v>
      </c>
      <c r="AH51" s="90">
        <v>5838.65</v>
      </c>
      <c r="AI51" s="91">
        <v>5044</v>
      </c>
      <c r="AJ51" s="92">
        <f>AE51-AF51-AH51-150</f>
        <v>4320.33</v>
      </c>
      <c r="AK51" s="92">
        <f>AE51-AG51-AI51</f>
        <v>4668.16</v>
      </c>
      <c r="AL51" s="92">
        <f>AK51-AJ51</f>
        <v>347.82999999999993</v>
      </c>
      <c r="AM51" s="93">
        <f>AK51*0.2</f>
        <v>933.63200000000006</v>
      </c>
      <c r="AN51" s="94">
        <v>45987</v>
      </c>
      <c r="AO51" s="278"/>
      <c r="AP51" s="144" t="str">
        <f t="shared" ca="1" si="10"/>
        <v/>
      </c>
      <c r="AQ51" s="142" t="s">
        <v>2381</v>
      </c>
      <c r="AR51" s="142" t="s">
        <v>2374</v>
      </c>
      <c r="AS51" s="57" t="str">
        <f t="shared" si="3"/>
        <v>---</v>
      </c>
      <c r="AT51" s="141" t="str">
        <f t="shared" si="4"/>
        <v xml:space="preserve">PLAN CINCO CCPP (Av) Doctor Fedriani 39 - </v>
      </c>
      <c r="AU51" s="141" t="str">
        <f t="shared" ca="1" si="5"/>
        <v/>
      </c>
      <c r="AV51" s="257" t="str">
        <f t="shared" ca="1" si="6"/>
        <v/>
      </c>
      <c r="AW51" s="257" t="str">
        <f t="shared" si="7"/>
        <v/>
      </c>
      <c r="AX51" s="141" t="s">
        <v>1410</v>
      </c>
      <c r="AY51" s="142"/>
    </row>
    <row r="52" spans="1:51" s="262" customFormat="1" x14ac:dyDescent="0.25">
      <c r="A52" s="64" t="s">
        <v>2164</v>
      </c>
      <c r="B52" s="64" t="s">
        <v>2235</v>
      </c>
      <c r="C52" s="61" t="s">
        <v>2129</v>
      </c>
      <c r="D52" s="43" t="s">
        <v>1868</v>
      </c>
      <c r="E52" s="201">
        <v>955676454</v>
      </c>
      <c r="F52" s="43" t="s">
        <v>1869</v>
      </c>
      <c r="G52" s="122" t="s">
        <v>0</v>
      </c>
      <c r="H52" s="201" t="s">
        <v>0</v>
      </c>
      <c r="I52" s="43" t="s">
        <v>0</v>
      </c>
      <c r="J52" s="44">
        <v>45980</v>
      </c>
      <c r="K52" s="44"/>
      <c r="L52" s="44"/>
      <c r="M52" s="44"/>
      <c r="N52" s="127">
        <v>46157</v>
      </c>
      <c r="O52" s="128" t="s">
        <v>2133</v>
      </c>
      <c r="P52" s="129" t="s">
        <v>2514</v>
      </c>
      <c r="Q52" s="65"/>
      <c r="R52" s="65"/>
      <c r="S52" s="65"/>
      <c r="T52" s="65"/>
      <c r="U52" s="65"/>
      <c r="V52" s="46">
        <f t="shared" ca="1" si="0"/>
        <v>0</v>
      </c>
      <c r="W52" s="47">
        <f t="shared" ca="1" si="1"/>
        <v>0</v>
      </c>
      <c r="X52" s="47" t="str">
        <f t="shared" ca="1" si="8"/>
        <v xml:space="preserve">PENDIENTE </v>
      </c>
      <c r="Y52" s="47">
        <f t="shared" ca="1" si="2"/>
        <v>0</v>
      </c>
      <c r="Z52" s="227" t="str">
        <f t="shared" ca="1" si="9"/>
        <v xml:space="preserve">PENDIENTE </v>
      </c>
      <c r="AA52" s="124"/>
      <c r="AB52" s="67"/>
      <c r="AC52" s="68"/>
      <c r="AD52" s="69"/>
      <c r="AE52" s="70"/>
      <c r="AF52" s="71"/>
      <c r="AG52" s="71"/>
      <c r="AH52" s="72"/>
      <c r="AI52" s="73"/>
      <c r="AJ52" s="71"/>
      <c r="AK52" s="71"/>
      <c r="AL52" s="71"/>
      <c r="AM52" s="70"/>
      <c r="AN52" s="74"/>
      <c r="AO52" s="278"/>
      <c r="AP52" s="144" t="str">
        <f t="shared" ca="1" si="10"/>
        <v/>
      </c>
      <c r="AQ52" s="142" t="s">
        <v>2381</v>
      </c>
      <c r="AR52" s="142" t="s">
        <v>2374</v>
      </c>
      <c r="AS52" s="57" t="str">
        <f t="shared" si="3"/>
        <v>01</v>
      </c>
      <c r="AT52" s="141" t="str">
        <f t="shared" si="4"/>
        <v>PLAN CINCO CCPP (C) (Dos Hermanas) Doctor Fleming 6 - Solicitud de documentación para presupuestar</v>
      </c>
      <c r="AU52" s="141" t="str">
        <f t="shared" ca="1" si="5"/>
        <v>Estimado/a Sr/Sra:
Gracias por contactar con Instalaciones Araujo para valorar la individualización de contadores de agua en la CCPP (C) (Dos Hermanas) Doctor Fleming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52" s="257" t="str">
        <f t="shared" ca="1" si="6"/>
        <v>Estimado/a Sr/Sra:
Gracias por contactar con Instalaciones Araujo para valorar la individualización de contadores de agua en la CCPP (C) (Dos Hermanas) Doctor Fleming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52" s="257" t="str">
        <f t="shared" si="7"/>
        <v>Estimado/a Sr/Sra:
Gracias por contactar con Instalaciones Araujo para valorar la individualización de contadores de agua en la CCPP (C) (Dos Hermanas) Doctor Fleming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52" s="141" t="s">
        <v>1410</v>
      </c>
      <c r="AY52" s="142"/>
    </row>
    <row r="53" spans="1:51" s="262" customFormat="1" x14ac:dyDescent="0.25">
      <c r="A53" s="64" t="s">
        <v>2162</v>
      </c>
      <c r="B53" s="64" t="s">
        <v>2232</v>
      </c>
      <c r="C53" s="61" t="s">
        <v>2129</v>
      </c>
      <c r="D53" s="43" t="s">
        <v>1870</v>
      </c>
      <c r="E53" s="201">
        <v>609444602</v>
      </c>
      <c r="F53" s="43" t="s">
        <v>1871</v>
      </c>
      <c r="G53" s="43" t="s">
        <v>0</v>
      </c>
      <c r="H53" s="201" t="s">
        <v>0</v>
      </c>
      <c r="I53" s="43" t="s">
        <v>0</v>
      </c>
      <c r="J53" s="44">
        <v>45769</v>
      </c>
      <c r="K53" s="44">
        <v>45770</v>
      </c>
      <c r="L53" s="44">
        <v>45772</v>
      </c>
      <c r="M53" s="44"/>
      <c r="N53" s="127" t="s">
        <v>0</v>
      </c>
      <c r="O53" s="128" t="s">
        <v>2105</v>
      </c>
      <c r="P53" s="126" t="s">
        <v>2107</v>
      </c>
      <c r="Q53" s="65"/>
      <c r="R53" s="65"/>
      <c r="S53" s="65"/>
      <c r="T53" s="65"/>
      <c r="U53" s="65"/>
      <c r="V53" s="46">
        <f t="shared" ca="1" si="0"/>
        <v>0</v>
      </c>
      <c r="W53" s="47">
        <f t="shared" ca="1" si="1"/>
        <v>0</v>
      </c>
      <c r="X53" s="47" t="str">
        <f t="shared" ca="1" si="8"/>
        <v xml:space="preserve">PENDIENTE </v>
      </c>
      <c r="Y53" s="47">
        <f t="shared" ca="1" si="2"/>
        <v>0</v>
      </c>
      <c r="Z53" s="227" t="str">
        <f t="shared" ca="1" si="9"/>
        <v xml:space="preserve">PENDIENTE </v>
      </c>
      <c r="AA53" s="66"/>
      <c r="AB53" s="67">
        <v>14</v>
      </c>
      <c r="AC53" s="68"/>
      <c r="AD53" s="69"/>
      <c r="AE53" s="70">
        <v>16383.067937908429</v>
      </c>
      <c r="AF53" s="71">
        <v>6244</v>
      </c>
      <c r="AG53" s="71"/>
      <c r="AH53" s="72">
        <v>4414.79</v>
      </c>
      <c r="AI53" s="73"/>
      <c r="AJ53" s="71">
        <f>AE53-AF53-AH53-150</f>
        <v>5574.2779379084286</v>
      </c>
      <c r="AK53" s="71"/>
      <c r="AL53" s="71"/>
      <c r="AM53" s="70"/>
      <c r="AN53" s="74"/>
      <c r="AO53" s="278"/>
      <c r="AP53" s="144" t="str">
        <f t="shared" ca="1" si="10"/>
        <v/>
      </c>
      <c r="AQ53" s="142" t="s">
        <v>2381</v>
      </c>
      <c r="AR53" s="142" t="s">
        <v>2374</v>
      </c>
      <c r="AS53" s="57" t="str">
        <f t="shared" si="3"/>
        <v>---</v>
      </c>
      <c r="AT53" s="141" t="str">
        <f t="shared" si="4"/>
        <v xml:space="preserve">PLAN CINCO CCPP (C) Doctor Marañón 11 - </v>
      </c>
      <c r="AU53" s="141" t="str">
        <f t="shared" ca="1" si="5"/>
        <v/>
      </c>
      <c r="AV53" s="257" t="str">
        <f t="shared" ca="1" si="6"/>
        <v/>
      </c>
      <c r="AW53" s="257" t="str">
        <f t="shared" si="7"/>
        <v/>
      </c>
      <c r="AX53" s="141" t="s">
        <v>1410</v>
      </c>
      <c r="AY53" s="142"/>
    </row>
    <row r="54" spans="1:51" s="262" customFormat="1" x14ac:dyDescent="0.25">
      <c r="A54" s="64" t="s">
        <v>2162</v>
      </c>
      <c r="B54" s="64" t="s">
        <v>2391</v>
      </c>
      <c r="C54" s="61" t="s">
        <v>2129</v>
      </c>
      <c r="D54" s="43" t="s">
        <v>1870</v>
      </c>
      <c r="E54" s="201">
        <v>609444602</v>
      </c>
      <c r="F54" s="43" t="s">
        <v>1871</v>
      </c>
      <c r="G54" s="43" t="s">
        <v>0</v>
      </c>
      <c r="H54" s="201" t="s">
        <v>0</v>
      </c>
      <c r="I54" s="43" t="s">
        <v>0</v>
      </c>
      <c r="J54" s="44">
        <v>45769</v>
      </c>
      <c r="K54" s="44">
        <v>45770</v>
      </c>
      <c r="L54" s="44">
        <v>45772</v>
      </c>
      <c r="M54" s="44"/>
      <c r="N54" s="127" t="s">
        <v>0</v>
      </c>
      <c r="O54" s="128" t="s">
        <v>2106</v>
      </c>
      <c r="P54" s="126" t="s">
        <v>2107</v>
      </c>
      <c r="Q54" s="65"/>
      <c r="R54" s="65"/>
      <c r="S54" s="65"/>
      <c r="T54" s="65"/>
      <c r="U54" s="65"/>
      <c r="V54" s="46">
        <f t="shared" ca="1" si="0"/>
        <v>0</v>
      </c>
      <c r="W54" s="47">
        <f t="shared" ca="1" si="1"/>
        <v>0</v>
      </c>
      <c r="X54" s="47" t="str">
        <f t="shared" ca="1" si="8"/>
        <v xml:space="preserve">PENDIENTE </v>
      </c>
      <c r="Y54" s="47">
        <f t="shared" ca="1" si="2"/>
        <v>0</v>
      </c>
      <c r="Z54" s="227" t="str">
        <f t="shared" ca="1" si="9"/>
        <v xml:space="preserve">PENDIENTE </v>
      </c>
      <c r="AA54" s="66"/>
      <c r="AB54" s="67">
        <v>9.8000000000000007</v>
      </c>
      <c r="AC54" s="68"/>
      <c r="AD54" s="69"/>
      <c r="AE54" s="70">
        <v>10297.380180769414</v>
      </c>
      <c r="AF54" s="71">
        <v>4376.375</v>
      </c>
      <c r="AG54" s="71"/>
      <c r="AH54" s="72">
        <v>2576.44</v>
      </c>
      <c r="AI54" s="73"/>
      <c r="AJ54" s="71">
        <f>AE54-AF54-AH54-150</f>
        <v>3194.5651807694144</v>
      </c>
      <c r="AK54" s="71"/>
      <c r="AL54" s="71"/>
      <c r="AM54" s="70"/>
      <c r="AN54" s="74"/>
      <c r="AO54" s="278"/>
      <c r="AP54" s="144" t="str">
        <f t="shared" ca="1" si="10"/>
        <v/>
      </c>
      <c r="AQ54" s="142" t="s">
        <v>2381</v>
      </c>
      <c r="AR54" s="142" t="s">
        <v>2374</v>
      </c>
      <c r="AS54" s="57" t="str">
        <f t="shared" si="3"/>
        <v>---</v>
      </c>
      <c r="AT54" s="141" t="str">
        <f t="shared" si="4"/>
        <v xml:space="preserve">PLAN CINCO CCPP (C) Doctores González Meneses 03 - </v>
      </c>
      <c r="AU54" s="141" t="str">
        <f t="shared" ca="1" si="5"/>
        <v/>
      </c>
      <c r="AV54" s="257" t="str">
        <f t="shared" ca="1" si="6"/>
        <v/>
      </c>
      <c r="AW54" s="257" t="str">
        <f t="shared" si="7"/>
        <v/>
      </c>
      <c r="AX54" s="141" t="s">
        <v>1410</v>
      </c>
      <c r="AY54" s="142"/>
    </row>
    <row r="55" spans="1:51" s="262" customFormat="1" x14ac:dyDescent="0.25">
      <c r="A55" s="75" t="s">
        <v>2162</v>
      </c>
      <c r="B55" s="75" t="s">
        <v>2236</v>
      </c>
      <c r="C55" s="61" t="s">
        <v>2129</v>
      </c>
      <c r="D55" s="43" t="s">
        <v>1288</v>
      </c>
      <c r="E55" s="201">
        <v>954440400</v>
      </c>
      <c r="F55" s="43" t="s">
        <v>1872</v>
      </c>
      <c r="G55" s="43" t="s">
        <v>1873</v>
      </c>
      <c r="H55" s="201">
        <v>600732453</v>
      </c>
      <c r="I55" s="43" t="s">
        <v>1874</v>
      </c>
      <c r="J55" s="44">
        <v>45611</v>
      </c>
      <c r="K55" s="44">
        <v>45889</v>
      </c>
      <c r="L55" s="44">
        <v>45891</v>
      </c>
      <c r="M55" s="44"/>
      <c r="N55" s="127">
        <v>46129</v>
      </c>
      <c r="O55" s="199" t="s">
        <v>2473</v>
      </c>
      <c r="P55" s="129" t="s">
        <v>2529</v>
      </c>
      <c r="Q55" s="95" t="s">
        <v>0</v>
      </c>
      <c r="R55" s="65" t="s">
        <v>0</v>
      </c>
      <c r="S55" s="65" t="s">
        <v>0</v>
      </c>
      <c r="T55" s="65" t="s">
        <v>0</v>
      </c>
      <c r="U55" s="65" t="s">
        <v>0</v>
      </c>
      <c r="V55" s="46" t="str">
        <f t="shared" ca="1" si="0"/>
        <v>F</v>
      </c>
      <c r="W55" s="47">
        <f t="shared" ca="1" si="1"/>
        <v>0.85714285714285721</v>
      </c>
      <c r="X55" s="47" t="str">
        <f t="shared" ca="1" si="8"/>
        <v>PENDIENTE -PRESUPUESTO</v>
      </c>
      <c r="Y55" s="47">
        <f t="shared" ca="1" si="2"/>
        <v>0</v>
      </c>
      <c r="Z55" s="227" t="str">
        <f t="shared" ca="1" si="9"/>
        <v>PENDIENTE -PISO-PISO-PISO-PISO-PISO-PISO-PISO-PISO-PISO-PISO-PISO-PISO-PISO-PISO-PISO-PISO-PISO-PISO-PISO-PISO-PISO-PISO-PISO-PISO-PISO-PISO-PISO-PISO-PISO-PISO-PISO-PISO-PISO-PISO-PISO-PISO-PISO-PISO-PISO-PISO</v>
      </c>
      <c r="AA55" s="66" t="s">
        <v>7</v>
      </c>
      <c r="AB55" s="67">
        <v>6.2</v>
      </c>
      <c r="AC55" s="68">
        <f>AB55</f>
        <v>6.2</v>
      </c>
      <c r="AD55" s="69">
        <f>1-(AC55/AB55)</f>
        <v>0</v>
      </c>
      <c r="AE55" s="70">
        <v>9013.5</v>
      </c>
      <c r="AF55" s="71">
        <v>2759.63</v>
      </c>
      <c r="AG55" s="71">
        <f>AF55</f>
        <v>2759.63</v>
      </c>
      <c r="AH55" s="72">
        <v>2774.95</v>
      </c>
      <c r="AI55" s="73">
        <f>AH55</f>
        <v>2774.95</v>
      </c>
      <c r="AJ55" s="71">
        <f>AE55-AF55-AH55-180</f>
        <v>3298.92</v>
      </c>
      <c r="AK55" s="71">
        <f>AE55-AG55-AI55</f>
        <v>3478.92</v>
      </c>
      <c r="AL55" s="71">
        <f>AK55-AJ55</f>
        <v>180</v>
      </c>
      <c r="AM55" s="70">
        <f>AK55*0.2</f>
        <v>695.78400000000011</v>
      </c>
      <c r="AN55" s="74"/>
      <c r="AO55" s="278"/>
      <c r="AP55" s="144" t="str">
        <f t="shared" ca="1" si="10"/>
        <v/>
      </c>
      <c r="AQ55" s="142" t="s">
        <v>2381</v>
      </c>
      <c r="AR55" s="142" t="s">
        <v>2374</v>
      </c>
      <c r="AS55" s="57" t="str">
        <f t="shared" si="3"/>
        <v>---</v>
      </c>
      <c r="AT55" s="141" t="str">
        <f t="shared" si="4"/>
        <v xml:space="preserve">PLAN CINCO CCPP (C) Doctores González Meneses 10 - </v>
      </c>
      <c r="AU55" s="141" t="str">
        <f t="shared" ca="1" si="5"/>
        <v/>
      </c>
      <c r="AV55" s="257" t="str">
        <f t="shared" ca="1" si="6"/>
        <v/>
      </c>
      <c r="AW55" s="257" t="str">
        <f t="shared" si="7"/>
        <v/>
      </c>
      <c r="AX55" s="141" t="s">
        <v>1410</v>
      </c>
      <c r="AY55" s="142"/>
    </row>
    <row r="56" spans="1:51" s="262" customFormat="1" x14ac:dyDescent="0.25">
      <c r="A56" s="64" t="s">
        <v>2162</v>
      </c>
      <c r="B56" s="64" t="s">
        <v>2234</v>
      </c>
      <c r="C56" s="61" t="s">
        <v>2129</v>
      </c>
      <c r="D56" s="43" t="s">
        <v>1359</v>
      </c>
      <c r="E56" s="201">
        <v>653689992</v>
      </c>
      <c r="F56" s="43" t="s">
        <v>1817</v>
      </c>
      <c r="G56" s="43" t="s">
        <v>0</v>
      </c>
      <c r="H56" s="201" t="s">
        <v>0</v>
      </c>
      <c r="I56" s="43" t="s">
        <v>0</v>
      </c>
      <c r="J56" s="44">
        <v>45891</v>
      </c>
      <c r="K56" s="44">
        <v>45903</v>
      </c>
      <c r="L56" s="44">
        <v>45904</v>
      </c>
      <c r="M56" s="44"/>
      <c r="N56" s="127" t="s">
        <v>0</v>
      </c>
      <c r="O56" s="128" t="s">
        <v>2105</v>
      </c>
      <c r="P56" s="126" t="s">
        <v>2107</v>
      </c>
      <c r="Q56" s="65"/>
      <c r="R56" s="65"/>
      <c r="S56" s="65"/>
      <c r="T56" s="65"/>
      <c r="U56" s="65"/>
      <c r="V56" s="46">
        <f t="shared" ca="1" si="0"/>
        <v>0</v>
      </c>
      <c r="W56" s="47">
        <f t="shared" ca="1" si="1"/>
        <v>0</v>
      </c>
      <c r="X56" s="47" t="str">
        <f t="shared" ca="1" si="8"/>
        <v xml:space="preserve">PENDIENTE </v>
      </c>
      <c r="Y56" s="47">
        <f t="shared" ca="1" si="2"/>
        <v>0</v>
      </c>
      <c r="Z56" s="227" t="str">
        <f t="shared" ca="1" si="9"/>
        <v xml:space="preserve">PENDIENTE </v>
      </c>
      <c r="AA56" s="66"/>
      <c r="AB56" s="67">
        <v>6.5</v>
      </c>
      <c r="AC56" s="68"/>
      <c r="AD56" s="69"/>
      <c r="AE56" s="70">
        <v>8548.2209090301822</v>
      </c>
      <c r="AF56" s="71">
        <v>2893.4250000000002</v>
      </c>
      <c r="AG56" s="71"/>
      <c r="AH56" s="72">
        <v>2663.95</v>
      </c>
      <c r="AI56" s="73"/>
      <c r="AJ56" s="71">
        <f t="shared" ref="AJ56:AJ61" si="12">AE56-AF56-AH56-150</f>
        <v>2840.8459090301822</v>
      </c>
      <c r="AK56" s="71"/>
      <c r="AL56" s="71"/>
      <c r="AM56" s="70"/>
      <c r="AN56" s="74"/>
      <c r="AO56" s="278"/>
      <c r="AP56" s="144" t="str">
        <f t="shared" ca="1" si="10"/>
        <v/>
      </c>
      <c r="AQ56" s="142" t="s">
        <v>2381</v>
      </c>
      <c r="AR56" s="142" t="s">
        <v>2374</v>
      </c>
      <c r="AS56" s="57" t="str">
        <f t="shared" si="3"/>
        <v>---</v>
      </c>
      <c r="AT56" s="141" t="str">
        <f t="shared" si="4"/>
        <v xml:space="preserve">PLAN CINCO CCPP (C) Doctores González Meneses 14 - </v>
      </c>
      <c r="AU56" s="141" t="str">
        <f t="shared" ca="1" si="5"/>
        <v/>
      </c>
      <c r="AV56" s="257" t="str">
        <f t="shared" ca="1" si="6"/>
        <v/>
      </c>
      <c r="AW56" s="257" t="str">
        <f t="shared" si="7"/>
        <v/>
      </c>
      <c r="AX56" s="141" t="s">
        <v>1410</v>
      </c>
      <c r="AY56" s="142"/>
    </row>
    <row r="57" spans="1:51" s="262" customFormat="1" x14ac:dyDescent="0.25">
      <c r="A57" s="64" t="s">
        <v>2162</v>
      </c>
      <c r="B57" s="64" t="s">
        <v>2239</v>
      </c>
      <c r="C57" s="61" t="s">
        <v>2129</v>
      </c>
      <c r="D57" s="43" t="s">
        <v>1875</v>
      </c>
      <c r="E57" s="201">
        <v>636900329</v>
      </c>
      <c r="F57" s="43" t="s">
        <v>1876</v>
      </c>
      <c r="G57" s="43" t="s">
        <v>1877</v>
      </c>
      <c r="H57" s="201">
        <v>647187912</v>
      </c>
      <c r="I57" s="43" t="s">
        <v>0</v>
      </c>
      <c r="J57" s="44">
        <v>45734</v>
      </c>
      <c r="K57" s="44">
        <v>45735</v>
      </c>
      <c r="L57" s="44">
        <v>45772</v>
      </c>
      <c r="M57" s="44"/>
      <c r="N57" s="127">
        <v>46280</v>
      </c>
      <c r="O57" s="128" t="s">
        <v>2118</v>
      </c>
      <c r="P57" s="126" t="s">
        <v>2522</v>
      </c>
      <c r="Q57" s="65"/>
      <c r="R57" s="65"/>
      <c r="S57" s="65"/>
      <c r="T57" s="65"/>
      <c r="U57" s="65"/>
      <c r="V57" s="46">
        <f t="shared" ca="1" si="0"/>
        <v>0</v>
      </c>
      <c r="W57" s="47">
        <f t="shared" ca="1" si="1"/>
        <v>0</v>
      </c>
      <c r="X57" s="47" t="str">
        <f t="shared" ca="1" si="8"/>
        <v xml:space="preserve">PENDIENTE </v>
      </c>
      <c r="Y57" s="47">
        <f t="shared" ca="1" si="2"/>
        <v>0</v>
      </c>
      <c r="Z57" s="227" t="str">
        <f t="shared" ca="1" si="9"/>
        <v xml:space="preserve">PENDIENTE </v>
      </c>
      <c r="AA57" s="66"/>
      <c r="AB57" s="67">
        <v>16.100000000000001</v>
      </c>
      <c r="AC57" s="68"/>
      <c r="AD57" s="69"/>
      <c r="AE57" s="70">
        <v>18915.91340425823</v>
      </c>
      <c r="AF57" s="71">
        <v>7169.45</v>
      </c>
      <c r="AG57" s="71"/>
      <c r="AH57" s="72">
        <v>5501.84</v>
      </c>
      <c r="AI57" s="73"/>
      <c r="AJ57" s="71">
        <f t="shared" si="12"/>
        <v>6094.6234042582291</v>
      </c>
      <c r="AK57" s="71"/>
      <c r="AL57" s="71"/>
      <c r="AM57" s="70"/>
      <c r="AN57" s="74"/>
      <c r="AO57" s="278"/>
      <c r="AP57" s="144" t="str">
        <f t="shared" ca="1" si="10"/>
        <v/>
      </c>
      <c r="AQ57" s="142" t="s">
        <v>2381</v>
      </c>
      <c r="AR57" s="142" t="s">
        <v>2374</v>
      </c>
      <c r="AS57" s="57" t="str">
        <f t="shared" si="3"/>
        <v>03</v>
      </c>
      <c r="AT57" s="141" t="str">
        <f t="shared" si="4"/>
        <v>PLAN CINCO CCPP (C) Doña Clarines 2 - Presupuesto pendiente de adjudicación</v>
      </c>
      <c r="AU57" s="141" t="str">
        <f t="shared" ca="1" si="5"/>
        <v>Estimado/a Sr/Sra:
Desde Instalaciones Araujo nos ponemos en contacto con ud, en relación con el Presupuesto de individualización de contadores de agua que le facilitamos el pasado 00/01/1900 para la CCPP (C) Doña Clarines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57" s="257" t="str">
        <f t="shared" ca="1" si="6"/>
        <v>Estimado/a Sr/Sra:
Desde Instalaciones Araujo nos ponemos en contacto con ud, en relación con el Presupuesto de individualización de contadores de agua que le facilitamos el pasado {FECHA_PTO} para la CCPP (C) Doña Clarines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57" s="257" t="str">
        <f t="shared" si="7"/>
        <v>Estimado/a Sr/Sra:
Desde Instalaciones Araujo nos ponemos en contacto con ud, en relación con el Presupuesto de individualización de contadores de agua que le facilitamos el pasado {FECHA_PTO} para la CCPP (C) Doña Clarines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57" s="141" t="s">
        <v>1410</v>
      </c>
      <c r="AY57" s="142"/>
    </row>
    <row r="58" spans="1:51" s="262" customFormat="1" x14ac:dyDescent="0.25">
      <c r="A58" s="75" t="s">
        <v>2162</v>
      </c>
      <c r="B58" s="75" t="s">
        <v>2240</v>
      </c>
      <c r="C58" s="61" t="s">
        <v>2129</v>
      </c>
      <c r="D58" s="43" t="s">
        <v>1878</v>
      </c>
      <c r="E58" s="201">
        <v>686217293</v>
      </c>
      <c r="F58" s="43" t="s">
        <v>1879</v>
      </c>
      <c r="G58" s="43" t="s">
        <v>1880</v>
      </c>
      <c r="H58" s="201">
        <v>601167243</v>
      </c>
      <c r="I58" s="43" t="s">
        <v>0</v>
      </c>
      <c r="J58" s="44">
        <v>45910</v>
      </c>
      <c r="K58" s="44">
        <v>45916</v>
      </c>
      <c r="L58" s="44">
        <v>45918</v>
      </c>
      <c r="M58" s="44"/>
      <c r="N58" s="127" t="s">
        <v>0</v>
      </c>
      <c r="O58" s="128" t="s">
        <v>2157</v>
      </c>
      <c r="P58" s="126" t="s">
        <v>2528</v>
      </c>
      <c r="Q58" s="65">
        <v>46366</v>
      </c>
      <c r="R58" s="65">
        <v>46072</v>
      </c>
      <c r="S58" s="65">
        <v>46091</v>
      </c>
      <c r="T58" s="65" t="s">
        <v>609</v>
      </c>
      <c r="U58" s="65"/>
      <c r="V58" s="46" t="str">
        <f t="shared" ca="1" si="0"/>
        <v>OK</v>
      </c>
      <c r="W58" s="47">
        <f t="shared" ca="1" si="1"/>
        <v>1</v>
      </c>
      <c r="X58" s="47" t="str">
        <f t="shared" ca="1" si="8"/>
        <v>COMPLETO</v>
      </c>
      <c r="Y58" s="47">
        <f t="shared" ca="1" si="2"/>
        <v>1</v>
      </c>
      <c r="Z58" s="227" t="str">
        <f t="shared" ca="1" si="9"/>
        <v>COMPLETO</v>
      </c>
      <c r="AA58" s="66" t="s">
        <v>53</v>
      </c>
      <c r="AB58" s="67">
        <v>22</v>
      </c>
      <c r="AC58" s="68">
        <f>AB58</f>
        <v>22</v>
      </c>
      <c r="AD58" s="69">
        <f>1-(AC58/AB58)</f>
        <v>0</v>
      </c>
      <c r="AE58" s="70">
        <v>31414.63</v>
      </c>
      <c r="AF58" s="71">
        <v>9817.58</v>
      </c>
      <c r="AG58" s="71">
        <f>AF58</f>
        <v>9817.58</v>
      </c>
      <c r="AH58" s="72">
        <v>10539.54</v>
      </c>
      <c r="AI58" s="73">
        <f>AH58</f>
        <v>10539.54</v>
      </c>
      <c r="AJ58" s="71">
        <f t="shared" si="12"/>
        <v>10907.510000000002</v>
      </c>
      <c r="AK58" s="71">
        <f>AE58-AG58-AI58</f>
        <v>11057.510000000002</v>
      </c>
      <c r="AL58" s="71">
        <f>AK58-AJ58</f>
        <v>150</v>
      </c>
      <c r="AM58" s="70">
        <f>AK58*0.2</f>
        <v>2211.5020000000004</v>
      </c>
      <c r="AN58" s="74"/>
      <c r="AO58" s="278"/>
      <c r="AP58" s="144" t="str">
        <f t="shared" ca="1" si="10"/>
        <v/>
      </c>
      <c r="AQ58" s="142" t="s">
        <v>2381</v>
      </c>
      <c r="AR58" s="142" t="s">
        <v>2374</v>
      </c>
      <c r="AS58" s="57" t="str">
        <f t="shared" si="3"/>
        <v>---</v>
      </c>
      <c r="AT58" s="141" t="str">
        <f t="shared" si="4"/>
        <v xml:space="preserve">PLAN CINCO CCPP (C) Doña Francisquita 20 - </v>
      </c>
      <c r="AU58" s="141" t="str">
        <f t="shared" ca="1" si="5"/>
        <v/>
      </c>
      <c r="AV58" s="257" t="str">
        <f t="shared" ca="1" si="6"/>
        <v/>
      </c>
      <c r="AW58" s="257" t="str">
        <f t="shared" si="7"/>
        <v/>
      </c>
      <c r="AX58" s="141" t="s">
        <v>1410</v>
      </c>
      <c r="AY58" s="142"/>
    </row>
    <row r="59" spans="1:51" s="262" customFormat="1" x14ac:dyDescent="0.25">
      <c r="A59" s="64" t="s">
        <v>2162</v>
      </c>
      <c r="B59" s="64" t="s">
        <v>2237</v>
      </c>
      <c r="C59" s="61">
        <v>32</v>
      </c>
      <c r="D59" s="43" t="s">
        <v>1833</v>
      </c>
      <c r="E59" s="201">
        <v>663065114</v>
      </c>
      <c r="F59" s="43" t="s">
        <v>0</v>
      </c>
      <c r="G59" s="203" t="s">
        <v>2156</v>
      </c>
      <c r="H59" s="203" t="s">
        <v>0</v>
      </c>
      <c r="I59" s="122" t="s">
        <v>0</v>
      </c>
      <c r="J59" s="44">
        <v>46020</v>
      </c>
      <c r="K59" s="44">
        <v>46042</v>
      </c>
      <c r="L59" s="44">
        <v>46050</v>
      </c>
      <c r="M59" s="44"/>
      <c r="N59" s="127" t="s">
        <v>0</v>
      </c>
      <c r="O59" s="128" t="s">
        <v>2105</v>
      </c>
      <c r="P59" s="126" t="s">
        <v>2107</v>
      </c>
      <c r="Q59" s="65"/>
      <c r="R59" s="65"/>
      <c r="S59" s="65"/>
      <c r="T59" s="65"/>
      <c r="U59" s="65"/>
      <c r="V59" s="46">
        <f t="shared" ca="1" si="0"/>
        <v>0</v>
      </c>
      <c r="W59" s="47">
        <f t="shared" ca="1" si="1"/>
        <v>0</v>
      </c>
      <c r="X59" s="47" t="str">
        <f t="shared" ca="1" si="8"/>
        <v xml:space="preserve">PENDIENTE </v>
      </c>
      <c r="Y59" s="47">
        <f t="shared" ca="1" si="2"/>
        <v>0</v>
      </c>
      <c r="Z59" s="227" t="str">
        <f t="shared" ca="1" si="9"/>
        <v xml:space="preserve">PENDIENTE </v>
      </c>
      <c r="AA59" s="66"/>
      <c r="AB59" s="67">
        <v>8</v>
      </c>
      <c r="AC59" s="68"/>
      <c r="AD59" s="69"/>
      <c r="AE59" s="70">
        <v>9191.1419478965181</v>
      </c>
      <c r="AF59" s="71">
        <v>3562.4250000000002</v>
      </c>
      <c r="AG59" s="71"/>
      <c r="AH59" s="72">
        <v>2350.59</v>
      </c>
      <c r="AI59" s="73"/>
      <c r="AJ59" s="71">
        <f t="shared" si="12"/>
        <v>3128.1269478965178</v>
      </c>
      <c r="AK59" s="71"/>
      <c r="AL59" s="71"/>
      <c r="AM59" s="70"/>
      <c r="AN59" s="74"/>
      <c r="AO59" s="278"/>
      <c r="AP59" s="144" t="str">
        <f t="shared" ca="1" si="10"/>
        <v/>
      </c>
      <c r="AQ59" s="142" t="s">
        <v>2381</v>
      </c>
      <c r="AR59" s="142" t="s">
        <v>2374</v>
      </c>
      <c r="AS59" s="57" t="str">
        <f t="shared" si="3"/>
        <v>---</v>
      </c>
      <c r="AT59" s="141" t="str">
        <f t="shared" si="4"/>
        <v xml:space="preserve">PLAN CINCO CCPP (C) Doña Francisquita 32 - </v>
      </c>
      <c r="AU59" s="141" t="str">
        <f t="shared" ca="1" si="5"/>
        <v/>
      </c>
      <c r="AV59" s="257" t="str">
        <f t="shared" ca="1" si="6"/>
        <v/>
      </c>
      <c r="AW59" s="257" t="str">
        <f t="shared" si="7"/>
        <v/>
      </c>
      <c r="AX59" s="141" t="s">
        <v>1410</v>
      </c>
      <c r="AY59" s="142"/>
    </row>
    <row r="60" spans="1:51" s="262" customFormat="1" x14ac:dyDescent="0.25">
      <c r="A60" s="64" t="s">
        <v>2162</v>
      </c>
      <c r="B60" s="64" t="s">
        <v>2238</v>
      </c>
      <c r="C60" s="61">
        <v>33</v>
      </c>
      <c r="D60" s="43" t="s">
        <v>1833</v>
      </c>
      <c r="E60" s="201">
        <v>663065114</v>
      </c>
      <c r="F60" s="43" t="s">
        <v>0</v>
      </c>
      <c r="G60" s="203" t="s">
        <v>2156</v>
      </c>
      <c r="H60" s="203" t="s">
        <v>0</v>
      </c>
      <c r="I60" s="122" t="s">
        <v>0</v>
      </c>
      <c r="J60" s="44">
        <v>46020</v>
      </c>
      <c r="K60" s="44">
        <v>46042</v>
      </c>
      <c r="L60" s="44">
        <v>46050</v>
      </c>
      <c r="M60" s="44"/>
      <c r="N60" s="127" t="s">
        <v>0</v>
      </c>
      <c r="O60" s="128" t="s">
        <v>2105</v>
      </c>
      <c r="P60" s="129" t="s">
        <v>2107</v>
      </c>
      <c r="Q60" s="65"/>
      <c r="R60" s="65"/>
      <c r="S60" s="65"/>
      <c r="T60" s="65"/>
      <c r="U60" s="65"/>
      <c r="V60" s="46">
        <f t="shared" ca="1" si="0"/>
        <v>0</v>
      </c>
      <c r="W60" s="47">
        <f t="shared" ca="1" si="1"/>
        <v>0</v>
      </c>
      <c r="X60" s="47" t="str">
        <f t="shared" ca="1" si="8"/>
        <v xml:space="preserve">PENDIENTE </v>
      </c>
      <c r="Y60" s="47">
        <f t="shared" ca="1" si="2"/>
        <v>0</v>
      </c>
      <c r="Z60" s="227" t="str">
        <f t="shared" ca="1" si="9"/>
        <v xml:space="preserve">PENDIENTE </v>
      </c>
      <c r="AA60" s="66"/>
      <c r="AB60" s="67">
        <v>8</v>
      </c>
      <c r="AC60" s="68"/>
      <c r="AD60" s="69"/>
      <c r="AE60" s="70">
        <v>9191.1419478965181</v>
      </c>
      <c r="AF60" s="71">
        <v>3562.4250000000002</v>
      </c>
      <c r="AG60" s="71"/>
      <c r="AH60" s="72">
        <v>2350.59</v>
      </c>
      <c r="AI60" s="73"/>
      <c r="AJ60" s="71">
        <f t="shared" si="12"/>
        <v>3128.1269478965178</v>
      </c>
      <c r="AK60" s="71"/>
      <c r="AL60" s="71"/>
      <c r="AM60" s="70"/>
      <c r="AN60" s="74"/>
      <c r="AO60" s="278"/>
      <c r="AP60" s="144" t="str">
        <f t="shared" ca="1" si="10"/>
        <v/>
      </c>
      <c r="AQ60" s="142" t="s">
        <v>2381</v>
      </c>
      <c r="AR60" s="142" t="s">
        <v>2374</v>
      </c>
      <c r="AS60" s="57" t="str">
        <f t="shared" si="3"/>
        <v>---</v>
      </c>
      <c r="AT60" s="141" t="str">
        <f t="shared" si="4"/>
        <v xml:space="preserve">PLAN CINCO CCPP (C) Doña Francisquita 34 - </v>
      </c>
      <c r="AU60" s="141" t="str">
        <f t="shared" ca="1" si="5"/>
        <v/>
      </c>
      <c r="AV60" s="257" t="str">
        <f t="shared" ca="1" si="6"/>
        <v/>
      </c>
      <c r="AW60" s="257" t="str">
        <f t="shared" si="7"/>
        <v/>
      </c>
      <c r="AX60" s="141" t="s">
        <v>1410</v>
      </c>
      <c r="AY60" s="142"/>
    </row>
    <row r="61" spans="1:51" s="262" customFormat="1" x14ac:dyDescent="0.25">
      <c r="A61" s="75" t="s">
        <v>2166</v>
      </c>
      <c r="B61" s="75" t="s">
        <v>2241</v>
      </c>
      <c r="C61" s="61" t="s">
        <v>2129</v>
      </c>
      <c r="D61" s="43" t="s">
        <v>241</v>
      </c>
      <c r="E61" s="201">
        <v>637377199</v>
      </c>
      <c r="F61" s="43" t="s">
        <v>1839</v>
      </c>
      <c r="G61" s="43" t="s">
        <v>1881</v>
      </c>
      <c r="H61" s="201">
        <v>665245204</v>
      </c>
      <c r="I61" s="43" t="s">
        <v>0</v>
      </c>
      <c r="J61" s="44">
        <v>45790</v>
      </c>
      <c r="K61" s="44">
        <v>45839</v>
      </c>
      <c r="L61" s="44">
        <v>45840</v>
      </c>
      <c r="M61" s="44"/>
      <c r="N61" s="127" t="s">
        <v>0</v>
      </c>
      <c r="O61" s="128" t="s">
        <v>0</v>
      </c>
      <c r="P61" s="129" t="s">
        <v>2100</v>
      </c>
      <c r="Q61" s="65">
        <v>45919</v>
      </c>
      <c r="R61" s="65">
        <v>45939</v>
      </c>
      <c r="S61" s="65">
        <v>45952</v>
      </c>
      <c r="T61" s="65">
        <v>45957</v>
      </c>
      <c r="U61" s="65">
        <v>45963</v>
      </c>
      <c r="V61" s="46" t="str">
        <f t="shared" ca="1" si="0"/>
        <v>OK</v>
      </c>
      <c r="W61" s="47">
        <f t="shared" ca="1" si="1"/>
        <v>1</v>
      </c>
      <c r="X61" s="47" t="str">
        <f t="shared" ca="1" si="8"/>
        <v>COMPLETO</v>
      </c>
      <c r="Y61" s="47">
        <f t="shared" ca="1" si="2"/>
        <v>1</v>
      </c>
      <c r="Z61" s="227" t="str">
        <f t="shared" ca="1" si="9"/>
        <v>COMPLETO</v>
      </c>
      <c r="AA61" s="66" t="s">
        <v>53</v>
      </c>
      <c r="AB61" s="85">
        <v>6.1</v>
      </c>
      <c r="AC61" s="86">
        <f>13.6/2</f>
        <v>6.8</v>
      </c>
      <c r="AD61" s="87">
        <f>1-(AC61/AB61)</f>
        <v>-0.11475409836065587</v>
      </c>
      <c r="AE61" s="88">
        <v>8146.62</v>
      </c>
      <c r="AF61" s="89">
        <v>2731.75</v>
      </c>
      <c r="AG61" s="89">
        <v>3080</v>
      </c>
      <c r="AH61" s="90">
        <v>2502.6</v>
      </c>
      <c r="AI61" s="91">
        <f>3517.64+31.31</f>
        <v>3548.95</v>
      </c>
      <c r="AJ61" s="92">
        <f t="shared" si="12"/>
        <v>2762.27</v>
      </c>
      <c r="AK61" s="92">
        <f>AE61-AG61-AI61</f>
        <v>1517.67</v>
      </c>
      <c r="AL61" s="92">
        <f>AK61-AJ61</f>
        <v>-1244.5999999999999</v>
      </c>
      <c r="AM61" s="93">
        <f>AK61*0.2</f>
        <v>303.53400000000005</v>
      </c>
      <c r="AN61" s="83" t="s">
        <v>609</v>
      </c>
      <c r="AO61" s="278"/>
      <c r="AP61" s="144" t="str">
        <f t="shared" ca="1" si="10"/>
        <v/>
      </c>
      <c r="AQ61" s="142" t="s">
        <v>2381</v>
      </c>
      <c r="AR61" s="142" t="s">
        <v>2374</v>
      </c>
      <c r="AS61" s="57" t="str">
        <f t="shared" si="3"/>
        <v>---</v>
      </c>
      <c r="AT61" s="141" t="str">
        <f t="shared" si="4"/>
        <v xml:space="preserve">PLAN CINCO CCPP (Pz de los) Duendes de Sevilla 1 - </v>
      </c>
      <c r="AU61" s="141" t="str">
        <f t="shared" ca="1" si="5"/>
        <v/>
      </c>
      <c r="AV61" s="257" t="str">
        <f t="shared" ca="1" si="6"/>
        <v/>
      </c>
      <c r="AW61" s="257" t="str">
        <f t="shared" si="7"/>
        <v/>
      </c>
      <c r="AX61" s="141" t="s">
        <v>1410</v>
      </c>
      <c r="AY61" s="142"/>
    </row>
    <row r="62" spans="1:51" s="262" customFormat="1" x14ac:dyDescent="0.25">
      <c r="A62" s="64" t="s">
        <v>2166</v>
      </c>
      <c r="B62" s="64" t="s">
        <v>2243</v>
      </c>
      <c r="C62" s="61" t="s">
        <v>2129</v>
      </c>
      <c r="D62" s="43" t="s">
        <v>1882</v>
      </c>
      <c r="E62" s="201">
        <v>689133293</v>
      </c>
      <c r="F62" s="263" t="s">
        <v>1883</v>
      </c>
      <c r="G62" s="43" t="s">
        <v>1884</v>
      </c>
      <c r="H62" s="201">
        <v>652496625</v>
      </c>
      <c r="I62" s="43" t="s">
        <v>0</v>
      </c>
      <c r="J62" s="44">
        <v>46002</v>
      </c>
      <c r="K62" s="44"/>
      <c r="L62" s="44"/>
      <c r="M62" s="44"/>
      <c r="N62" s="127">
        <v>46157</v>
      </c>
      <c r="O62" s="128" t="s">
        <v>2133</v>
      </c>
      <c r="P62" s="129" t="s">
        <v>2514</v>
      </c>
      <c r="Q62" s="65"/>
      <c r="R62" s="65"/>
      <c r="S62" s="65"/>
      <c r="T62" s="65"/>
      <c r="U62" s="65"/>
      <c r="V62" s="46">
        <f t="shared" ca="1" si="0"/>
        <v>0</v>
      </c>
      <c r="W62" s="47">
        <f t="shared" ca="1" si="1"/>
        <v>0</v>
      </c>
      <c r="X62" s="47" t="str">
        <f t="shared" ca="1" si="8"/>
        <v xml:space="preserve">PENDIENTE </v>
      </c>
      <c r="Y62" s="47">
        <f t="shared" ca="1" si="2"/>
        <v>0</v>
      </c>
      <c r="Z62" s="227" t="str">
        <f t="shared" ca="1" si="9"/>
        <v xml:space="preserve">PENDIENTE </v>
      </c>
      <c r="AA62" s="124"/>
      <c r="AB62" s="67"/>
      <c r="AC62" s="68"/>
      <c r="AD62" s="69"/>
      <c r="AE62" s="70"/>
      <c r="AF62" s="71"/>
      <c r="AG62" s="71"/>
      <c r="AH62" s="72"/>
      <c r="AI62" s="73"/>
      <c r="AJ62" s="71"/>
      <c r="AK62" s="71"/>
      <c r="AL62" s="71"/>
      <c r="AM62" s="70"/>
      <c r="AN62" s="74"/>
      <c r="AO62" s="278"/>
      <c r="AP62" s="144" t="str">
        <f t="shared" ca="1" si="10"/>
        <v/>
      </c>
      <c r="AQ62" s="142" t="s">
        <v>2381</v>
      </c>
      <c r="AR62" s="142" t="s">
        <v>2374</v>
      </c>
      <c r="AS62" s="57" t="str">
        <f t="shared" si="3"/>
        <v>01</v>
      </c>
      <c r="AT62" s="141" t="str">
        <f t="shared" si="4"/>
        <v>PLAN CINCO CCPP (Pz de los) Duendes de Sevilla 2 - Solicitud de documentación para presupuestar</v>
      </c>
      <c r="AU62" s="141" t="str">
        <f t="shared" ca="1" si="5"/>
        <v>Estimado/a Sr/Sra:
Gracias por contactar con Instalaciones Araujo para valorar la individualización de contadores de agua en la CCPP (Pz de los) Duendes de Sevilla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62" s="257" t="str">
        <f t="shared" ca="1" si="6"/>
        <v>Estimado/a Sr/Sra:
Gracias por contactar con Instalaciones Araujo para valorar la individualización de contadores de agua en la CCPP (Pz de los) Duendes de Sevilla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62" s="257" t="str">
        <f t="shared" si="7"/>
        <v>Estimado/a Sr/Sra:
Gracias por contactar con Instalaciones Araujo para valorar la individualización de contadores de agua en la CCPP (Pz de los) Duendes de Sevilla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62" s="141" t="s">
        <v>1410</v>
      </c>
      <c r="AY62" s="142"/>
    </row>
    <row r="63" spans="1:51" s="262" customFormat="1" x14ac:dyDescent="0.25">
      <c r="A63" s="64" t="s">
        <v>2165</v>
      </c>
      <c r="B63" s="64" t="s">
        <v>2244</v>
      </c>
      <c r="C63" s="61" t="s">
        <v>2129</v>
      </c>
      <c r="D63" s="43" t="s">
        <v>1818</v>
      </c>
      <c r="E63" s="201">
        <v>954214057</v>
      </c>
      <c r="F63" s="43" t="s">
        <v>1819</v>
      </c>
      <c r="G63" s="43" t="s">
        <v>1885</v>
      </c>
      <c r="H63" s="201">
        <v>653865138</v>
      </c>
      <c r="I63" s="43" t="s">
        <v>0</v>
      </c>
      <c r="J63" s="44">
        <v>45938</v>
      </c>
      <c r="K63" s="44">
        <v>45972</v>
      </c>
      <c r="L63" s="44">
        <v>45986</v>
      </c>
      <c r="M63" s="44"/>
      <c r="N63" s="127">
        <v>46188</v>
      </c>
      <c r="O63" s="128" t="s">
        <v>2115</v>
      </c>
      <c r="P63" s="126" t="s">
        <v>2522</v>
      </c>
      <c r="Q63" s="65"/>
      <c r="R63" s="65"/>
      <c r="S63" s="65"/>
      <c r="T63" s="65"/>
      <c r="U63" s="65"/>
      <c r="V63" s="46">
        <f t="shared" ca="1" si="0"/>
        <v>0</v>
      </c>
      <c r="W63" s="47">
        <f t="shared" ca="1" si="1"/>
        <v>0</v>
      </c>
      <c r="X63" s="47" t="str">
        <f t="shared" ca="1" si="8"/>
        <v xml:space="preserve">PENDIENTE </v>
      </c>
      <c r="Y63" s="47">
        <f t="shared" ca="1" si="2"/>
        <v>0</v>
      </c>
      <c r="Z63" s="227" t="str">
        <f t="shared" ca="1" si="9"/>
        <v xml:space="preserve">PENDIENTE </v>
      </c>
      <c r="AA63" s="66"/>
      <c r="AB63" s="67">
        <v>75.3</v>
      </c>
      <c r="AC63" s="68"/>
      <c r="AD63" s="69"/>
      <c r="AE63" s="70">
        <v>80248.300000000017</v>
      </c>
      <c r="AF63" s="71">
        <v>33600.525000000001</v>
      </c>
      <c r="AG63" s="71"/>
      <c r="AH63" s="72">
        <v>21577.37</v>
      </c>
      <c r="AI63" s="73"/>
      <c r="AJ63" s="71">
        <f t="shared" ref="AJ63:AJ69" si="13">AE63-AF63-AH63-150</f>
        <v>24920.405000000017</v>
      </c>
      <c r="AK63" s="71"/>
      <c r="AL63" s="71"/>
      <c r="AM63" s="70"/>
      <c r="AN63" s="74"/>
      <c r="AO63" s="278"/>
      <c r="AP63" s="144" t="str">
        <f t="shared" ca="1" si="10"/>
        <v/>
      </c>
      <c r="AQ63" s="142" t="s">
        <v>2381</v>
      </c>
      <c r="AR63" s="142" t="s">
        <v>2374</v>
      </c>
      <c r="AS63" s="57" t="str">
        <f t="shared" si="3"/>
        <v>03</v>
      </c>
      <c r="AT63" s="141" t="str">
        <f t="shared" si="4"/>
        <v>PLAN CINCO CCPP (Av) Eduardo Dato 22, Bloque H3 - Presupuesto pendiente de adjudicación</v>
      </c>
      <c r="AU63" s="141" t="str">
        <f t="shared" ca="1" si="5"/>
        <v>Estimado/a Sr/Sra:
Desde Instalaciones Araujo nos ponemos en contacto con ud, en relación con el Presupuesto de individualización de contadores de agua que le facilitamos el pasado 00/01/1900 para la CCPP (Av) Eduardo Dato 22, Bloque H3.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63" s="257" t="str">
        <f t="shared" ca="1" si="6"/>
        <v>Estimado/a Sr/Sra:
Desde Instalaciones Araujo nos ponemos en contacto con ud, en relación con el Presupuesto de individualización de contadores de agua que le facilitamos el pasado {FECHA_PTO} para la CCPP (Av) Eduardo Dato 22, Bloque H3.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63" s="257" t="str">
        <f t="shared" si="7"/>
        <v>Estimado/a Sr/Sra:
Desde Instalaciones Araujo nos ponemos en contacto con ud, en relación con el Presupuesto de individualización de contadores de agua que le facilitamos el pasado {FECHA_PTO} para la CCPP (Av) Eduardo Dato 22, Bloque H3.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63" s="141" t="s">
        <v>1410</v>
      </c>
      <c r="AY63" s="142"/>
    </row>
    <row r="64" spans="1:51" s="262" customFormat="1" x14ac:dyDescent="0.25">
      <c r="A64" s="64" t="s">
        <v>2165</v>
      </c>
      <c r="B64" s="64" t="s">
        <v>2242</v>
      </c>
      <c r="C64" s="61" t="s">
        <v>2129</v>
      </c>
      <c r="D64" s="43" t="s">
        <v>1886</v>
      </c>
      <c r="E64" s="201">
        <v>670019195</v>
      </c>
      <c r="F64" s="43" t="s">
        <v>1887</v>
      </c>
      <c r="G64" s="43" t="s">
        <v>0</v>
      </c>
      <c r="H64" s="201" t="s">
        <v>0</v>
      </c>
      <c r="I64" s="43" t="s">
        <v>0</v>
      </c>
      <c r="J64" s="44">
        <v>45803</v>
      </c>
      <c r="K64" s="44">
        <v>45804</v>
      </c>
      <c r="L64" s="44">
        <v>45806</v>
      </c>
      <c r="M64" s="44"/>
      <c r="N64" s="127" t="s">
        <v>0</v>
      </c>
      <c r="O64" s="128" t="s">
        <v>2105</v>
      </c>
      <c r="P64" s="126" t="s">
        <v>2107</v>
      </c>
      <c r="Q64" s="65"/>
      <c r="R64" s="65"/>
      <c r="S64" s="65"/>
      <c r="T64" s="65"/>
      <c r="U64" s="65"/>
      <c r="V64" s="46">
        <f t="shared" ca="1" si="0"/>
        <v>0</v>
      </c>
      <c r="W64" s="47">
        <f t="shared" ca="1" si="1"/>
        <v>0</v>
      </c>
      <c r="X64" s="47" t="str">
        <f t="shared" ca="1" si="8"/>
        <v xml:space="preserve">PENDIENTE </v>
      </c>
      <c r="Y64" s="47">
        <f t="shared" ca="1" si="2"/>
        <v>0</v>
      </c>
      <c r="Z64" s="227" t="str">
        <f t="shared" ca="1" si="9"/>
        <v xml:space="preserve">PENDIENTE </v>
      </c>
      <c r="AA64" s="66"/>
      <c r="AB64" s="67">
        <v>11.7</v>
      </c>
      <c r="AC64" s="68"/>
      <c r="AD64" s="69"/>
      <c r="AE64" s="70">
        <v>13176.554590149995</v>
      </c>
      <c r="AF64" s="71">
        <v>5212.625</v>
      </c>
      <c r="AG64" s="71"/>
      <c r="AH64" s="72">
        <v>3695.33</v>
      </c>
      <c r="AI64" s="73"/>
      <c r="AJ64" s="71">
        <f t="shared" si="13"/>
        <v>4118.5995901499955</v>
      </c>
      <c r="AK64" s="71"/>
      <c r="AL64" s="71"/>
      <c r="AM64" s="70"/>
      <c r="AN64" s="74"/>
      <c r="AO64" s="278"/>
      <c r="AP64" s="144" t="str">
        <f t="shared" ca="1" si="10"/>
        <v/>
      </c>
      <c r="AQ64" s="142" t="s">
        <v>2381</v>
      </c>
      <c r="AR64" s="142" t="s">
        <v>2374</v>
      </c>
      <c r="AS64" s="57" t="str">
        <f t="shared" si="3"/>
        <v>---</v>
      </c>
      <c r="AT64" s="141" t="str">
        <f t="shared" si="4"/>
        <v xml:space="preserve">PLAN CINCO CCPP (Av) Eduardo Dato 32 - </v>
      </c>
      <c r="AU64" s="141" t="str">
        <f t="shared" ca="1" si="5"/>
        <v/>
      </c>
      <c r="AV64" s="257" t="str">
        <f t="shared" ca="1" si="6"/>
        <v/>
      </c>
      <c r="AW64" s="257" t="str">
        <f t="shared" si="7"/>
        <v/>
      </c>
      <c r="AX64" s="141" t="s">
        <v>1410</v>
      </c>
      <c r="AY64" s="142"/>
    </row>
    <row r="65" spans="1:51" s="262" customFormat="1" x14ac:dyDescent="0.25">
      <c r="A65" s="64" t="s">
        <v>2165</v>
      </c>
      <c r="B65" s="64" t="s">
        <v>2245</v>
      </c>
      <c r="C65" s="61" t="s">
        <v>2129</v>
      </c>
      <c r="D65" s="43" t="s">
        <v>1888</v>
      </c>
      <c r="E65" s="201">
        <v>954635100</v>
      </c>
      <c r="F65" s="43" t="s">
        <v>1889</v>
      </c>
      <c r="G65" s="43" t="s">
        <v>1890</v>
      </c>
      <c r="H65" s="201">
        <v>954635100</v>
      </c>
      <c r="I65" s="43" t="s">
        <v>0</v>
      </c>
      <c r="J65" s="44">
        <v>45953</v>
      </c>
      <c r="K65" s="44">
        <v>45958</v>
      </c>
      <c r="L65" s="44">
        <v>45964</v>
      </c>
      <c r="M65" s="44"/>
      <c r="N65" s="127">
        <v>46188</v>
      </c>
      <c r="O65" s="128" t="s">
        <v>2103</v>
      </c>
      <c r="P65" s="126" t="s">
        <v>2522</v>
      </c>
      <c r="Q65" s="65"/>
      <c r="R65" s="65"/>
      <c r="S65" s="65"/>
      <c r="T65" s="65"/>
      <c r="U65" s="65"/>
      <c r="V65" s="46">
        <f t="shared" ca="1" si="0"/>
        <v>0</v>
      </c>
      <c r="W65" s="47">
        <f t="shared" ca="1" si="1"/>
        <v>0</v>
      </c>
      <c r="X65" s="47" t="str">
        <f t="shared" ca="1" si="8"/>
        <v xml:space="preserve">PENDIENTE </v>
      </c>
      <c r="Y65" s="47">
        <f t="shared" ca="1" si="2"/>
        <v>0</v>
      </c>
      <c r="Z65" s="227" t="str">
        <f t="shared" ca="1" si="9"/>
        <v xml:space="preserve">PENDIENTE </v>
      </c>
      <c r="AA65" s="66"/>
      <c r="AB65" s="67">
        <v>22</v>
      </c>
      <c r="AC65" s="68"/>
      <c r="AD65" s="69"/>
      <c r="AE65" s="70">
        <v>28466.165204317836</v>
      </c>
      <c r="AF65" s="71">
        <v>9828.7250000000004</v>
      </c>
      <c r="AG65" s="71"/>
      <c r="AH65" s="72">
        <v>10148.44</v>
      </c>
      <c r="AI65" s="73"/>
      <c r="AJ65" s="71">
        <f t="shared" si="13"/>
        <v>8339.0002043178338</v>
      </c>
      <c r="AK65" s="71"/>
      <c r="AL65" s="71"/>
      <c r="AM65" s="70"/>
      <c r="AN65" s="74"/>
      <c r="AO65" s="278"/>
      <c r="AP65" s="144" t="str">
        <f t="shared" ca="1" si="10"/>
        <v/>
      </c>
      <c r="AQ65" s="142" t="s">
        <v>2381</v>
      </c>
      <c r="AR65" s="142" t="s">
        <v>2374</v>
      </c>
      <c r="AS65" s="57" t="str">
        <f t="shared" si="3"/>
        <v>03</v>
      </c>
      <c r="AT65" s="141" t="str">
        <f t="shared" si="4"/>
        <v>PLAN CINCO CCPP (Av) Eduardo Dato 39 - Presupuesto pendiente de adjudicación</v>
      </c>
      <c r="AU65" s="141" t="str">
        <f t="shared" ca="1" si="5"/>
        <v>Estimado/a Sr/Sra:
Desde Instalaciones Araujo nos ponemos en contacto con ud, en relación con el Presupuesto de individualización de contadores de agua que le facilitamos el pasado 00/01/1900 para la CCPP (Av) Eduardo Dato 39.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65" s="257" t="str">
        <f t="shared" ca="1" si="6"/>
        <v>Estimado/a Sr/Sra:
Desde Instalaciones Araujo nos ponemos en contacto con ud, en relación con el Presupuesto de individualización de contadores de agua que le facilitamos el pasado {FECHA_PTO} para la CCPP (Av) Eduardo Dato 39.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65" s="257" t="str">
        <f t="shared" si="7"/>
        <v>Estimado/a Sr/Sra:
Desde Instalaciones Araujo nos ponemos en contacto con ud, en relación con el Presupuesto de individualización de contadores de agua que le facilitamos el pasado {FECHA_PTO} para la CCPP (Av) Eduardo Dato 39.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65" s="141" t="s">
        <v>1410</v>
      </c>
      <c r="AY65" s="142"/>
    </row>
    <row r="66" spans="1:51" s="262" customFormat="1" x14ac:dyDescent="0.25">
      <c r="A66" s="64" t="s">
        <v>2165</v>
      </c>
      <c r="B66" s="64" t="s">
        <v>2248</v>
      </c>
      <c r="C66" s="61" t="s">
        <v>1354</v>
      </c>
      <c r="D66" s="43" t="s">
        <v>1866</v>
      </c>
      <c r="E66" s="201">
        <v>661592498</v>
      </c>
      <c r="F66" s="43" t="s">
        <v>1867</v>
      </c>
      <c r="G66" s="43" t="s">
        <v>0</v>
      </c>
      <c r="H66" s="201" t="s">
        <v>0</v>
      </c>
      <c r="I66" s="43" t="s">
        <v>0</v>
      </c>
      <c r="J66" s="44">
        <v>45869</v>
      </c>
      <c r="K66" s="44">
        <v>45876</v>
      </c>
      <c r="L66" s="44">
        <v>45880</v>
      </c>
      <c r="M66" s="44"/>
      <c r="N66" s="127">
        <v>46188</v>
      </c>
      <c r="O66" s="128" t="s">
        <v>2103</v>
      </c>
      <c r="P66" s="126" t="s">
        <v>2522</v>
      </c>
      <c r="Q66" s="65"/>
      <c r="R66" s="65"/>
      <c r="S66" s="65"/>
      <c r="T66" s="65"/>
      <c r="U66" s="65"/>
      <c r="V66" s="46">
        <f t="shared" ca="1" si="0"/>
        <v>0</v>
      </c>
      <c r="W66" s="47">
        <f t="shared" ca="1" si="1"/>
        <v>0</v>
      </c>
      <c r="X66" s="47" t="str">
        <f t="shared" ca="1" si="8"/>
        <v xml:space="preserve">PENDIENTE </v>
      </c>
      <c r="Y66" s="47">
        <f t="shared" ca="1" si="2"/>
        <v>0</v>
      </c>
      <c r="Z66" s="227" t="str">
        <f t="shared" ca="1" si="9"/>
        <v xml:space="preserve">PENDIENTE </v>
      </c>
      <c r="AA66" s="66"/>
      <c r="AB66" s="67">
        <v>18</v>
      </c>
      <c r="AC66" s="68"/>
      <c r="AD66" s="69"/>
      <c r="AE66" s="70">
        <v>20699.927019077393</v>
      </c>
      <c r="AF66" s="71">
        <v>8037.3659999999991</v>
      </c>
      <c r="AG66" s="71"/>
      <c r="AH66" s="72">
        <v>5727.87</v>
      </c>
      <c r="AI66" s="73"/>
      <c r="AJ66" s="71">
        <f t="shared" si="13"/>
        <v>6784.6910190773951</v>
      </c>
      <c r="AK66" s="71"/>
      <c r="AL66" s="71"/>
      <c r="AM66" s="70"/>
      <c r="AN66" s="74"/>
      <c r="AO66" s="278"/>
      <c r="AP66" s="144" t="str">
        <f t="shared" ca="1" si="10"/>
        <v/>
      </c>
      <c r="AQ66" s="142" t="s">
        <v>2381</v>
      </c>
      <c r="AR66" s="142" t="s">
        <v>2374</v>
      </c>
      <c r="AS66" s="57" t="str">
        <f t="shared" si="3"/>
        <v>03</v>
      </c>
      <c r="AT66" s="141" t="str">
        <f t="shared" si="4"/>
        <v>PLAN CINCO CCPP (Av) Eduardo Dato 40 - Presupuesto pendiente de adjudicación</v>
      </c>
      <c r="AU66" s="141" t="str">
        <f t="shared" ca="1" si="5"/>
        <v>Estimado/a Sr/Sra:
Desde Instalaciones Araujo nos ponemos en contacto con ud, en relación con el Presupuesto de individualización de contadores de agua que le facilitamos el pasado 00/01/1900 para la CCPP (Av) Eduardo Dato 40.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66" s="257" t="str">
        <f t="shared" ca="1" si="6"/>
        <v>Estimado/a Sr/Sra:
Desde Instalaciones Araujo nos ponemos en contacto con ud, en relación con el Presupuesto de individualización de contadores de agua que le facilitamos el pasado {FECHA_PTO} para la CCPP (Av) Eduardo Dato 40.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66" s="257" t="str">
        <f t="shared" si="7"/>
        <v>Estimado/a Sr/Sra:
Desde Instalaciones Araujo nos ponemos en contacto con ud, en relación con el Presupuesto de individualización de contadores de agua que le facilitamos el pasado {FECHA_PTO} para la CCPP (Av) Eduardo Dato 40.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66" s="141" t="s">
        <v>1410</v>
      </c>
      <c r="AY66" s="142"/>
    </row>
    <row r="67" spans="1:51" s="262" customFormat="1" x14ac:dyDescent="0.25">
      <c r="A67" s="64" t="s">
        <v>2167</v>
      </c>
      <c r="B67" s="64" t="s">
        <v>2249</v>
      </c>
      <c r="C67" s="61" t="s">
        <v>1354</v>
      </c>
      <c r="D67" s="43" t="s">
        <v>1891</v>
      </c>
      <c r="E67" s="201">
        <v>685519916</v>
      </c>
      <c r="F67" s="43" t="s">
        <v>1892</v>
      </c>
      <c r="G67" s="203" t="s">
        <v>2156</v>
      </c>
      <c r="H67" s="203" t="s">
        <v>0</v>
      </c>
      <c r="I67" s="122" t="s">
        <v>0</v>
      </c>
      <c r="J67" s="44">
        <v>45917</v>
      </c>
      <c r="K67" s="44">
        <v>45946</v>
      </c>
      <c r="L67" s="44">
        <v>45951</v>
      </c>
      <c r="M67" s="44"/>
      <c r="N67" s="127">
        <v>46157</v>
      </c>
      <c r="O67" s="128" t="s">
        <v>2116</v>
      </c>
      <c r="P67" s="129" t="s">
        <v>2522</v>
      </c>
      <c r="Q67" s="65"/>
      <c r="R67" s="65"/>
      <c r="S67" s="65"/>
      <c r="T67" s="65"/>
      <c r="U67" s="65"/>
      <c r="V67" s="46">
        <f t="shared" ref="V67:V130" ca="1" si="14">IFERROR(IF(B67="", "", INDIRECT("'" &amp; B67 &amp; "'!M3")),0)</f>
        <v>0</v>
      </c>
      <c r="W67" s="47">
        <f t="shared" ref="W67:W130" ca="1" si="15">IFERROR(IF(B67="", "", INDIRECT("'" &amp; B67 &amp; "'!F3")),0)</f>
        <v>0</v>
      </c>
      <c r="X67" s="47" t="str">
        <f t="shared" ca="1" si="8"/>
        <v xml:space="preserve">PENDIENTE </v>
      </c>
      <c r="Y67" s="47">
        <f t="shared" ref="Y67:Y130" ca="1" si="16">IFERROR(IF(B67="", "", INDIRECT("'" &amp; B67 &amp; "'!F4")),0)</f>
        <v>0</v>
      </c>
      <c r="Z67" s="227" t="str">
        <f t="shared" ca="1" si="9"/>
        <v xml:space="preserve">PENDIENTE </v>
      </c>
      <c r="AA67" s="66"/>
      <c r="AB67" s="67">
        <v>10</v>
      </c>
      <c r="AC67" s="68"/>
      <c r="AD67" s="69"/>
      <c r="AE67" s="70">
        <v>10993.332179756282</v>
      </c>
      <c r="AF67" s="71">
        <v>4454.4250000000002</v>
      </c>
      <c r="AG67" s="71"/>
      <c r="AH67" s="72">
        <v>2826.15</v>
      </c>
      <c r="AI67" s="73"/>
      <c r="AJ67" s="71">
        <f t="shared" si="13"/>
        <v>3562.7571797562819</v>
      </c>
      <c r="AK67" s="71"/>
      <c r="AL67" s="71"/>
      <c r="AM67" s="70"/>
      <c r="AN67" s="74"/>
      <c r="AO67" s="278"/>
      <c r="AP67" s="144" t="str">
        <f t="shared" ca="1" si="10"/>
        <v/>
      </c>
      <c r="AQ67" s="142" t="s">
        <v>2381</v>
      </c>
      <c r="AR67" s="142" t="s">
        <v>2374</v>
      </c>
      <c r="AS67" s="57" t="str">
        <f t="shared" ref="AS67:AS130" si="17">IFERROR(INDEX(Tabla_02_Tipo,MATCH(P67,Tabla_01_Estado,0)),"")</f>
        <v>03</v>
      </c>
      <c r="AT67" s="141" t="str">
        <f t="shared" ref="AT67:AT130" si="18">"PLAN CINCO CCPP "
&amp; IF(A67&lt;&gt;"",A67,"")
&amp; IF(B67&lt;&gt;""," "&amp;B67,"")
&amp; IFERROR(" - "&amp;INDEX(Tabla_03_Asunto,MATCH(AS67,Tabla_02_Tipo,0)),"")</f>
        <v>PLAN CINCO CCPP (Av. de) El Greco 26 - Presupuesto pendiente de adjudicación</v>
      </c>
      <c r="AU67" s="141" t="str">
        <f t="shared" ref="AU67:AU130" ca="1" si="19">IFERROR(
    SUBSTITUTE(
        SUBSTITUTE(
            SUBSTITUTE(
                AV67,
                "{DOC_CCPP}", X67),
            "{DOC_PISOS}", Z67),
        "{FECHA_PTO}", TEXT(M67, "dd/mm/aaaa")),
    ""
)</f>
        <v>Estimado/a Sr/Sra:
Desde Instalaciones Araujo nos ponemos en contacto con ud, en relación con el Presupuesto de individualización de contadores de agua que le facilitamos el pasado 00/01/1900 para la CCPP (Av. de) El Greco 26.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67" s="257" t="str">
        <f t="shared" ref="AV67:AV130" ca="1" si="20">IFERROR(
    SUBSTITUTE(
        SUBSTITUTE(
            SUBSTITUTE(
                SUBSTITUTE(
                    SUBSTITUTE(
                        AW67,
                        "{FECHA_ENVIO_CYCP}", TEXT(T67, "dd/mm/aaaa")),
                    "{FECHA_RECIBO_CYCP}", TEXT(U67, "dd/mm/aaaa")),
                "{FECHA+10}", TEXT(T67 + 10, "dd/mm/aaaa")),
            "%CCPP", TEXT(W67, "0%")),
        "%PISOS", TEXT(Y67, "0%")),
    ""
)</f>
        <v>Estimado/a Sr/Sra:
Desde Instalaciones Araujo nos ponemos en contacto con ud, en relación con el Presupuesto de individualización de contadores de agua que le facilitamos el pasado {FECHA_PTO} para la CCPP (Av. de) El Greco 26.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67" s="257" t="str">
        <f t="shared" ref="AW67:AW130" si="21">IFERROR(
    SUBSTITUTE(
        SUBSTITUTE(
            SUBSTITUTE(
                SUBSTITUTE(
                    SUBSTITUTE(
                        INDEX(Tabla_04_Mensaje, MATCH(AS67, Tabla_02_Tipo, 0)),
                        "{C}", A67),
                    "{CCPP}", B67),
                "{FECHA_ENVIO_DOC}", TEXT(Q67, "dd/mm/aaaa")),
            "{FECHA_RECIBO_DOC}", TEXT(R67, "dd/mm/aaaa")),
        "{FECHA+20}", TEXT(Q67 + 20, "dd/mm/aaaa")
    ),
    ""
)</f>
        <v>Estimado/a Sr/Sra:
Desde Instalaciones Araujo nos ponemos en contacto con ud, en relación con el Presupuesto de individualización de contadores de agua que le facilitamos el pasado {FECHA_PTO} para la CCPP (Av. de) El Greco 26.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67" s="141" t="s">
        <v>1410</v>
      </c>
      <c r="AY67" s="142"/>
    </row>
    <row r="68" spans="1:51" s="262" customFormat="1" x14ac:dyDescent="0.25">
      <c r="A68" s="64" t="s">
        <v>2162</v>
      </c>
      <c r="B68" s="64" t="s">
        <v>2246</v>
      </c>
      <c r="C68" s="61" t="s">
        <v>2129</v>
      </c>
      <c r="D68" s="43" t="s">
        <v>1896</v>
      </c>
      <c r="E68" s="201">
        <v>609722216</v>
      </c>
      <c r="F68" s="43" t="s">
        <v>1895</v>
      </c>
      <c r="G68" s="203" t="s">
        <v>2156</v>
      </c>
      <c r="H68" s="203" t="s">
        <v>0</v>
      </c>
      <c r="I68" s="122" t="s">
        <v>0</v>
      </c>
      <c r="J68" s="44">
        <v>45790</v>
      </c>
      <c r="K68" s="44">
        <v>45902</v>
      </c>
      <c r="L68" s="44">
        <v>45902</v>
      </c>
      <c r="M68" s="44"/>
      <c r="N68" s="127" t="s">
        <v>0</v>
      </c>
      <c r="O68" s="128" t="s">
        <v>2105</v>
      </c>
      <c r="P68" s="129" t="s">
        <v>2107</v>
      </c>
      <c r="Q68" s="65"/>
      <c r="R68" s="65"/>
      <c r="S68" s="65"/>
      <c r="T68" s="65"/>
      <c r="U68" s="65"/>
      <c r="V68" s="46">
        <f t="shared" ca="1" si="14"/>
        <v>0</v>
      </c>
      <c r="W68" s="47">
        <f t="shared" ca="1" si="15"/>
        <v>0</v>
      </c>
      <c r="X68" s="47" t="str">
        <f t="shared" ref="X68:X131" ca="1" si="22">IF(W68=1,"COMPLETO","PENDIENTE "&amp;
IFERROR(
    IF(INDIRECT("'" &amp; B68 &amp; "'!M3")="F", "-" &amp; "PRESUPUESTO","")&amp;
    IF(INDIRECT("'" &amp; B68 &amp; "'!R3")="F", "-" &amp; "TOMA DE DATOS","")&amp;
    IF(INDIRECT("'" &amp; B68 &amp; "'!T3")="F", "-" &amp; "NIF","")&amp;
    IF(INDIRECT("'" &amp; B68 &amp; "'!I4")="F", "-" &amp; "ACTA NOMBRAMIENTO PRESIDENTE","")&amp;
    IF(INDIRECT("'" &amp; B68 &amp; "'!M4")="F", "-" &amp; "ACTA APROBACION PRESUPUESTO","")&amp;
    IF(INDIRECT("'" &amp; B68 &amp; "'!R4")="F", "-" &amp; "RENUNCIA GRUPO PRESION","")&amp;
    IF(INDIRECT("'" &amp; B68 &amp; "'!T4")="F", "-" &amp; "ULTIMA FACTURA EMASESA","")&amp;
    IF(INDIRECT("'" &amp; B68 &amp; "'!U3")="F", "-" &amp; "CONTRATO FIRMADO","")&amp;
    IF(INDIRECT("'" &amp; B68 &amp; "'!V3")="F", "-" &amp; "JUSTIFICANTE PAGO",""),
"")
)</f>
        <v xml:space="preserve">PENDIENTE </v>
      </c>
      <c r="Y68" s="47">
        <f t="shared" ca="1" si="16"/>
        <v>0</v>
      </c>
      <c r="Z68" s="227" t="str">
        <f t="shared" ref="Z68:Z131" ca="1" si="23">IF(Y68=1,"COMPLETO","PENDIENTE "&amp;
IFERROR(
    IF(INDIRECT("'"&amp;B68&amp;"'!A5")="FALTA","-"&amp;INDIRECT("'"&amp;B68&amp;"'!B5"),"")&amp;
    IF(INDIRECT("'"&amp;B68&amp;"'!A6")="FALTA","-"&amp;INDIRECT("'"&amp;B68&amp;"'!B6"),"")&amp;
    IF(INDIRECT("'"&amp;B68&amp;"'!A7")="FALTA","-"&amp;INDIRECT("'"&amp;B68&amp;"'!B7"),"")&amp;
    IF(INDIRECT("'"&amp;B68&amp;"'!A8")="FALTA","-"&amp;INDIRECT("'"&amp;B68&amp;"'!B8"),"")&amp;
    IF(INDIRECT("'"&amp;B68&amp;"'!A9")="FALTA","-"&amp;INDIRECT("'"&amp;B68&amp;"'!B9"),"")&amp;
    IF(INDIRECT("'"&amp;B68&amp;"'!A10")="FALTA","-"&amp;INDIRECT("'"&amp;B68&amp;"'!B10"),"")&amp;
    IF(INDIRECT("'"&amp;B68&amp;"'!A11")="FALTA","-"&amp;INDIRECT("'"&amp;B68&amp;"'!B11"),"")&amp;
    IF(INDIRECT("'"&amp;B68&amp;"'!A12")="FALTA","-"&amp;INDIRECT("'"&amp;B68&amp;"'!B12"),"")&amp;
    IF(INDIRECT("'"&amp;B68&amp;"'!A13")="FALTA","-"&amp;INDIRECT("'"&amp;B68&amp;"'!B13"),"")&amp;
    IF(INDIRECT("'"&amp;B68&amp;"'!A14")="FALTA","-"&amp;INDIRECT("'"&amp;B68&amp;"'!B14"),"")&amp;
    IF(INDIRECT("'"&amp;B68&amp;"'!A15")="FALTA","-"&amp;INDIRECT("'"&amp;B68&amp;"'!B15"),"")&amp;
    IF(INDIRECT("'"&amp;B68&amp;"'!A16")="FALTA","-"&amp;INDIRECT("'"&amp;B68&amp;"'!B16"),"")&amp;
    IF(INDIRECT("'"&amp;B68&amp;"'!A17")="FALTA","-"&amp;INDIRECT("'"&amp;B68&amp;"'!B17"),"")&amp;
    IF(INDIRECT("'"&amp;B68&amp;"'!A18")="FALTA","-"&amp;INDIRECT("'"&amp;B68&amp;"'!B18"),"")&amp;
    IF(INDIRECT("'"&amp;B68&amp;"'!A19")="FALTA","-"&amp;INDIRECT("'"&amp;B68&amp;"'!B19"),"")&amp;
    IF(INDIRECT("'"&amp;B68&amp;"'!A20")="FALTA","-"&amp;INDIRECT("'"&amp;B68&amp;"'!B20"),"")&amp;
    IF(INDIRECT("'"&amp;B68&amp;"'!A21")="FALTA","-"&amp;INDIRECT("'"&amp;B68&amp;"'!B21"),"")&amp;
    IF(INDIRECT("'"&amp;B68&amp;"'!A22")="FALTA","-"&amp;INDIRECT("'"&amp;B68&amp;"'!B22"),"")&amp;
    IF(INDIRECT("'"&amp;B68&amp;"'!A23")="FALTA","-"&amp;INDIRECT("'"&amp;B68&amp;"'!B23"),"")&amp;
    IF(INDIRECT("'"&amp;B68&amp;"'!A24")="FALTA","-"&amp;INDIRECT("'"&amp;B68&amp;"'!B24"),"")&amp;
    IF(INDIRECT("'"&amp;B68&amp;"'!A25")="FALTA","-"&amp;INDIRECT("'"&amp;B68&amp;"'!B25"),"")&amp;
    IF(INDIRECT("'"&amp;B68&amp;"'!A26")="FALTA","-"&amp;INDIRECT("'"&amp;B68&amp;"'!B26"),"")&amp;
    IF(INDIRECT("'"&amp;B68&amp;"'!A27")="FALTA","-"&amp;INDIRECT("'"&amp;B68&amp;"'!B27"),"")&amp;
    IF(INDIRECT("'"&amp;B68&amp;"'!A28")="FALTA","-"&amp;INDIRECT("'"&amp;B68&amp;"'!B28"),"")&amp;
    IF(INDIRECT("'"&amp;B68&amp;"'!A29")="FALTA","-"&amp;INDIRECT("'"&amp;B68&amp;"'!B29"),"")&amp;
    IF(INDIRECT("'"&amp;B68&amp;"'!A30")="FALTA","-"&amp;INDIRECT("'"&amp;B68&amp;"'!B30"),"")&amp;
    IF(INDIRECT("'"&amp;B68&amp;"'!A31")="FALTA","-"&amp;INDIRECT("'"&amp;B68&amp;"'!B31"),"")&amp;
    IF(INDIRECT("'"&amp;B68&amp;"'!A32")="FALTA","-"&amp;INDIRECT("'"&amp;B68&amp;"'!B32"),"")&amp;
    IF(INDIRECT("'"&amp;B68&amp;"'!A33")="FALTA","-"&amp;INDIRECT("'"&amp;B68&amp;"'!B33"),"")&amp;
    IF(INDIRECT("'"&amp;B68&amp;"'!A34")="FALTA","-"&amp;INDIRECT("'"&amp;B68&amp;"'!B34"),"")&amp;
    IF(INDIRECT("'"&amp;B68&amp;"'!A35")="FALTA","-"&amp;INDIRECT("'"&amp;B68&amp;"'!B35"),"")&amp;
    IF(INDIRECT("'"&amp;B68&amp;"'!A36")="FALTA","-"&amp;INDIRECT("'"&amp;B68&amp;"'!B36"),"")&amp;
    IF(INDIRECT("'"&amp;B68&amp;"'!A37")="FALTA","-"&amp;INDIRECT("'"&amp;B68&amp;"'!B37"),"")&amp;
    IF(INDIRECT("'"&amp;B68&amp;"'!A38")="FALTA","-"&amp;INDIRECT("'"&amp;B68&amp;"'!B38"),"")&amp;
    IF(INDIRECT("'"&amp;B68&amp;"'!A39")="FALTA","-"&amp;INDIRECT("'"&amp;B68&amp;"'!B39"),"")&amp;
    IF(INDIRECT("'"&amp;B68&amp;"'!A40")="FALTA","-"&amp;INDIRECT("'"&amp;B68&amp;"'!B40"),"")&amp;
    IF(INDIRECT("'"&amp;B68&amp;"'!A41")="FALTA","-"&amp;INDIRECT("'"&amp;B68&amp;"'!B41"),"")&amp;
    IF(INDIRECT("'"&amp;B68&amp;"'!A42")="FALTA","-"&amp;INDIRECT("'"&amp;B68&amp;"'!B42"),"")&amp;
    IF(INDIRECT("'"&amp;B68&amp;"'!A43")="FALTA","-"&amp;INDIRECT("'"&amp;B68&amp;"'!B43"),"")&amp;
    IF(INDIRECT("'"&amp;B68&amp;"'!A44")="FALTA","-"&amp;INDIRECT("'"&amp;B68&amp;"'!B44"),""),
""
))</f>
        <v xml:space="preserve">PENDIENTE </v>
      </c>
      <c r="AA68" s="66"/>
      <c r="AB68" s="67">
        <v>6</v>
      </c>
      <c r="AC68" s="68"/>
      <c r="AD68" s="69"/>
      <c r="AE68" s="70">
        <v>5627.417562381781</v>
      </c>
      <c r="AF68" s="71">
        <v>2655.93</v>
      </c>
      <c r="AG68" s="71"/>
      <c r="AH68" s="72">
        <v>1493.31</v>
      </c>
      <c r="AI68" s="73"/>
      <c r="AJ68" s="71">
        <f t="shared" si="13"/>
        <v>1328.1775623817812</v>
      </c>
      <c r="AK68" s="71"/>
      <c r="AL68" s="71"/>
      <c r="AM68" s="70"/>
      <c r="AN68" s="74"/>
      <c r="AO68" s="278"/>
      <c r="AP68" s="144" t="str">
        <f t="shared" ref="AP68:AP131" ca="1" si="24">IF(AO68="🔒","NO",IF(AND(ISNUMBER(N68),N68&lt;=TODAY(),AS68&lt;&gt;"---"),"SI",""))</f>
        <v/>
      </c>
      <c r="AQ68" s="142" t="s">
        <v>2381</v>
      </c>
      <c r="AR68" s="142" t="s">
        <v>2374</v>
      </c>
      <c r="AS68" s="57" t="str">
        <f t="shared" si="17"/>
        <v>---</v>
      </c>
      <c r="AT68" s="141" t="str">
        <f t="shared" si="18"/>
        <v xml:space="preserve">PLAN CINCO CCPP (C) Enladrillada 61 - </v>
      </c>
      <c r="AU68" s="141" t="str">
        <f t="shared" ca="1" si="19"/>
        <v/>
      </c>
      <c r="AV68" s="257" t="str">
        <f t="shared" ca="1" si="20"/>
        <v/>
      </c>
      <c r="AW68" s="257" t="str">
        <f t="shared" si="21"/>
        <v/>
      </c>
      <c r="AX68" s="141" t="s">
        <v>1410</v>
      </c>
      <c r="AY68" s="142"/>
    </row>
    <row r="69" spans="1:51" s="262" customFormat="1" x14ac:dyDescent="0.25">
      <c r="A69" s="64" t="s">
        <v>2162</v>
      </c>
      <c r="B69" s="64" t="s">
        <v>2247</v>
      </c>
      <c r="C69" s="61" t="s">
        <v>2129</v>
      </c>
      <c r="D69" s="43" t="s">
        <v>2110</v>
      </c>
      <c r="E69" s="201">
        <v>676417975</v>
      </c>
      <c r="F69" s="43" t="s">
        <v>1865</v>
      </c>
      <c r="G69" s="43" t="s">
        <v>1897</v>
      </c>
      <c r="H69" s="201">
        <v>630056991</v>
      </c>
      <c r="I69" s="43" t="s">
        <v>0</v>
      </c>
      <c r="J69" s="44">
        <v>45904</v>
      </c>
      <c r="K69" s="44">
        <v>45931</v>
      </c>
      <c r="L69" s="44">
        <v>45933</v>
      </c>
      <c r="M69" s="44"/>
      <c r="N69" s="127" t="s">
        <v>0</v>
      </c>
      <c r="O69" s="128" t="s">
        <v>2106</v>
      </c>
      <c r="P69" s="129" t="s">
        <v>2107</v>
      </c>
      <c r="Q69" s="65"/>
      <c r="R69" s="65"/>
      <c r="S69" s="65"/>
      <c r="T69" s="65"/>
      <c r="U69" s="65"/>
      <c r="V69" s="46">
        <f t="shared" ca="1" si="14"/>
        <v>0</v>
      </c>
      <c r="W69" s="47">
        <f t="shared" ca="1" si="15"/>
        <v>0</v>
      </c>
      <c r="X69" s="47" t="str">
        <f t="shared" ca="1" si="22"/>
        <v xml:space="preserve">PENDIENTE </v>
      </c>
      <c r="Y69" s="47">
        <f t="shared" ca="1" si="16"/>
        <v>0</v>
      </c>
      <c r="Z69" s="227" t="str">
        <f t="shared" ca="1" si="23"/>
        <v xml:space="preserve">PENDIENTE </v>
      </c>
      <c r="AA69" s="66"/>
      <c r="AB69" s="67">
        <v>7.3</v>
      </c>
      <c r="AC69" s="68"/>
      <c r="AD69" s="69"/>
      <c r="AE69" s="70">
        <v>7444.6025839759368</v>
      </c>
      <c r="AF69" s="71">
        <v>3261.375</v>
      </c>
      <c r="AG69" s="71"/>
      <c r="AH69" s="72">
        <v>2109.4299999999998</v>
      </c>
      <c r="AI69" s="73"/>
      <c r="AJ69" s="71">
        <f t="shared" si="13"/>
        <v>1923.797583975937</v>
      </c>
      <c r="AK69" s="71"/>
      <c r="AL69" s="71"/>
      <c r="AM69" s="70"/>
      <c r="AN69" s="74"/>
      <c r="AO69" s="278"/>
      <c r="AP69" s="144" t="str">
        <f t="shared" ca="1" si="24"/>
        <v/>
      </c>
      <c r="AQ69" s="142" t="s">
        <v>2381</v>
      </c>
      <c r="AR69" s="142" t="s">
        <v>2374</v>
      </c>
      <c r="AS69" s="57" t="str">
        <f t="shared" si="17"/>
        <v>---</v>
      </c>
      <c r="AT69" s="141" t="str">
        <f t="shared" si="18"/>
        <v xml:space="preserve">PLAN CINCO CCPP (C) Fausto 7 - </v>
      </c>
      <c r="AU69" s="141" t="str">
        <f t="shared" ca="1" si="19"/>
        <v/>
      </c>
      <c r="AV69" s="257" t="str">
        <f t="shared" ca="1" si="20"/>
        <v/>
      </c>
      <c r="AW69" s="257" t="str">
        <f t="shared" si="21"/>
        <v/>
      </c>
      <c r="AX69" s="141" t="s">
        <v>1410</v>
      </c>
      <c r="AY69" s="142"/>
    </row>
    <row r="70" spans="1:51" s="262" customFormat="1" x14ac:dyDescent="0.25">
      <c r="A70" s="64" t="s">
        <v>2162</v>
      </c>
      <c r="B70" s="64" t="s">
        <v>2251</v>
      </c>
      <c r="C70" s="61" t="s">
        <v>2129</v>
      </c>
      <c r="D70" s="43" t="s">
        <v>1898</v>
      </c>
      <c r="E70" s="201">
        <v>625151119</v>
      </c>
      <c r="F70" s="263" t="s">
        <v>1899</v>
      </c>
      <c r="G70" s="203" t="s">
        <v>2156</v>
      </c>
      <c r="H70" s="203" t="s">
        <v>0</v>
      </c>
      <c r="I70" s="122" t="s">
        <v>0</v>
      </c>
      <c r="J70" s="44">
        <v>46080</v>
      </c>
      <c r="K70" s="44"/>
      <c r="L70" s="44"/>
      <c r="M70" s="44"/>
      <c r="N70" s="127">
        <v>46157</v>
      </c>
      <c r="O70" s="128" t="s">
        <v>2131</v>
      </c>
      <c r="P70" s="129" t="s">
        <v>2514</v>
      </c>
      <c r="Q70" s="65"/>
      <c r="R70" s="65"/>
      <c r="S70" s="65"/>
      <c r="T70" s="65"/>
      <c r="U70" s="65"/>
      <c r="V70" s="46">
        <f t="shared" ca="1" si="14"/>
        <v>0</v>
      </c>
      <c r="W70" s="47">
        <f t="shared" ca="1" si="15"/>
        <v>0</v>
      </c>
      <c r="X70" s="47" t="str">
        <f t="shared" ca="1" si="22"/>
        <v xml:space="preserve">PENDIENTE </v>
      </c>
      <c r="Y70" s="47">
        <f t="shared" ca="1" si="16"/>
        <v>0</v>
      </c>
      <c r="Z70" s="227" t="str">
        <f t="shared" ca="1" si="23"/>
        <v xml:space="preserve">PENDIENTE </v>
      </c>
      <c r="AA70" s="124"/>
      <c r="AB70" s="67"/>
      <c r="AC70" s="68"/>
      <c r="AD70" s="69"/>
      <c r="AE70" s="70"/>
      <c r="AF70" s="71"/>
      <c r="AG70" s="71"/>
      <c r="AH70" s="72"/>
      <c r="AI70" s="73"/>
      <c r="AJ70" s="71"/>
      <c r="AK70" s="71"/>
      <c r="AL70" s="71"/>
      <c r="AM70" s="70"/>
      <c r="AN70" s="74"/>
      <c r="AO70" s="278"/>
      <c r="AP70" s="144" t="str">
        <f t="shared" ca="1" si="24"/>
        <v/>
      </c>
      <c r="AQ70" s="142" t="s">
        <v>2381</v>
      </c>
      <c r="AR70" s="142" t="s">
        <v>2374</v>
      </c>
      <c r="AS70" s="57" t="str">
        <f t="shared" si="17"/>
        <v>01</v>
      </c>
      <c r="AT70" s="141" t="str">
        <f t="shared" si="18"/>
        <v>PLAN CINCO CCPP (C) Felipe II 20 - Solicitud de documentación para presupuestar</v>
      </c>
      <c r="AU70" s="141" t="str">
        <f t="shared" ca="1" si="19"/>
        <v>Estimado/a Sr/Sra:
Gracias por contactar con Instalaciones Araujo para valorar la individualización de contadores de agua en la CCPP (C) Felipe II 20.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70" s="257" t="str">
        <f t="shared" ca="1" si="20"/>
        <v>Estimado/a Sr/Sra:
Gracias por contactar con Instalaciones Araujo para valorar la individualización de contadores de agua en la CCPP (C) Felipe II 20.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70" s="257" t="str">
        <f t="shared" si="21"/>
        <v>Estimado/a Sr/Sra:
Gracias por contactar con Instalaciones Araujo para valorar la individualización de contadores de agua en la CCPP (C) Felipe II 20.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70" s="141" t="s">
        <v>1410</v>
      </c>
      <c r="AY70" s="142"/>
    </row>
    <row r="71" spans="1:51" s="262" customFormat="1" x14ac:dyDescent="0.25">
      <c r="A71" s="64" t="s">
        <v>2162</v>
      </c>
      <c r="B71" s="64" t="s">
        <v>2254</v>
      </c>
      <c r="C71" s="61" t="s">
        <v>2129</v>
      </c>
      <c r="D71" s="43" t="s">
        <v>1900</v>
      </c>
      <c r="E71" s="201">
        <v>649111049</v>
      </c>
      <c r="F71" s="263" t="s">
        <v>1901</v>
      </c>
      <c r="G71" s="203" t="s">
        <v>2156</v>
      </c>
      <c r="H71" s="203" t="s">
        <v>0</v>
      </c>
      <c r="I71" s="122" t="s">
        <v>0</v>
      </c>
      <c r="J71" s="44">
        <v>46084</v>
      </c>
      <c r="K71" s="44"/>
      <c r="L71" s="44"/>
      <c r="M71" s="44"/>
      <c r="N71" s="127">
        <v>46157</v>
      </c>
      <c r="O71" s="128" t="s">
        <v>2130</v>
      </c>
      <c r="P71" s="129" t="s">
        <v>2514</v>
      </c>
      <c r="Q71" s="65"/>
      <c r="R71" s="65"/>
      <c r="S71" s="65"/>
      <c r="T71" s="65"/>
      <c r="U71" s="65"/>
      <c r="V71" s="46">
        <f t="shared" ca="1" si="14"/>
        <v>0</v>
      </c>
      <c r="W71" s="47">
        <f t="shared" ca="1" si="15"/>
        <v>0</v>
      </c>
      <c r="X71" s="47" t="str">
        <f t="shared" ca="1" si="22"/>
        <v xml:space="preserve">PENDIENTE </v>
      </c>
      <c r="Y71" s="47">
        <f t="shared" ca="1" si="16"/>
        <v>0</v>
      </c>
      <c r="Z71" s="227" t="str">
        <f t="shared" ca="1" si="23"/>
        <v xml:space="preserve">PENDIENTE </v>
      </c>
      <c r="AA71" s="124"/>
      <c r="AB71" s="67"/>
      <c r="AC71" s="68"/>
      <c r="AD71" s="69"/>
      <c r="AE71" s="70"/>
      <c r="AF71" s="71"/>
      <c r="AG71" s="71"/>
      <c r="AH71" s="72"/>
      <c r="AI71" s="73"/>
      <c r="AJ71" s="71"/>
      <c r="AK71" s="71"/>
      <c r="AL71" s="71"/>
      <c r="AM71" s="70"/>
      <c r="AN71" s="74"/>
      <c r="AO71" s="278"/>
      <c r="AP71" s="144" t="str">
        <f t="shared" ca="1" si="24"/>
        <v/>
      </c>
      <c r="AQ71" s="142" t="s">
        <v>2381</v>
      </c>
      <c r="AR71" s="142" t="s">
        <v>2374</v>
      </c>
      <c r="AS71" s="57" t="str">
        <f t="shared" si="17"/>
        <v>01</v>
      </c>
      <c r="AT71" s="141" t="str">
        <f t="shared" si="18"/>
        <v>PLAN CINCO CCPP (C) Fernández Espino 1 - Solicitud de documentación para presupuestar</v>
      </c>
      <c r="AU71" s="141" t="str">
        <f t="shared" ca="1" si="19"/>
        <v>Estimado/a Sr/Sra:
Gracias por contactar con Instalaciones Araujo para valorar la individualización de contadores de agua en la CCPP (C) Fernández Espino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71" s="257" t="str">
        <f t="shared" ca="1" si="20"/>
        <v>Estimado/a Sr/Sra:
Gracias por contactar con Instalaciones Araujo para valorar la individualización de contadores de agua en la CCPP (C) Fernández Espino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71" s="257" t="str">
        <f t="shared" si="21"/>
        <v>Estimado/a Sr/Sra:
Gracias por contactar con Instalaciones Araujo para valorar la individualización de contadores de agua en la CCPP (C) Fernández Espino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71" s="141" t="s">
        <v>1410</v>
      </c>
      <c r="AY71" s="142"/>
    </row>
    <row r="72" spans="1:51" s="262" customFormat="1" x14ac:dyDescent="0.25">
      <c r="A72" s="64" t="s">
        <v>2162</v>
      </c>
      <c r="B72" s="64" t="s">
        <v>2250</v>
      </c>
      <c r="C72" s="61" t="s">
        <v>2129</v>
      </c>
      <c r="D72" s="43" t="s">
        <v>1902</v>
      </c>
      <c r="E72" s="201">
        <v>954534208</v>
      </c>
      <c r="F72" s="43" t="s">
        <v>1903</v>
      </c>
      <c r="G72" s="43" t="s">
        <v>1904</v>
      </c>
      <c r="H72" s="201">
        <v>605829334</v>
      </c>
      <c r="I72" s="43" t="s">
        <v>0</v>
      </c>
      <c r="J72" s="44">
        <v>46058</v>
      </c>
      <c r="K72" s="44">
        <v>46059</v>
      </c>
      <c r="L72" s="44">
        <v>46063</v>
      </c>
      <c r="M72" s="44"/>
      <c r="N72" s="127" t="s">
        <v>0</v>
      </c>
      <c r="O72" s="128" t="s">
        <v>2105</v>
      </c>
      <c r="P72" s="129" t="s">
        <v>2107</v>
      </c>
      <c r="Q72" s="65"/>
      <c r="R72" s="65"/>
      <c r="S72" s="65"/>
      <c r="T72" s="65"/>
      <c r="U72" s="65"/>
      <c r="V72" s="46">
        <f t="shared" ca="1" si="14"/>
        <v>0</v>
      </c>
      <c r="W72" s="47">
        <f t="shared" ca="1" si="15"/>
        <v>0</v>
      </c>
      <c r="X72" s="47" t="str">
        <f t="shared" ca="1" si="22"/>
        <v xml:space="preserve">PENDIENTE </v>
      </c>
      <c r="Y72" s="47">
        <f t="shared" ca="1" si="16"/>
        <v>0</v>
      </c>
      <c r="Z72" s="227" t="str">
        <f t="shared" ca="1" si="23"/>
        <v xml:space="preserve">PENDIENTE </v>
      </c>
      <c r="AA72" s="66"/>
      <c r="AB72" s="67">
        <v>29</v>
      </c>
      <c r="AC72" s="68"/>
      <c r="AD72" s="69"/>
      <c r="AE72" s="70">
        <v>35932.2855179369</v>
      </c>
      <c r="AF72" s="71">
        <v>12932.885000000002</v>
      </c>
      <c r="AG72" s="71"/>
      <c r="AH72" s="72">
        <v>10202.85</v>
      </c>
      <c r="AI72" s="73"/>
      <c r="AJ72" s="71">
        <f>AE72-AF72-AH72-219</f>
        <v>12577.550517936897</v>
      </c>
      <c r="AK72" s="71"/>
      <c r="AL72" s="71"/>
      <c r="AM72" s="70"/>
      <c r="AN72" s="74"/>
      <c r="AO72" s="278"/>
      <c r="AP72" s="144" t="str">
        <f t="shared" ca="1" si="24"/>
        <v/>
      </c>
      <c r="AQ72" s="142" t="s">
        <v>2381</v>
      </c>
      <c r="AR72" s="142" t="s">
        <v>2374</v>
      </c>
      <c r="AS72" s="57" t="str">
        <f t="shared" si="17"/>
        <v>---</v>
      </c>
      <c r="AT72" s="141" t="str">
        <f t="shared" si="18"/>
        <v xml:space="preserve">PLAN CINCO CCPP (C) Fernando IV 14 - </v>
      </c>
      <c r="AU72" s="141" t="str">
        <f t="shared" ca="1" si="19"/>
        <v/>
      </c>
      <c r="AV72" s="257" t="str">
        <f t="shared" ca="1" si="20"/>
        <v/>
      </c>
      <c r="AW72" s="257" t="str">
        <f t="shared" si="21"/>
        <v/>
      </c>
      <c r="AX72" s="141" t="s">
        <v>1410</v>
      </c>
      <c r="AY72" s="142"/>
    </row>
    <row r="73" spans="1:51" s="262" customFormat="1" x14ac:dyDescent="0.25">
      <c r="A73" s="64" t="s">
        <v>2162</v>
      </c>
      <c r="B73" s="64" t="s">
        <v>2257</v>
      </c>
      <c r="C73" s="61" t="s">
        <v>2129</v>
      </c>
      <c r="D73" s="43" t="s">
        <v>2112</v>
      </c>
      <c r="E73" s="201">
        <v>954283221</v>
      </c>
      <c r="F73" s="263" t="s">
        <v>1928</v>
      </c>
      <c r="G73" s="43" t="s">
        <v>2154</v>
      </c>
      <c r="H73" s="201">
        <v>610271473</v>
      </c>
      <c r="I73" s="122" t="s">
        <v>0</v>
      </c>
      <c r="J73" s="136">
        <v>46121</v>
      </c>
      <c r="K73" s="136"/>
      <c r="L73" s="136"/>
      <c r="M73" s="136"/>
      <c r="N73" s="127"/>
      <c r="O73" s="128" t="s">
        <v>2422</v>
      </c>
      <c r="P73" s="126" t="s">
        <v>2098</v>
      </c>
      <c r="Q73" s="65"/>
      <c r="R73" s="65"/>
      <c r="S73" s="65"/>
      <c r="T73" s="65"/>
      <c r="U73" s="65"/>
      <c r="V73" s="46">
        <f t="shared" ca="1" si="14"/>
        <v>0</v>
      </c>
      <c r="W73" s="47">
        <f t="shared" ca="1" si="15"/>
        <v>0</v>
      </c>
      <c r="X73" s="47" t="str">
        <f t="shared" ca="1" si="22"/>
        <v xml:space="preserve">PENDIENTE </v>
      </c>
      <c r="Y73" s="47">
        <f t="shared" ca="1" si="16"/>
        <v>0</v>
      </c>
      <c r="Z73" s="227" t="str">
        <f t="shared" ca="1" si="23"/>
        <v xml:space="preserve">PENDIENTE </v>
      </c>
      <c r="AA73" s="124"/>
      <c r="AB73" s="67"/>
      <c r="AC73" s="68"/>
      <c r="AD73" s="69"/>
      <c r="AE73" s="70"/>
      <c r="AF73" s="71"/>
      <c r="AG73" s="71"/>
      <c r="AH73" s="72"/>
      <c r="AI73" s="73"/>
      <c r="AJ73" s="71"/>
      <c r="AK73" s="71"/>
      <c r="AL73" s="71"/>
      <c r="AM73" s="70"/>
      <c r="AN73" s="74"/>
      <c r="AO73" s="278"/>
      <c r="AP73" s="144" t="str">
        <f t="shared" ca="1" si="24"/>
        <v/>
      </c>
      <c r="AQ73" s="142" t="s">
        <v>2381</v>
      </c>
      <c r="AR73" s="142" t="s">
        <v>2374</v>
      </c>
      <c r="AS73" s="57" t="str">
        <f t="shared" si="17"/>
        <v>---</v>
      </c>
      <c r="AT73" s="141" t="str">
        <f t="shared" si="18"/>
        <v xml:space="preserve">PLAN CINCO CCPP (C) Fernando IV 44 - </v>
      </c>
      <c r="AU73" s="141" t="str">
        <f t="shared" ca="1" si="19"/>
        <v/>
      </c>
      <c r="AV73" s="257" t="str">
        <f t="shared" ca="1" si="20"/>
        <v/>
      </c>
      <c r="AW73" s="257" t="str">
        <f t="shared" si="21"/>
        <v/>
      </c>
      <c r="AX73" s="141" t="s">
        <v>1410</v>
      </c>
      <c r="AY73" s="142"/>
    </row>
    <row r="74" spans="1:51" s="262" customFormat="1" x14ac:dyDescent="0.25">
      <c r="A74" s="64" t="s">
        <v>2162</v>
      </c>
      <c r="B74" s="64" t="s">
        <v>2258</v>
      </c>
      <c r="C74" s="61" t="s">
        <v>1354</v>
      </c>
      <c r="D74" s="43" t="s">
        <v>1905</v>
      </c>
      <c r="E74" s="201">
        <v>681943040</v>
      </c>
      <c r="F74" s="43" t="s">
        <v>1906</v>
      </c>
      <c r="G74" s="43" t="s">
        <v>1907</v>
      </c>
      <c r="H74" s="201">
        <v>655727759</v>
      </c>
      <c r="I74" s="43" t="s">
        <v>0</v>
      </c>
      <c r="J74" s="44">
        <v>45912</v>
      </c>
      <c r="K74" s="44">
        <v>45916</v>
      </c>
      <c r="L74" s="44">
        <v>45919</v>
      </c>
      <c r="M74" s="44"/>
      <c r="N74" s="127">
        <v>46157</v>
      </c>
      <c r="O74" s="128" t="s">
        <v>2103</v>
      </c>
      <c r="P74" s="129" t="s">
        <v>2522</v>
      </c>
      <c r="Q74" s="65"/>
      <c r="R74" s="65"/>
      <c r="S74" s="65"/>
      <c r="T74" s="65"/>
      <c r="U74" s="65"/>
      <c r="V74" s="46">
        <f t="shared" ca="1" si="14"/>
        <v>0</v>
      </c>
      <c r="W74" s="47">
        <f t="shared" ca="1" si="15"/>
        <v>0</v>
      </c>
      <c r="X74" s="47" t="str">
        <f t="shared" ca="1" si="22"/>
        <v xml:space="preserve">PENDIENTE </v>
      </c>
      <c r="Y74" s="47">
        <f t="shared" ca="1" si="16"/>
        <v>0</v>
      </c>
      <c r="Z74" s="227" t="str">
        <f t="shared" ca="1" si="23"/>
        <v xml:space="preserve">PENDIENTE </v>
      </c>
      <c r="AA74" s="66"/>
      <c r="AB74" s="67">
        <v>7.5</v>
      </c>
      <c r="AC74" s="68"/>
      <c r="AD74" s="69"/>
      <c r="AE74" s="70">
        <v>9341.0572588683954</v>
      </c>
      <c r="AF74" s="71">
        <v>3339.4250000000002</v>
      </c>
      <c r="AG74" s="71"/>
      <c r="AH74" s="72">
        <v>2850.57</v>
      </c>
      <c r="AI74" s="73"/>
      <c r="AJ74" s="71">
        <f>AE74-AF74-AH74-150</f>
        <v>3001.062258868395</v>
      </c>
      <c r="AK74" s="71"/>
      <c r="AL74" s="71"/>
      <c r="AM74" s="70"/>
      <c r="AN74" s="74"/>
      <c r="AO74" s="278"/>
      <c r="AP74" s="144" t="str">
        <f t="shared" ca="1" si="24"/>
        <v/>
      </c>
      <c r="AQ74" s="142" t="s">
        <v>2381</v>
      </c>
      <c r="AR74" s="142" t="s">
        <v>2374</v>
      </c>
      <c r="AS74" s="57" t="str">
        <f t="shared" si="17"/>
        <v>03</v>
      </c>
      <c r="AT74" s="141" t="str">
        <f t="shared" si="18"/>
        <v>PLAN CINCO CCPP (C) Francisco Elías Riquelme 2 - Presupuesto pendiente de adjudicación</v>
      </c>
      <c r="AU74" s="141" t="str">
        <f t="shared" ca="1" si="19"/>
        <v>Estimado/a Sr/Sra:
Desde Instalaciones Araujo nos ponemos en contacto con ud, en relación con el Presupuesto de individualización de contadores de agua que le facilitamos el pasado 00/01/1900 para la CCPP (C) Francisco Elías Riquelme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74" s="257" t="str">
        <f t="shared" ca="1" si="20"/>
        <v>Estimado/a Sr/Sra:
Desde Instalaciones Araujo nos ponemos en contacto con ud, en relación con el Presupuesto de individualización de contadores de agua que le facilitamos el pasado {FECHA_PTO} para la CCPP (C) Francisco Elías Riquelme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74" s="257" t="str">
        <f t="shared" si="21"/>
        <v>Estimado/a Sr/Sra:
Desde Instalaciones Araujo nos ponemos en contacto con ud, en relación con el Presupuesto de individualización de contadores de agua que le facilitamos el pasado {FECHA_PTO} para la CCPP (C) Francisco Elías Riquelme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74" s="141" t="s">
        <v>1410</v>
      </c>
      <c r="AY74" s="142"/>
    </row>
    <row r="75" spans="1:51" s="262" customFormat="1" x14ac:dyDescent="0.25">
      <c r="A75" s="64" t="s">
        <v>2168</v>
      </c>
      <c r="B75" s="64" t="s">
        <v>2252</v>
      </c>
      <c r="C75" s="61" t="s">
        <v>2129</v>
      </c>
      <c r="D75" s="43" t="s">
        <v>1908</v>
      </c>
      <c r="E75" s="201">
        <v>644241814</v>
      </c>
      <c r="F75" s="43" t="s">
        <v>1909</v>
      </c>
      <c r="G75" s="203" t="s">
        <v>2156</v>
      </c>
      <c r="H75" s="203" t="s">
        <v>0</v>
      </c>
      <c r="I75" s="122" t="s">
        <v>0</v>
      </c>
      <c r="J75" s="44">
        <v>45853</v>
      </c>
      <c r="K75" s="44">
        <v>45856</v>
      </c>
      <c r="L75" s="44">
        <v>45860</v>
      </c>
      <c r="M75" s="44"/>
      <c r="N75" s="127" t="s">
        <v>0</v>
      </c>
      <c r="O75" s="128" t="s">
        <v>2106</v>
      </c>
      <c r="P75" s="129" t="s">
        <v>2107</v>
      </c>
      <c r="Q75" s="65"/>
      <c r="R75" s="65"/>
      <c r="S75" s="65"/>
      <c r="T75" s="65"/>
      <c r="U75" s="65"/>
      <c r="V75" s="46">
        <f t="shared" ca="1" si="14"/>
        <v>0</v>
      </c>
      <c r="W75" s="47">
        <f t="shared" ca="1" si="15"/>
        <v>0</v>
      </c>
      <c r="X75" s="47" t="str">
        <f t="shared" ca="1" si="22"/>
        <v xml:space="preserve">PENDIENTE </v>
      </c>
      <c r="Y75" s="47">
        <f t="shared" ca="1" si="16"/>
        <v>0</v>
      </c>
      <c r="Z75" s="227" t="str">
        <f t="shared" ca="1" si="23"/>
        <v xml:space="preserve">PENDIENTE </v>
      </c>
      <c r="AA75" s="66"/>
      <c r="AB75" s="67">
        <v>10</v>
      </c>
      <c r="AC75" s="68"/>
      <c r="AD75" s="69"/>
      <c r="AE75" s="70">
        <v>11149.859289890866</v>
      </c>
      <c r="AF75" s="71">
        <v>4466.9130000000005</v>
      </c>
      <c r="AG75" s="71"/>
      <c r="AH75" s="72">
        <v>2937.55</v>
      </c>
      <c r="AI75" s="73"/>
      <c r="AJ75" s="71">
        <f>AE75-AF75-AH75-150</f>
        <v>3595.3962898908658</v>
      </c>
      <c r="AK75" s="71"/>
      <c r="AL75" s="71"/>
      <c r="AM75" s="70"/>
      <c r="AN75" s="74"/>
      <c r="AO75" s="278"/>
      <c r="AP75" s="144" t="str">
        <f t="shared" ca="1" si="24"/>
        <v/>
      </c>
      <c r="AQ75" s="142" t="s">
        <v>2381</v>
      </c>
      <c r="AR75" s="142" t="s">
        <v>2374</v>
      </c>
      <c r="AS75" s="57" t="str">
        <f t="shared" si="17"/>
        <v>---</v>
      </c>
      <c r="AT75" s="141" t="str">
        <f t="shared" si="18"/>
        <v xml:space="preserve">PLAN CINCO CCPP (C)(S.Juan) Francisco Madrigal Marín 2, 4 - </v>
      </c>
      <c r="AU75" s="141" t="str">
        <f t="shared" ca="1" si="19"/>
        <v/>
      </c>
      <c r="AV75" s="257" t="str">
        <f t="shared" ca="1" si="20"/>
        <v/>
      </c>
      <c r="AW75" s="257" t="str">
        <f t="shared" si="21"/>
        <v/>
      </c>
      <c r="AX75" s="141" t="s">
        <v>1410</v>
      </c>
      <c r="AY75" s="142"/>
    </row>
    <row r="76" spans="1:51" s="262" customFormat="1" x14ac:dyDescent="0.25">
      <c r="A76" s="64" t="s">
        <v>2162</v>
      </c>
      <c r="B76" s="64" t="s">
        <v>2259</v>
      </c>
      <c r="C76" s="61" t="s">
        <v>2129</v>
      </c>
      <c r="D76" s="43" t="s">
        <v>2150</v>
      </c>
      <c r="E76" s="201">
        <v>954440400</v>
      </c>
      <c r="F76" s="263" t="s">
        <v>1872</v>
      </c>
      <c r="G76" s="43" t="s">
        <v>2152</v>
      </c>
      <c r="H76" s="201">
        <v>666847824</v>
      </c>
      <c r="I76" s="263" t="s">
        <v>2151</v>
      </c>
      <c r="J76" s="136">
        <v>46121</v>
      </c>
      <c r="K76" s="136"/>
      <c r="L76" s="136"/>
      <c r="M76" s="136"/>
      <c r="N76" s="127">
        <v>46157</v>
      </c>
      <c r="O76" s="128" t="s">
        <v>2153</v>
      </c>
      <c r="P76" s="126" t="s">
        <v>2514</v>
      </c>
      <c r="Q76" s="65"/>
      <c r="R76" s="65"/>
      <c r="S76" s="65"/>
      <c r="T76" s="65"/>
      <c r="U76" s="65"/>
      <c r="V76" s="46">
        <f t="shared" ca="1" si="14"/>
        <v>0</v>
      </c>
      <c r="W76" s="47">
        <f t="shared" ca="1" si="15"/>
        <v>0</v>
      </c>
      <c r="X76" s="47" t="str">
        <f t="shared" ca="1" si="22"/>
        <v xml:space="preserve">PENDIENTE </v>
      </c>
      <c r="Y76" s="47">
        <f t="shared" ca="1" si="16"/>
        <v>0</v>
      </c>
      <c r="Z76" s="227" t="str">
        <f t="shared" ca="1" si="23"/>
        <v xml:space="preserve">PENDIENTE </v>
      </c>
      <c r="AA76" s="124"/>
      <c r="AB76" s="67"/>
      <c r="AC76" s="68"/>
      <c r="AD76" s="69"/>
      <c r="AE76" s="70"/>
      <c r="AF76" s="71"/>
      <c r="AG76" s="71"/>
      <c r="AH76" s="72"/>
      <c r="AI76" s="73"/>
      <c r="AJ76" s="71"/>
      <c r="AK76" s="71"/>
      <c r="AL76" s="71"/>
      <c r="AM76" s="70"/>
      <c r="AN76" s="74"/>
      <c r="AO76" s="278"/>
      <c r="AP76" s="144" t="str">
        <f t="shared" ca="1" si="24"/>
        <v/>
      </c>
      <c r="AQ76" s="142" t="s">
        <v>2381</v>
      </c>
      <c r="AR76" s="142" t="s">
        <v>2374</v>
      </c>
      <c r="AS76" s="57" t="str">
        <f t="shared" si="17"/>
        <v>01</v>
      </c>
      <c r="AT76" s="141" t="str">
        <f t="shared" si="18"/>
        <v>PLAN CINCO CCPP (C) Francisco Meneses 4 - Solicitud de documentación para presupuestar</v>
      </c>
      <c r="AU76" s="141" t="str">
        <f t="shared" ca="1" si="19"/>
        <v>Estimado/a Sr/Sra:
Gracias por contactar con Instalaciones Araujo para valorar la individualización de contadores de agua en la CCPP (C) Francisco Meneses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76" s="257" t="str">
        <f t="shared" ca="1" si="20"/>
        <v>Estimado/a Sr/Sra:
Gracias por contactar con Instalaciones Araujo para valorar la individualización de contadores de agua en la CCPP (C) Francisco Meneses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76" s="257" t="str">
        <f t="shared" si="21"/>
        <v>Estimado/a Sr/Sra:
Gracias por contactar con Instalaciones Araujo para valorar la individualización de contadores de agua en la CCPP (C) Francisco Meneses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76" s="141" t="s">
        <v>1410</v>
      </c>
      <c r="AY76" s="142"/>
    </row>
    <row r="77" spans="1:51" s="262" customFormat="1" x14ac:dyDescent="0.25">
      <c r="A77" s="64" t="s">
        <v>2162</v>
      </c>
      <c r="B77" s="64" t="s">
        <v>2261</v>
      </c>
      <c r="C77" s="61" t="s">
        <v>2129</v>
      </c>
      <c r="D77" s="43" t="s">
        <v>1288</v>
      </c>
      <c r="E77" s="203">
        <v>954440400</v>
      </c>
      <c r="F77" s="263" t="s">
        <v>1872</v>
      </c>
      <c r="G77" s="61" t="s">
        <v>2147</v>
      </c>
      <c r="H77" s="201">
        <v>691310364</v>
      </c>
      <c r="I77" s="265" t="s">
        <v>2148</v>
      </c>
      <c r="J77" s="136">
        <v>46120</v>
      </c>
      <c r="K77" s="134"/>
      <c r="L77" s="136"/>
      <c r="M77" s="136"/>
      <c r="N77" s="127"/>
      <c r="O77" s="128" t="s">
        <v>2424</v>
      </c>
      <c r="P77" s="126" t="s">
        <v>2098</v>
      </c>
      <c r="Q77" s="65"/>
      <c r="R77" s="65"/>
      <c r="S77" s="65"/>
      <c r="T77" s="65"/>
      <c r="U77" s="65"/>
      <c r="V77" s="46">
        <f t="shared" ca="1" si="14"/>
        <v>0</v>
      </c>
      <c r="W77" s="47">
        <f t="shared" ca="1" si="15"/>
        <v>0</v>
      </c>
      <c r="X77" s="47" t="str">
        <f t="shared" ca="1" si="22"/>
        <v xml:space="preserve">PENDIENTE </v>
      </c>
      <c r="Y77" s="47">
        <f t="shared" ca="1" si="16"/>
        <v>0</v>
      </c>
      <c r="Z77" s="227" t="str">
        <f t="shared" ca="1" si="23"/>
        <v xml:space="preserve">PENDIENTE </v>
      </c>
      <c r="AA77" s="124"/>
      <c r="AB77" s="67"/>
      <c r="AC77" s="68"/>
      <c r="AD77" s="69"/>
      <c r="AE77" s="70"/>
      <c r="AF77" s="71"/>
      <c r="AG77" s="71"/>
      <c r="AH77" s="72"/>
      <c r="AI77" s="73"/>
      <c r="AJ77" s="71"/>
      <c r="AK77" s="71"/>
      <c r="AL77" s="71"/>
      <c r="AM77" s="70"/>
      <c r="AN77" s="74"/>
      <c r="AO77" s="278"/>
      <c r="AP77" s="144" t="str">
        <f t="shared" ca="1" si="24"/>
        <v/>
      </c>
      <c r="AQ77" s="142" t="s">
        <v>2381</v>
      </c>
      <c r="AR77" s="142" t="s">
        <v>2374</v>
      </c>
      <c r="AS77" s="57" t="str">
        <f t="shared" si="17"/>
        <v>---</v>
      </c>
      <c r="AT77" s="141" t="str">
        <f t="shared" si="18"/>
        <v xml:space="preserve">PLAN CINCO CCPP (C) Galicia 10 - </v>
      </c>
      <c r="AU77" s="141" t="str">
        <f t="shared" ca="1" si="19"/>
        <v/>
      </c>
      <c r="AV77" s="257" t="str">
        <f t="shared" ca="1" si="20"/>
        <v/>
      </c>
      <c r="AW77" s="257" t="str">
        <f t="shared" si="21"/>
        <v/>
      </c>
      <c r="AX77" s="141" t="s">
        <v>1410</v>
      </c>
      <c r="AY77" s="142"/>
    </row>
    <row r="78" spans="1:51" s="262" customFormat="1" x14ac:dyDescent="0.25">
      <c r="A78" s="64" t="s">
        <v>2169</v>
      </c>
      <c r="B78" s="64" t="s">
        <v>2253</v>
      </c>
      <c r="C78" s="61" t="s">
        <v>2129</v>
      </c>
      <c r="D78" s="43" t="s">
        <v>1910</v>
      </c>
      <c r="E78" s="201">
        <v>744615257</v>
      </c>
      <c r="F78" s="43" t="s">
        <v>1911</v>
      </c>
      <c r="G78" s="43" t="s">
        <v>1912</v>
      </c>
      <c r="H78" s="201">
        <v>690822024</v>
      </c>
      <c r="I78" s="43" t="s">
        <v>0</v>
      </c>
      <c r="J78" s="44">
        <v>45818</v>
      </c>
      <c r="K78" s="44">
        <v>45854</v>
      </c>
      <c r="L78" s="44">
        <v>45855</v>
      </c>
      <c r="M78" s="44"/>
      <c r="N78" s="127" t="s">
        <v>0</v>
      </c>
      <c r="O78" s="128" t="s">
        <v>2105</v>
      </c>
      <c r="P78" s="129" t="s">
        <v>2107</v>
      </c>
      <c r="Q78" s="65"/>
      <c r="R78" s="65"/>
      <c r="S78" s="65"/>
      <c r="T78" s="65"/>
      <c r="U78" s="65"/>
      <c r="V78" s="46">
        <f t="shared" ca="1" si="14"/>
        <v>0</v>
      </c>
      <c r="W78" s="47">
        <f t="shared" ca="1" si="15"/>
        <v>0</v>
      </c>
      <c r="X78" s="47" t="str">
        <f t="shared" ca="1" si="22"/>
        <v xml:space="preserve">PENDIENTE </v>
      </c>
      <c r="Y78" s="47">
        <f t="shared" ca="1" si="16"/>
        <v>0</v>
      </c>
      <c r="Z78" s="227" t="str">
        <f t="shared" ca="1" si="23"/>
        <v xml:space="preserve">PENDIENTE </v>
      </c>
      <c r="AA78" s="66"/>
      <c r="AB78" s="67">
        <v>14</v>
      </c>
      <c r="AC78" s="68"/>
      <c r="AD78" s="69"/>
      <c r="AE78" s="70">
        <v>16042.507146083548</v>
      </c>
      <c r="AF78" s="71">
        <v>6227.2749999999996</v>
      </c>
      <c r="AG78" s="71"/>
      <c r="AH78" s="72">
        <v>4161.1000000000004</v>
      </c>
      <c r="AI78" s="73"/>
      <c r="AJ78" s="71">
        <f>AE78-AF78-AH78-150</f>
        <v>5504.1321460835479</v>
      </c>
      <c r="AK78" s="71"/>
      <c r="AL78" s="71"/>
      <c r="AM78" s="70"/>
      <c r="AN78" s="74"/>
      <c r="AO78" s="278"/>
      <c r="AP78" s="144" t="str">
        <f t="shared" ca="1" si="24"/>
        <v/>
      </c>
      <c r="AQ78" s="142" t="s">
        <v>2381</v>
      </c>
      <c r="AR78" s="142" t="s">
        <v>2374</v>
      </c>
      <c r="AS78" s="57" t="str">
        <f t="shared" si="17"/>
        <v>---</v>
      </c>
      <c r="AT78" s="141" t="str">
        <f t="shared" si="18"/>
        <v xml:space="preserve">PLAN CINCO CCPP (Av de los) Gavilanes 58 - </v>
      </c>
      <c r="AU78" s="141" t="str">
        <f t="shared" ca="1" si="19"/>
        <v/>
      </c>
      <c r="AV78" s="257" t="str">
        <f t="shared" ca="1" si="20"/>
        <v/>
      </c>
      <c r="AW78" s="257" t="str">
        <f t="shared" si="21"/>
        <v/>
      </c>
      <c r="AX78" s="141" t="s">
        <v>1410</v>
      </c>
      <c r="AY78" s="142"/>
    </row>
    <row r="79" spans="1:51" s="262" customFormat="1" x14ac:dyDescent="0.25">
      <c r="A79" s="64" t="s">
        <v>2162</v>
      </c>
      <c r="B79" s="64" t="s">
        <v>2434</v>
      </c>
      <c r="C79" s="61" t="s">
        <v>2129</v>
      </c>
      <c r="D79" s="122" t="s">
        <v>2435</v>
      </c>
      <c r="E79" s="201">
        <v>631282498</v>
      </c>
      <c r="F79" s="122" t="s">
        <v>0</v>
      </c>
      <c r="G79" s="203" t="s">
        <v>2156</v>
      </c>
      <c r="H79" s="203" t="s">
        <v>0</v>
      </c>
      <c r="I79" s="122" t="s">
        <v>0</v>
      </c>
      <c r="J79" s="136">
        <v>46069</v>
      </c>
      <c r="K79" s="134">
        <v>46127</v>
      </c>
      <c r="L79" s="136">
        <v>46141</v>
      </c>
      <c r="M79" s="136"/>
      <c r="N79" s="127"/>
      <c r="O79" s="128"/>
      <c r="P79" s="129" t="s">
        <v>2522</v>
      </c>
      <c r="Q79" s="65"/>
      <c r="R79" s="65"/>
      <c r="S79" s="65"/>
      <c r="T79" s="65"/>
      <c r="U79" s="65"/>
      <c r="V79" s="46">
        <f t="shared" ca="1" si="14"/>
        <v>0</v>
      </c>
      <c r="W79" s="47">
        <f t="shared" ca="1" si="15"/>
        <v>0</v>
      </c>
      <c r="X79" s="47" t="str">
        <f t="shared" ca="1" si="22"/>
        <v xml:space="preserve">PENDIENTE </v>
      </c>
      <c r="Y79" s="47">
        <f t="shared" ca="1" si="16"/>
        <v>0</v>
      </c>
      <c r="Z79" s="227" t="str">
        <f t="shared" ca="1" si="23"/>
        <v xml:space="preserve">PENDIENTE </v>
      </c>
      <c r="AA79" s="124"/>
      <c r="AB79" s="67">
        <v>7.6</v>
      </c>
      <c r="AC79" s="68"/>
      <c r="AD79" s="69"/>
      <c r="AE79" s="70">
        <v>8915.0400000000009</v>
      </c>
      <c r="AF79" s="71">
        <v>3372.88</v>
      </c>
      <c r="AG79" s="71"/>
      <c r="AH79" s="72">
        <f>1690.56+620</f>
        <v>2310.56</v>
      </c>
      <c r="AI79" s="73"/>
      <c r="AJ79" s="71">
        <f>AE79-AF79-AH79-174</f>
        <v>3057.6000000000008</v>
      </c>
      <c r="AK79" s="71"/>
      <c r="AL79" s="71"/>
      <c r="AM79" s="70"/>
      <c r="AN79" s="74"/>
      <c r="AO79" s="278"/>
      <c r="AP79" s="144" t="str">
        <f t="shared" ca="1" si="24"/>
        <v/>
      </c>
      <c r="AQ79" s="142" t="s">
        <v>2381</v>
      </c>
      <c r="AR79" s="142" t="s">
        <v>2374</v>
      </c>
      <c r="AS79" s="57" t="str">
        <f t="shared" si="17"/>
        <v>03</v>
      </c>
      <c r="AT79" s="141" t="str">
        <f t="shared" si="18"/>
        <v>PLAN CINCO CCPP (C) Gaviota 1 - Presupuesto pendiente de adjudicación</v>
      </c>
      <c r="AU79" s="141" t="str">
        <f t="shared" ca="1" si="19"/>
        <v>Estimado/a Sr/Sra:
Desde Instalaciones Araujo nos ponemos en contacto con ud, en relación con el Presupuesto de individualización de contadores de agua que le facilitamos el pasado 00/01/1900 para la CCPP (C) Gaviota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79" s="258" t="str">
        <f t="shared" ca="1" si="20"/>
        <v>Estimado/a Sr/Sra:
Desde Instalaciones Araujo nos ponemos en contacto con ud, en relación con el Presupuesto de individualización de contadores de agua que le facilitamos el pasado {FECHA_PTO} para la CCPP (C) Gaviota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79" s="258" t="str">
        <f t="shared" si="21"/>
        <v>Estimado/a Sr/Sra:
Desde Instalaciones Araujo nos ponemos en contacto con ud, en relación con el Presupuesto de individualización de contadores de agua que le facilitamos el pasado {FECHA_PTO} para la CCPP (C) Gaviota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79" s="141" t="s">
        <v>1410</v>
      </c>
      <c r="AY79" s="148"/>
    </row>
    <row r="80" spans="1:51" s="262" customFormat="1" x14ac:dyDescent="0.25">
      <c r="A80" s="75" t="s">
        <v>2170</v>
      </c>
      <c r="B80" s="75" t="s">
        <v>2262</v>
      </c>
      <c r="C80" s="61" t="s">
        <v>2129</v>
      </c>
      <c r="D80" s="43" t="s">
        <v>1913</v>
      </c>
      <c r="E80" s="201" t="s">
        <v>0</v>
      </c>
      <c r="F80" s="43" t="s">
        <v>0</v>
      </c>
      <c r="G80" s="203" t="s">
        <v>2156</v>
      </c>
      <c r="H80" s="203" t="s">
        <v>0</v>
      </c>
      <c r="I80" s="122" t="s">
        <v>0</v>
      </c>
      <c r="J80" s="44">
        <v>45818</v>
      </c>
      <c r="K80" s="44">
        <v>45825</v>
      </c>
      <c r="L80" s="44">
        <v>45825</v>
      </c>
      <c r="M80" s="44"/>
      <c r="N80" s="127" t="s">
        <v>0</v>
      </c>
      <c r="O80" s="128" t="s">
        <v>0</v>
      </c>
      <c r="P80" s="126" t="s">
        <v>2100</v>
      </c>
      <c r="Q80" s="65">
        <v>45860</v>
      </c>
      <c r="R80" s="65">
        <v>45910</v>
      </c>
      <c r="S80" s="65">
        <v>45918</v>
      </c>
      <c r="T80" s="65">
        <v>45966</v>
      </c>
      <c r="U80" s="65">
        <v>45972</v>
      </c>
      <c r="V80" s="46" t="str">
        <f t="shared" ca="1" si="14"/>
        <v>OK</v>
      </c>
      <c r="W80" s="47">
        <f t="shared" ca="1" si="15"/>
        <v>1</v>
      </c>
      <c r="X80" s="47" t="str">
        <f t="shared" ca="1" si="22"/>
        <v>COMPLETO</v>
      </c>
      <c r="Y80" s="47">
        <f t="shared" ca="1" si="16"/>
        <v>1</v>
      </c>
      <c r="Z80" s="227" t="str">
        <f t="shared" ca="1" si="23"/>
        <v>COMPLETO</v>
      </c>
      <c r="AA80" s="66" t="s">
        <v>53</v>
      </c>
      <c r="AB80" s="85">
        <v>22.7</v>
      </c>
      <c r="AC80" s="86">
        <f>79.5/2</f>
        <v>39.75</v>
      </c>
      <c r="AD80" s="87">
        <f>1-(AC80/AB80)</f>
        <v>-0.75110132158590304</v>
      </c>
      <c r="AE80" s="88">
        <v>27844.95</v>
      </c>
      <c r="AF80" s="89">
        <v>10118.629999999999</v>
      </c>
      <c r="AG80" s="89">
        <v>18012.21</v>
      </c>
      <c r="AH80" s="90">
        <v>8418.19</v>
      </c>
      <c r="AI80" s="91">
        <v>9803.5</v>
      </c>
      <c r="AJ80" s="92">
        <f>AE80-AF80-AH80-150</f>
        <v>9158.1299999999992</v>
      </c>
      <c r="AK80" s="92">
        <f>AE80-AG80-AI80</f>
        <v>29.240000000001601</v>
      </c>
      <c r="AL80" s="92">
        <f>AK80-AJ80</f>
        <v>-9128.8899999999976</v>
      </c>
      <c r="AM80" s="93">
        <f>AK80*0.2</f>
        <v>5.8480000000003205</v>
      </c>
      <c r="AN80" s="83" t="s">
        <v>609</v>
      </c>
      <c r="AO80" s="278"/>
      <c r="AP80" s="144" t="str">
        <f t="shared" ca="1" si="24"/>
        <v/>
      </c>
      <c r="AQ80" s="142" t="s">
        <v>2381</v>
      </c>
      <c r="AR80" s="142" t="s">
        <v>2374</v>
      </c>
      <c r="AS80" s="57" t="str">
        <f t="shared" si="17"/>
        <v>---</v>
      </c>
      <c r="AT80" s="141" t="str">
        <f t="shared" si="18"/>
        <v xml:space="preserve">PLAN CINCO CCPP (Pz del) Generalife 13 - </v>
      </c>
      <c r="AU80" s="141" t="str">
        <f t="shared" ca="1" si="19"/>
        <v/>
      </c>
      <c r="AV80" s="257" t="str">
        <f t="shared" ca="1" si="20"/>
        <v/>
      </c>
      <c r="AW80" s="257" t="str">
        <f t="shared" si="21"/>
        <v/>
      </c>
      <c r="AX80" s="141" t="s">
        <v>1410</v>
      </c>
      <c r="AY80" s="142"/>
    </row>
    <row r="81" spans="1:51" s="262" customFormat="1" x14ac:dyDescent="0.25">
      <c r="A81" s="64" t="s">
        <v>2162</v>
      </c>
      <c r="B81" s="64" t="s">
        <v>2255</v>
      </c>
      <c r="C81" s="61" t="s">
        <v>2129</v>
      </c>
      <c r="D81" s="43" t="s">
        <v>1167</v>
      </c>
      <c r="E81" s="201">
        <v>608870230</v>
      </c>
      <c r="F81" s="43" t="s">
        <v>1806</v>
      </c>
      <c r="G81" s="43" t="s">
        <v>1914</v>
      </c>
      <c r="H81" s="201">
        <v>605365421</v>
      </c>
      <c r="I81" s="43" t="s">
        <v>1915</v>
      </c>
      <c r="J81" s="44">
        <v>45756</v>
      </c>
      <c r="K81" s="44">
        <v>45756</v>
      </c>
      <c r="L81" s="44">
        <v>45784</v>
      </c>
      <c r="M81" s="44"/>
      <c r="N81" s="127" t="s">
        <v>0</v>
      </c>
      <c r="O81" s="128" t="s">
        <v>2105</v>
      </c>
      <c r="P81" s="126" t="s">
        <v>2107</v>
      </c>
      <c r="Q81" s="65"/>
      <c r="R81" s="65"/>
      <c r="S81" s="65"/>
      <c r="T81" s="65"/>
      <c r="U81" s="65"/>
      <c r="V81" s="46">
        <f t="shared" ca="1" si="14"/>
        <v>0</v>
      </c>
      <c r="W81" s="47">
        <f t="shared" ca="1" si="15"/>
        <v>0</v>
      </c>
      <c r="X81" s="47" t="str">
        <f t="shared" ca="1" si="22"/>
        <v xml:space="preserve">PENDIENTE </v>
      </c>
      <c r="Y81" s="47">
        <f t="shared" ca="1" si="16"/>
        <v>0</v>
      </c>
      <c r="Z81" s="227" t="str">
        <f t="shared" ca="1" si="23"/>
        <v xml:space="preserve">PENDIENTE </v>
      </c>
      <c r="AA81" s="66"/>
      <c r="AB81" s="67">
        <v>12.7</v>
      </c>
      <c r="AC81" s="68"/>
      <c r="AD81" s="69"/>
      <c r="AE81" s="70">
        <v>14443.041009846882</v>
      </c>
      <c r="AF81" s="71">
        <v>5658.625</v>
      </c>
      <c r="AG81" s="71"/>
      <c r="AH81" s="72">
        <v>4276.24</v>
      </c>
      <c r="AI81" s="73"/>
      <c r="AJ81" s="71">
        <f>AE81-AF81-AH81-150</f>
        <v>4358.1760098468822</v>
      </c>
      <c r="AK81" s="71"/>
      <c r="AL81" s="71"/>
      <c r="AM81" s="70"/>
      <c r="AN81" s="74"/>
      <c r="AO81" s="278"/>
      <c r="AP81" s="144" t="str">
        <f t="shared" ca="1" si="24"/>
        <v/>
      </c>
      <c r="AQ81" s="142" t="s">
        <v>2381</v>
      </c>
      <c r="AR81" s="142" t="s">
        <v>2374</v>
      </c>
      <c r="AS81" s="57" t="str">
        <f t="shared" si="17"/>
        <v>---</v>
      </c>
      <c r="AT81" s="141" t="str">
        <f t="shared" si="18"/>
        <v xml:space="preserve">PLAN CINCO CCPP (C) Génova 10 - </v>
      </c>
      <c r="AU81" s="141" t="str">
        <f t="shared" ca="1" si="19"/>
        <v/>
      </c>
      <c r="AV81" s="257" t="str">
        <f t="shared" ca="1" si="20"/>
        <v/>
      </c>
      <c r="AW81" s="257" t="str">
        <f t="shared" si="21"/>
        <v/>
      </c>
      <c r="AX81" s="141" t="s">
        <v>1410</v>
      </c>
      <c r="AY81" s="142"/>
    </row>
    <row r="82" spans="1:51" s="262" customFormat="1" x14ac:dyDescent="0.25">
      <c r="A82" s="64" t="s">
        <v>2162</v>
      </c>
      <c r="B82" s="64" t="s">
        <v>2256</v>
      </c>
      <c r="C82" s="61" t="s">
        <v>2129</v>
      </c>
      <c r="D82" s="43" t="s">
        <v>1916</v>
      </c>
      <c r="E82" s="201">
        <v>676000660</v>
      </c>
      <c r="F82" s="43" t="s">
        <v>1917</v>
      </c>
      <c r="G82" s="203" t="s">
        <v>2156</v>
      </c>
      <c r="H82" s="203" t="s">
        <v>0</v>
      </c>
      <c r="I82" s="122" t="s">
        <v>0</v>
      </c>
      <c r="J82" s="44">
        <v>45811</v>
      </c>
      <c r="K82" s="44">
        <v>45828</v>
      </c>
      <c r="L82" s="44">
        <v>45831</v>
      </c>
      <c r="M82" s="44"/>
      <c r="N82" s="127" t="s">
        <v>0</v>
      </c>
      <c r="O82" s="128" t="s">
        <v>2106</v>
      </c>
      <c r="P82" s="129" t="s">
        <v>2107</v>
      </c>
      <c r="Q82" s="65"/>
      <c r="R82" s="65"/>
      <c r="S82" s="65"/>
      <c r="T82" s="65"/>
      <c r="U82" s="65"/>
      <c r="V82" s="46">
        <f t="shared" ca="1" si="14"/>
        <v>0</v>
      </c>
      <c r="W82" s="47">
        <f t="shared" ca="1" si="15"/>
        <v>0</v>
      </c>
      <c r="X82" s="47" t="str">
        <f t="shared" ca="1" si="22"/>
        <v xml:space="preserve">PENDIENTE </v>
      </c>
      <c r="Y82" s="47">
        <f t="shared" ca="1" si="16"/>
        <v>0</v>
      </c>
      <c r="Z82" s="227" t="str">
        <f t="shared" ca="1" si="23"/>
        <v xml:space="preserve">PENDIENTE </v>
      </c>
      <c r="AA82" s="66"/>
      <c r="AB82" s="67">
        <v>10.6</v>
      </c>
      <c r="AC82" s="68"/>
      <c r="AD82" s="69"/>
      <c r="AE82" s="70">
        <v>11241.949111043994</v>
      </c>
      <c r="AF82" s="71">
        <v>4733.1750000000002</v>
      </c>
      <c r="AG82" s="71"/>
      <c r="AH82" s="72">
        <v>2935.03</v>
      </c>
      <c r="AI82" s="73"/>
      <c r="AJ82" s="71">
        <f>AE82-AF82-AH82-150</f>
        <v>3423.7441110439936</v>
      </c>
      <c r="AK82" s="71"/>
      <c r="AL82" s="71"/>
      <c r="AM82" s="70"/>
      <c r="AN82" s="74"/>
      <c r="AO82" s="278"/>
      <c r="AP82" s="144" t="str">
        <f t="shared" ca="1" si="24"/>
        <v/>
      </c>
      <c r="AQ82" s="142" t="s">
        <v>2381</v>
      </c>
      <c r="AR82" s="142" t="s">
        <v>2374</v>
      </c>
      <c r="AS82" s="57" t="str">
        <f t="shared" si="17"/>
        <v>---</v>
      </c>
      <c r="AT82" s="141" t="str">
        <f t="shared" si="18"/>
        <v xml:space="preserve">PLAN CINCO CCPP (C) Geranio 10 - </v>
      </c>
      <c r="AU82" s="141" t="str">
        <f t="shared" ca="1" si="19"/>
        <v/>
      </c>
      <c r="AV82" s="257" t="str">
        <f t="shared" ca="1" si="20"/>
        <v/>
      </c>
      <c r="AW82" s="257" t="str">
        <f t="shared" si="21"/>
        <v/>
      </c>
      <c r="AX82" s="141" t="s">
        <v>1410</v>
      </c>
      <c r="AY82" s="142"/>
    </row>
    <row r="83" spans="1:51" s="262" customFormat="1" x14ac:dyDescent="0.25">
      <c r="A83" s="75" t="s">
        <v>2162</v>
      </c>
      <c r="B83" s="75" t="s">
        <v>2264</v>
      </c>
      <c r="C83" s="61" t="s">
        <v>2129</v>
      </c>
      <c r="D83" s="43" t="s">
        <v>1918</v>
      </c>
      <c r="E83" s="201">
        <v>678155945</v>
      </c>
      <c r="F83" s="43" t="s">
        <v>1919</v>
      </c>
      <c r="G83" s="203" t="s">
        <v>2156</v>
      </c>
      <c r="H83" s="203" t="s">
        <v>0</v>
      </c>
      <c r="I83" s="122" t="s">
        <v>0</v>
      </c>
      <c r="J83" s="44">
        <v>45910</v>
      </c>
      <c r="K83" s="44">
        <v>45910</v>
      </c>
      <c r="L83" s="44">
        <v>45915</v>
      </c>
      <c r="M83" s="44"/>
      <c r="N83" s="127" t="s">
        <v>0</v>
      </c>
      <c r="O83" s="128" t="s">
        <v>0</v>
      </c>
      <c r="P83" s="129" t="s">
        <v>2100</v>
      </c>
      <c r="Q83" s="65">
        <v>45992</v>
      </c>
      <c r="R83" s="65">
        <v>46003</v>
      </c>
      <c r="S83" s="65">
        <v>46020</v>
      </c>
      <c r="T83" s="65">
        <v>46037</v>
      </c>
      <c r="U83" s="65">
        <v>46043</v>
      </c>
      <c r="V83" s="46" t="str">
        <f t="shared" ca="1" si="14"/>
        <v>OK</v>
      </c>
      <c r="W83" s="47">
        <f t="shared" ca="1" si="15"/>
        <v>1</v>
      </c>
      <c r="X83" s="47" t="str">
        <f t="shared" ca="1" si="22"/>
        <v>COMPLETO</v>
      </c>
      <c r="Y83" s="47">
        <f t="shared" ca="1" si="16"/>
        <v>1</v>
      </c>
      <c r="Z83" s="227" t="str">
        <f t="shared" ca="1" si="23"/>
        <v>COMPLETO</v>
      </c>
      <c r="AA83" s="66" t="s">
        <v>53</v>
      </c>
      <c r="AB83" s="85">
        <v>5</v>
      </c>
      <c r="AC83" s="86">
        <f>9.7/2</f>
        <v>4.8499999999999996</v>
      </c>
      <c r="AD83" s="87">
        <f>1-(AC83/AB83)</f>
        <v>3.0000000000000027E-2</v>
      </c>
      <c r="AE83" s="88">
        <v>5468.17</v>
      </c>
      <c r="AF83" s="89">
        <v>2207.6999999999998</v>
      </c>
      <c r="AG83" s="89">
        <v>2212</v>
      </c>
      <c r="AH83" s="90">
        <v>1698.27</v>
      </c>
      <c r="AI83" s="91">
        <v>1862</v>
      </c>
      <c r="AJ83" s="92">
        <f>AE83-AF83-AH83-150</f>
        <v>1412.2000000000003</v>
      </c>
      <c r="AK83" s="92">
        <f>AE83-AG83-AI83</f>
        <v>1394.17</v>
      </c>
      <c r="AL83" s="92">
        <f>AK83-AJ83</f>
        <v>-18.0300000000002</v>
      </c>
      <c r="AM83" s="93">
        <f>AK83*0.2</f>
        <v>278.834</v>
      </c>
      <c r="AN83" s="83" t="s">
        <v>609</v>
      </c>
      <c r="AO83" s="278"/>
      <c r="AP83" s="144" t="str">
        <f t="shared" ca="1" si="24"/>
        <v/>
      </c>
      <c r="AQ83" s="142" t="s">
        <v>2381</v>
      </c>
      <c r="AR83" s="142" t="s">
        <v>2374</v>
      </c>
      <c r="AS83" s="57" t="str">
        <f t="shared" si="17"/>
        <v>---</v>
      </c>
      <c r="AT83" s="141" t="str">
        <f t="shared" si="18"/>
        <v xml:space="preserve">PLAN CINCO CCPP (C) Goya 21 - </v>
      </c>
      <c r="AU83" s="141" t="str">
        <f t="shared" ca="1" si="19"/>
        <v/>
      </c>
      <c r="AV83" s="257" t="str">
        <f t="shared" ca="1" si="20"/>
        <v/>
      </c>
      <c r="AW83" s="257" t="str">
        <f t="shared" si="21"/>
        <v/>
      </c>
      <c r="AX83" s="141" t="s">
        <v>1410</v>
      </c>
      <c r="AY83" s="142"/>
    </row>
    <row r="84" spans="1:51" s="262" customFormat="1" x14ac:dyDescent="0.25">
      <c r="A84" s="64" t="s">
        <v>2162</v>
      </c>
      <c r="B84" s="64" t="s">
        <v>2266</v>
      </c>
      <c r="C84" s="61" t="s">
        <v>2129</v>
      </c>
      <c r="D84" s="43" t="s">
        <v>1818</v>
      </c>
      <c r="E84" s="201">
        <v>954214057</v>
      </c>
      <c r="F84" s="263" t="s">
        <v>1819</v>
      </c>
      <c r="G84" s="43" t="s">
        <v>1920</v>
      </c>
      <c r="H84" s="201">
        <v>633493931</v>
      </c>
      <c r="I84" s="122" t="s">
        <v>0</v>
      </c>
      <c r="J84" s="44">
        <v>46036</v>
      </c>
      <c r="K84" s="44"/>
      <c r="L84" s="44"/>
      <c r="M84" s="44"/>
      <c r="N84" s="127">
        <v>46157</v>
      </c>
      <c r="O84" s="128" t="s">
        <v>2133</v>
      </c>
      <c r="P84" s="126" t="s">
        <v>2514</v>
      </c>
      <c r="Q84" s="65"/>
      <c r="R84" s="65"/>
      <c r="S84" s="65"/>
      <c r="T84" s="65"/>
      <c r="U84" s="65"/>
      <c r="V84" s="46">
        <f t="shared" ca="1" si="14"/>
        <v>0</v>
      </c>
      <c r="W84" s="47">
        <f t="shared" ca="1" si="15"/>
        <v>0</v>
      </c>
      <c r="X84" s="47" t="str">
        <f t="shared" ca="1" si="22"/>
        <v xml:space="preserve">PENDIENTE </v>
      </c>
      <c r="Y84" s="47">
        <f t="shared" ca="1" si="16"/>
        <v>0</v>
      </c>
      <c r="Z84" s="227" t="str">
        <f t="shared" ca="1" si="23"/>
        <v xml:space="preserve">PENDIENTE </v>
      </c>
      <c r="AA84" s="124"/>
      <c r="AB84" s="67"/>
      <c r="AC84" s="68"/>
      <c r="AD84" s="69"/>
      <c r="AE84" s="70"/>
      <c r="AF84" s="71"/>
      <c r="AG84" s="71"/>
      <c r="AH84" s="72"/>
      <c r="AI84" s="73"/>
      <c r="AJ84" s="71"/>
      <c r="AK84" s="71"/>
      <c r="AL84" s="71"/>
      <c r="AM84" s="70"/>
      <c r="AN84" s="74"/>
      <c r="AO84" s="278"/>
      <c r="AP84" s="144" t="str">
        <f t="shared" ca="1" si="24"/>
        <v/>
      </c>
      <c r="AQ84" s="142" t="s">
        <v>2381</v>
      </c>
      <c r="AR84" s="142" t="s">
        <v>2374</v>
      </c>
      <c r="AS84" s="57" t="str">
        <f t="shared" si="17"/>
        <v>01</v>
      </c>
      <c r="AT84" s="141" t="str">
        <f t="shared" si="18"/>
        <v>PLAN CINCO CCPP (C) Guadiato 7 - Solicitud de documentación para presupuestar</v>
      </c>
      <c r="AU84" s="141" t="str">
        <f t="shared" ca="1" si="19"/>
        <v>Estimado/a Sr/Sra:
Gracias por contactar con Instalaciones Araujo para valorar la individualización de contadores de agua en la CCPP (C) Guadiato 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84" s="257" t="str">
        <f t="shared" ca="1" si="20"/>
        <v>Estimado/a Sr/Sra:
Gracias por contactar con Instalaciones Araujo para valorar la individualización de contadores de agua en la CCPP (C) Guadiato 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84" s="257" t="str">
        <f t="shared" si="21"/>
        <v>Estimado/a Sr/Sra:
Gracias por contactar con Instalaciones Araujo para valorar la individualización de contadores de agua en la CCPP (C) Guadiato 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84" s="141" t="s">
        <v>1410</v>
      </c>
      <c r="AY84" s="142"/>
    </row>
    <row r="85" spans="1:51" s="262" customFormat="1" x14ac:dyDescent="0.25">
      <c r="A85" s="75" t="s">
        <v>2162</v>
      </c>
      <c r="B85" s="75" t="s">
        <v>2267</v>
      </c>
      <c r="C85" s="42" t="s">
        <v>2129</v>
      </c>
      <c r="D85" s="43" t="s">
        <v>2097</v>
      </c>
      <c r="E85" s="201">
        <v>661949634</v>
      </c>
      <c r="F85" s="43" t="s">
        <v>1921</v>
      </c>
      <c r="G85" s="43" t="s">
        <v>0</v>
      </c>
      <c r="H85" s="201" t="s">
        <v>0</v>
      </c>
      <c r="I85" s="43" t="s">
        <v>0</v>
      </c>
      <c r="J85" s="44">
        <v>45853</v>
      </c>
      <c r="K85" s="44">
        <v>45856</v>
      </c>
      <c r="L85" s="44">
        <v>45860</v>
      </c>
      <c r="M85" s="44"/>
      <c r="N85" s="127" t="s">
        <v>0</v>
      </c>
      <c r="O85" s="128" t="s">
        <v>0</v>
      </c>
      <c r="P85" s="126" t="s">
        <v>2099</v>
      </c>
      <c r="Q85" s="65">
        <v>45957</v>
      </c>
      <c r="R85" s="65">
        <v>46024</v>
      </c>
      <c r="S85" s="65">
        <v>46056</v>
      </c>
      <c r="T85" s="65">
        <v>46069</v>
      </c>
      <c r="U85" s="65">
        <v>46104</v>
      </c>
      <c r="V85" s="46" t="str">
        <f t="shared" ca="1" si="14"/>
        <v>OK</v>
      </c>
      <c r="W85" s="47">
        <f t="shared" ca="1" si="15"/>
        <v>1</v>
      </c>
      <c r="X85" s="47" t="str">
        <f t="shared" ca="1" si="22"/>
        <v>COMPLETO</v>
      </c>
      <c r="Y85" s="47">
        <f t="shared" ca="1" si="16"/>
        <v>1</v>
      </c>
      <c r="Z85" s="227" t="str">
        <f t="shared" ca="1" si="23"/>
        <v>COMPLETO</v>
      </c>
      <c r="AA85" s="66" t="s">
        <v>53</v>
      </c>
      <c r="AB85" s="67">
        <v>17</v>
      </c>
      <c r="AC85" s="68">
        <f>AB85</f>
        <v>17</v>
      </c>
      <c r="AD85" s="78">
        <f>1-(AC85/AB85)</f>
        <v>0</v>
      </c>
      <c r="AE85" s="70">
        <v>22271.57</v>
      </c>
      <c r="AF85" s="71">
        <v>8657.07</v>
      </c>
      <c r="AG85" s="71">
        <f>AF85</f>
        <v>8657.07</v>
      </c>
      <c r="AH85" s="72">
        <v>5895.19</v>
      </c>
      <c r="AI85" s="73">
        <f>AH85</f>
        <v>5895.19</v>
      </c>
      <c r="AJ85" s="80">
        <f>AE85-AF85-AH85-150</f>
        <v>7569.31</v>
      </c>
      <c r="AK85" s="80">
        <f>AE85-AG85-AI85</f>
        <v>7719.31</v>
      </c>
      <c r="AL85" s="80">
        <f>AK85-AJ85</f>
        <v>150</v>
      </c>
      <c r="AM85" s="79">
        <f>AK85*0.2</f>
        <v>1543.8620000000001</v>
      </c>
      <c r="AN85" s="74"/>
      <c r="AO85" s="278"/>
      <c r="AP85" s="144" t="str">
        <f t="shared" ca="1" si="24"/>
        <v/>
      </c>
      <c r="AQ85" s="142" t="s">
        <v>2381</v>
      </c>
      <c r="AR85" s="142" t="s">
        <v>2374</v>
      </c>
      <c r="AS85" s="57" t="str">
        <f t="shared" si="17"/>
        <v>---</v>
      </c>
      <c r="AT85" s="141" t="str">
        <f t="shared" si="18"/>
        <v xml:space="preserve">PLAN CINCO CCPP (C) Guardabosques 3 - </v>
      </c>
      <c r="AU85" s="141" t="str">
        <f t="shared" ca="1" si="19"/>
        <v/>
      </c>
      <c r="AV85" s="257" t="str">
        <f t="shared" ca="1" si="20"/>
        <v/>
      </c>
      <c r="AW85" s="257" t="str">
        <f t="shared" si="21"/>
        <v/>
      </c>
      <c r="AX85" s="141" t="s">
        <v>1410</v>
      </c>
      <c r="AY85" s="142"/>
    </row>
    <row r="86" spans="1:51" s="262" customFormat="1" x14ac:dyDescent="0.25">
      <c r="A86" s="64" t="s">
        <v>2162</v>
      </c>
      <c r="B86" s="64" t="s">
        <v>2260</v>
      </c>
      <c r="C86" s="61" t="s">
        <v>2129</v>
      </c>
      <c r="D86" s="43" t="s">
        <v>1910</v>
      </c>
      <c r="E86" s="201">
        <v>744615257</v>
      </c>
      <c r="F86" s="43" t="s">
        <v>1911</v>
      </c>
      <c r="G86" s="43" t="s">
        <v>1922</v>
      </c>
      <c r="H86" s="201">
        <v>633428422</v>
      </c>
      <c r="I86" s="43" t="s">
        <v>0</v>
      </c>
      <c r="J86" s="44">
        <v>45819</v>
      </c>
      <c r="K86" s="44">
        <v>45848</v>
      </c>
      <c r="L86" s="44">
        <v>45850</v>
      </c>
      <c r="M86" s="44"/>
      <c r="N86" s="127" t="s">
        <v>0</v>
      </c>
      <c r="O86" s="128" t="s">
        <v>2105</v>
      </c>
      <c r="P86" s="126" t="s">
        <v>2107</v>
      </c>
      <c r="Q86" s="65"/>
      <c r="R86" s="65"/>
      <c r="S86" s="65"/>
      <c r="T86" s="65"/>
      <c r="U86" s="65"/>
      <c r="V86" s="46">
        <f t="shared" ca="1" si="14"/>
        <v>0</v>
      </c>
      <c r="W86" s="47">
        <f t="shared" ca="1" si="15"/>
        <v>0</v>
      </c>
      <c r="X86" s="47" t="str">
        <f t="shared" ca="1" si="22"/>
        <v xml:space="preserve">PENDIENTE </v>
      </c>
      <c r="Y86" s="47">
        <f t="shared" ca="1" si="16"/>
        <v>0</v>
      </c>
      <c r="Z86" s="227" t="str">
        <f t="shared" ca="1" si="23"/>
        <v xml:space="preserve">PENDIENTE </v>
      </c>
      <c r="AA86" s="66"/>
      <c r="AB86" s="67">
        <v>9</v>
      </c>
      <c r="AC86" s="68"/>
      <c r="AD86" s="69"/>
      <c r="AE86" s="70">
        <v>10457.378404172596</v>
      </c>
      <c r="AF86" s="71">
        <v>4002.85</v>
      </c>
      <c r="AG86" s="71"/>
      <c r="AH86" s="72">
        <v>3080.31</v>
      </c>
      <c r="AI86" s="73"/>
      <c r="AJ86" s="71">
        <f>AE86-AF86-AH86-150</f>
        <v>3224.2184041725955</v>
      </c>
      <c r="AK86" s="71"/>
      <c r="AL86" s="71"/>
      <c r="AM86" s="70"/>
      <c r="AN86" s="74"/>
      <c r="AO86" s="278"/>
      <c r="AP86" s="144" t="str">
        <f t="shared" ca="1" si="24"/>
        <v/>
      </c>
      <c r="AQ86" s="142" t="s">
        <v>2381</v>
      </c>
      <c r="AR86" s="142" t="s">
        <v>2374</v>
      </c>
      <c r="AS86" s="57" t="str">
        <f t="shared" si="17"/>
        <v>---</v>
      </c>
      <c r="AT86" s="141" t="str">
        <f t="shared" si="18"/>
        <v xml:space="preserve">PLAN CINCO CCPP (C) Guardiola 1 - </v>
      </c>
      <c r="AU86" s="141" t="str">
        <f t="shared" ca="1" si="19"/>
        <v/>
      </c>
      <c r="AV86" s="257" t="str">
        <f t="shared" ca="1" si="20"/>
        <v/>
      </c>
      <c r="AW86" s="257" t="str">
        <f t="shared" si="21"/>
        <v/>
      </c>
      <c r="AX86" s="141" t="s">
        <v>1410</v>
      </c>
      <c r="AY86" s="142"/>
    </row>
    <row r="87" spans="1:51" s="262" customFormat="1" x14ac:dyDescent="0.25">
      <c r="A87" s="64" t="s">
        <v>2162</v>
      </c>
      <c r="B87" s="64" t="s">
        <v>2269</v>
      </c>
      <c r="C87" s="61" t="s">
        <v>2129</v>
      </c>
      <c r="D87" s="43" t="s">
        <v>228</v>
      </c>
      <c r="E87" s="201">
        <v>646321077</v>
      </c>
      <c r="F87" s="43" t="s">
        <v>1780</v>
      </c>
      <c r="G87" s="43" t="s">
        <v>1923</v>
      </c>
      <c r="H87" s="201">
        <v>655801417</v>
      </c>
      <c r="I87" s="43" t="s">
        <v>0</v>
      </c>
      <c r="J87" s="44">
        <v>46072</v>
      </c>
      <c r="K87" s="44">
        <v>46079</v>
      </c>
      <c r="L87" s="44">
        <v>46085</v>
      </c>
      <c r="M87" s="44"/>
      <c r="N87" s="127">
        <v>46188</v>
      </c>
      <c r="O87" s="128" t="s">
        <v>2109</v>
      </c>
      <c r="P87" s="129" t="s">
        <v>2522</v>
      </c>
      <c r="Q87" s="65"/>
      <c r="R87" s="65"/>
      <c r="S87" s="65"/>
      <c r="T87" s="65"/>
      <c r="U87" s="65"/>
      <c r="V87" s="46">
        <f t="shared" ca="1" si="14"/>
        <v>0</v>
      </c>
      <c r="W87" s="47">
        <f t="shared" ca="1" si="15"/>
        <v>0</v>
      </c>
      <c r="X87" s="47" t="str">
        <f t="shared" ca="1" si="22"/>
        <v xml:space="preserve">PENDIENTE </v>
      </c>
      <c r="Y87" s="47">
        <f t="shared" ca="1" si="16"/>
        <v>0</v>
      </c>
      <c r="Z87" s="227" t="str">
        <f t="shared" ca="1" si="23"/>
        <v xml:space="preserve">PENDIENTE </v>
      </c>
      <c r="AA87" s="66"/>
      <c r="AB87" s="67">
        <v>13</v>
      </c>
      <c r="AC87" s="68"/>
      <c r="AD87" s="69"/>
      <c r="AE87" s="70">
        <v>17455.889331461949</v>
      </c>
      <c r="AF87" s="71">
        <v>5786.85</v>
      </c>
      <c r="AG87" s="71"/>
      <c r="AH87" s="72">
        <v>4968.6499999999996</v>
      </c>
      <c r="AI87" s="73"/>
      <c r="AJ87" s="71">
        <f>AE87-AF87-AH87-150</f>
        <v>6550.389331461949</v>
      </c>
      <c r="AK87" s="71"/>
      <c r="AL87" s="71"/>
      <c r="AM87" s="70"/>
      <c r="AN87" s="74"/>
      <c r="AO87" s="278"/>
      <c r="AP87" s="144" t="str">
        <f t="shared" ca="1" si="24"/>
        <v/>
      </c>
      <c r="AQ87" s="142" t="s">
        <v>2381</v>
      </c>
      <c r="AR87" s="142" t="s">
        <v>2374</v>
      </c>
      <c r="AS87" s="57" t="str">
        <f t="shared" si="17"/>
        <v>03</v>
      </c>
      <c r="AT87" s="141" t="str">
        <f t="shared" si="18"/>
        <v>PLAN CINCO CCPP (C) Higuera de la Sierra 13 - Presupuesto pendiente de adjudicación</v>
      </c>
      <c r="AU87" s="141" t="str">
        <f t="shared" ca="1" si="19"/>
        <v>Estimado/a Sr/Sra:
Desde Instalaciones Araujo nos ponemos en contacto con ud, en relación con el Presupuesto de individualización de contadores de agua que le facilitamos el pasado 00/01/1900 para la CCPP (C) Higuera de la Sierra 13.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87" s="257" t="str">
        <f t="shared" ca="1" si="20"/>
        <v>Estimado/a Sr/Sra:
Desde Instalaciones Araujo nos ponemos en contacto con ud, en relación con el Presupuesto de individualización de contadores de agua que le facilitamos el pasado {FECHA_PTO} para la CCPP (C) Higuera de la Sierra 13.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87" s="257" t="str">
        <f t="shared" si="21"/>
        <v>Estimado/a Sr/Sra:
Desde Instalaciones Araujo nos ponemos en contacto con ud, en relación con el Presupuesto de individualización de contadores de agua que le facilitamos el pasado {FECHA_PTO} para la CCPP (C) Higuera de la Sierra 13.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87" s="141" t="s">
        <v>1410</v>
      </c>
      <c r="AY87" s="142"/>
    </row>
    <row r="88" spans="1:51" s="262" customFormat="1" x14ac:dyDescent="0.25">
      <c r="A88" s="64" t="s">
        <v>2162</v>
      </c>
      <c r="B88" s="64" t="s">
        <v>2270</v>
      </c>
      <c r="C88" s="61" t="s">
        <v>1798</v>
      </c>
      <c r="D88" s="43" t="s">
        <v>1924</v>
      </c>
      <c r="E88" s="203" t="s">
        <v>0</v>
      </c>
      <c r="F88" s="263" t="s">
        <v>1925</v>
      </c>
      <c r="G88" s="203" t="s">
        <v>2156</v>
      </c>
      <c r="H88" s="203" t="s">
        <v>0</v>
      </c>
      <c r="I88" s="122" t="s">
        <v>0</v>
      </c>
      <c r="J88" s="44">
        <v>46086</v>
      </c>
      <c r="K88" s="44"/>
      <c r="L88" s="44"/>
      <c r="M88" s="44"/>
      <c r="N88" s="127">
        <v>46157</v>
      </c>
      <c r="O88" s="128" t="s">
        <v>2124</v>
      </c>
      <c r="P88" s="126" t="s">
        <v>2514</v>
      </c>
      <c r="Q88" s="65"/>
      <c r="R88" s="65"/>
      <c r="S88" s="65"/>
      <c r="T88" s="65"/>
      <c r="U88" s="65"/>
      <c r="V88" s="46">
        <f t="shared" ca="1" si="14"/>
        <v>0</v>
      </c>
      <c r="W88" s="47">
        <f t="shared" ca="1" si="15"/>
        <v>0</v>
      </c>
      <c r="X88" s="47" t="str">
        <f t="shared" ca="1" si="22"/>
        <v xml:space="preserve">PENDIENTE </v>
      </c>
      <c r="Y88" s="47">
        <f t="shared" ca="1" si="16"/>
        <v>0</v>
      </c>
      <c r="Z88" s="227" t="str">
        <f t="shared" ca="1" si="23"/>
        <v xml:space="preserve">PENDIENTE </v>
      </c>
      <c r="AA88" s="124"/>
      <c r="AB88" s="67"/>
      <c r="AC88" s="68"/>
      <c r="AD88" s="69"/>
      <c r="AE88" s="70"/>
      <c r="AF88" s="71"/>
      <c r="AG88" s="71"/>
      <c r="AH88" s="72"/>
      <c r="AI88" s="73"/>
      <c r="AJ88" s="71"/>
      <c r="AK88" s="71"/>
      <c r="AL88" s="71"/>
      <c r="AM88" s="70"/>
      <c r="AN88" s="74"/>
      <c r="AO88" s="278"/>
      <c r="AP88" s="144" t="str">
        <f t="shared" ca="1" si="24"/>
        <v/>
      </c>
      <c r="AQ88" s="142" t="s">
        <v>2381</v>
      </c>
      <c r="AR88" s="142" t="s">
        <v>2374</v>
      </c>
      <c r="AS88" s="57" t="str">
        <f t="shared" si="17"/>
        <v>01</v>
      </c>
      <c r="AT88" s="141" t="str">
        <f t="shared" si="18"/>
        <v>PLAN CINCO CCPP (C) Igueldo 1 - Solicitud de documentación para presupuestar</v>
      </c>
      <c r="AU88" s="141" t="str">
        <f t="shared" ca="1" si="19"/>
        <v>Estimado/a Sr/Sra:
Gracias por contactar con Instalaciones Araujo para valorar la individualización de contadores de agua en la CCPP (C) Igueldo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88" s="257" t="str">
        <f t="shared" ca="1" si="20"/>
        <v>Estimado/a Sr/Sra:
Gracias por contactar con Instalaciones Araujo para valorar la individualización de contadores de agua en la CCPP (C) Igueldo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88" s="257" t="str">
        <f t="shared" si="21"/>
        <v>Estimado/a Sr/Sra:
Gracias por contactar con Instalaciones Araujo para valorar la individualización de contadores de agua en la CCPP (C) Igueldo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88" s="141" t="s">
        <v>1410</v>
      </c>
      <c r="AY88" s="142"/>
    </row>
    <row r="89" spans="1:51" s="262" customFormat="1" x14ac:dyDescent="0.25">
      <c r="A89" s="64" t="s">
        <v>2162</v>
      </c>
      <c r="B89" s="64" t="s">
        <v>2263</v>
      </c>
      <c r="C89" s="61" t="s">
        <v>2129</v>
      </c>
      <c r="D89" s="43" t="s">
        <v>1926</v>
      </c>
      <c r="E89" s="201">
        <v>691546327</v>
      </c>
      <c r="F89" s="43" t="s">
        <v>1927</v>
      </c>
      <c r="G89" s="203" t="s">
        <v>2156</v>
      </c>
      <c r="H89" s="203" t="s">
        <v>0</v>
      </c>
      <c r="I89" s="122" t="s">
        <v>0</v>
      </c>
      <c r="J89" s="44">
        <v>45901</v>
      </c>
      <c r="K89" s="44">
        <v>45903</v>
      </c>
      <c r="L89" s="44">
        <v>45904</v>
      </c>
      <c r="M89" s="44"/>
      <c r="N89" s="127" t="s">
        <v>0</v>
      </c>
      <c r="O89" s="128" t="s">
        <v>2105</v>
      </c>
      <c r="P89" s="126" t="s">
        <v>2107</v>
      </c>
      <c r="Q89" s="65"/>
      <c r="R89" s="65"/>
      <c r="S89" s="65"/>
      <c r="T89" s="65"/>
      <c r="U89" s="65"/>
      <c r="V89" s="46">
        <f t="shared" ca="1" si="14"/>
        <v>0</v>
      </c>
      <c r="W89" s="47">
        <f t="shared" ca="1" si="15"/>
        <v>0</v>
      </c>
      <c r="X89" s="47" t="str">
        <f t="shared" ca="1" si="22"/>
        <v xml:space="preserve">PENDIENTE </v>
      </c>
      <c r="Y89" s="47">
        <f t="shared" ca="1" si="16"/>
        <v>0</v>
      </c>
      <c r="Z89" s="227" t="str">
        <f t="shared" ca="1" si="23"/>
        <v xml:space="preserve">PENDIENTE </v>
      </c>
      <c r="AA89" s="66"/>
      <c r="AB89" s="67">
        <v>11.9</v>
      </c>
      <c r="AC89" s="68"/>
      <c r="AD89" s="69"/>
      <c r="AE89" s="70">
        <v>12486.838896390556</v>
      </c>
      <c r="AF89" s="71">
        <v>5324.125</v>
      </c>
      <c r="AG89" s="71"/>
      <c r="AH89" s="72">
        <v>3149.8</v>
      </c>
      <c r="AI89" s="73"/>
      <c r="AJ89" s="71">
        <f>AE89-AF89-AH89-150</f>
        <v>3862.9138963905561</v>
      </c>
      <c r="AK89" s="71"/>
      <c r="AL89" s="71"/>
      <c r="AM89" s="70"/>
      <c r="AN89" s="74"/>
      <c r="AO89" s="278"/>
      <c r="AP89" s="144" t="str">
        <f t="shared" ca="1" si="24"/>
        <v/>
      </c>
      <c r="AQ89" s="142" t="s">
        <v>2381</v>
      </c>
      <c r="AR89" s="142" t="s">
        <v>2374</v>
      </c>
      <c r="AS89" s="57" t="str">
        <f t="shared" si="17"/>
        <v>---</v>
      </c>
      <c r="AT89" s="141" t="str">
        <f t="shared" si="18"/>
        <v xml:space="preserve">PLAN CINCO CCPP (C) Imaginero Luis Alvarez Duarte 10 - </v>
      </c>
      <c r="AU89" s="141" t="str">
        <f t="shared" ca="1" si="19"/>
        <v/>
      </c>
      <c r="AV89" s="257" t="str">
        <f t="shared" ca="1" si="20"/>
        <v/>
      </c>
      <c r="AW89" s="257" t="str">
        <f t="shared" si="21"/>
        <v/>
      </c>
      <c r="AX89" s="141" t="s">
        <v>1410</v>
      </c>
      <c r="AY89" s="142"/>
    </row>
    <row r="90" spans="1:51" s="262" customFormat="1" x14ac:dyDescent="0.25">
      <c r="A90" s="64" t="s">
        <v>2162</v>
      </c>
      <c r="B90" s="64" t="s">
        <v>2271</v>
      </c>
      <c r="C90" s="61" t="s">
        <v>2129</v>
      </c>
      <c r="D90" s="43" t="s">
        <v>2146</v>
      </c>
      <c r="E90" s="201">
        <v>605472196</v>
      </c>
      <c r="F90" s="263" t="s">
        <v>2060</v>
      </c>
      <c r="G90" s="122" t="s">
        <v>0</v>
      </c>
      <c r="H90" s="203" t="s">
        <v>0</v>
      </c>
      <c r="I90" s="122" t="s">
        <v>0</v>
      </c>
      <c r="J90" s="44">
        <v>46104</v>
      </c>
      <c r="K90" s="44"/>
      <c r="L90" s="44"/>
      <c r="M90" s="44"/>
      <c r="N90" s="127"/>
      <c r="O90" s="128" t="s">
        <v>2431</v>
      </c>
      <c r="P90" s="126" t="s">
        <v>2098</v>
      </c>
      <c r="Q90" s="65"/>
      <c r="R90" s="65"/>
      <c r="S90" s="65"/>
      <c r="T90" s="65"/>
      <c r="U90" s="65"/>
      <c r="V90" s="46">
        <f t="shared" ca="1" si="14"/>
        <v>0</v>
      </c>
      <c r="W90" s="47">
        <f t="shared" ca="1" si="15"/>
        <v>0</v>
      </c>
      <c r="X90" s="47" t="str">
        <f t="shared" ca="1" si="22"/>
        <v xml:space="preserve">PENDIENTE </v>
      </c>
      <c r="Y90" s="47">
        <f t="shared" ca="1" si="16"/>
        <v>0</v>
      </c>
      <c r="Z90" s="227" t="str">
        <f t="shared" ca="1" si="23"/>
        <v xml:space="preserve">PENDIENTE </v>
      </c>
      <c r="AA90" s="124"/>
      <c r="AB90" s="67"/>
      <c r="AC90" s="68"/>
      <c r="AD90" s="69"/>
      <c r="AE90" s="70"/>
      <c r="AF90" s="71"/>
      <c r="AG90" s="71"/>
      <c r="AH90" s="72"/>
      <c r="AI90" s="73"/>
      <c r="AJ90" s="71"/>
      <c r="AK90" s="71"/>
      <c r="AL90" s="71"/>
      <c r="AM90" s="70"/>
      <c r="AN90" s="74"/>
      <c r="AO90" s="278"/>
      <c r="AP90" s="144" t="str">
        <f t="shared" ca="1" si="24"/>
        <v/>
      </c>
      <c r="AQ90" s="142" t="s">
        <v>2381</v>
      </c>
      <c r="AR90" s="142" t="s">
        <v>2374</v>
      </c>
      <c r="AS90" s="57" t="str">
        <f t="shared" si="17"/>
        <v>---</v>
      </c>
      <c r="AT90" s="141" t="str">
        <f t="shared" si="18"/>
        <v xml:space="preserve">PLAN CINCO CCPP (C) Imperial 31 - </v>
      </c>
      <c r="AU90" s="141" t="str">
        <f t="shared" ca="1" si="19"/>
        <v/>
      </c>
      <c r="AV90" s="257" t="str">
        <f t="shared" ca="1" si="20"/>
        <v/>
      </c>
      <c r="AW90" s="257" t="str">
        <f t="shared" si="21"/>
        <v/>
      </c>
      <c r="AX90" s="141" t="s">
        <v>1410</v>
      </c>
      <c r="AY90" s="142"/>
    </row>
    <row r="91" spans="1:51" s="262" customFormat="1" x14ac:dyDescent="0.25">
      <c r="A91" s="64" t="s">
        <v>2162</v>
      </c>
      <c r="B91" s="64" t="s">
        <v>2272</v>
      </c>
      <c r="C91" s="61" t="s">
        <v>2129</v>
      </c>
      <c r="D91" s="43" t="s">
        <v>2112</v>
      </c>
      <c r="E91" s="201">
        <v>954283221</v>
      </c>
      <c r="F91" s="43" t="s">
        <v>1928</v>
      </c>
      <c r="G91" s="43" t="s">
        <v>1929</v>
      </c>
      <c r="H91" s="201">
        <v>655069444</v>
      </c>
      <c r="I91" s="43" t="s">
        <v>0</v>
      </c>
      <c r="J91" s="44">
        <v>46062</v>
      </c>
      <c r="K91" s="44">
        <v>46079</v>
      </c>
      <c r="L91" s="44">
        <v>46085</v>
      </c>
      <c r="M91" s="44"/>
      <c r="N91" s="127">
        <v>46127</v>
      </c>
      <c r="O91" s="128" t="s">
        <v>2117</v>
      </c>
      <c r="P91" s="129" t="s">
        <v>2522</v>
      </c>
      <c r="Q91" s="65"/>
      <c r="R91" s="65"/>
      <c r="S91" s="65"/>
      <c r="T91" s="65"/>
      <c r="U91" s="65"/>
      <c r="V91" s="46">
        <f t="shared" ca="1" si="14"/>
        <v>0</v>
      </c>
      <c r="W91" s="47">
        <f t="shared" ca="1" si="15"/>
        <v>0</v>
      </c>
      <c r="X91" s="47" t="str">
        <f t="shared" ca="1" si="22"/>
        <v xml:space="preserve">PENDIENTE </v>
      </c>
      <c r="Y91" s="47">
        <f t="shared" ca="1" si="16"/>
        <v>0</v>
      </c>
      <c r="Z91" s="227" t="str">
        <f t="shared" ca="1" si="23"/>
        <v xml:space="preserve">PENDIENTE </v>
      </c>
      <c r="AA91" s="66"/>
      <c r="AB91" s="67">
        <v>10</v>
      </c>
      <c r="AC91" s="68"/>
      <c r="AD91" s="69"/>
      <c r="AE91" s="70">
        <v>11833.674940327095</v>
      </c>
      <c r="AF91" s="71">
        <v>4460</v>
      </c>
      <c r="AG91" s="71"/>
      <c r="AH91" s="72">
        <v>3189.96</v>
      </c>
      <c r="AI91" s="73"/>
      <c r="AJ91" s="71">
        <f>AE91-AF91-AH91-180</f>
        <v>4003.7149403270951</v>
      </c>
      <c r="AK91" s="71"/>
      <c r="AL91" s="71"/>
      <c r="AM91" s="70"/>
      <c r="AN91" s="74"/>
      <c r="AO91" s="278"/>
      <c r="AP91" s="144" t="str">
        <f t="shared" ca="1" si="24"/>
        <v>SI</v>
      </c>
      <c r="AQ91" s="142" t="s">
        <v>2381</v>
      </c>
      <c r="AR91" s="142" t="s">
        <v>2374</v>
      </c>
      <c r="AS91" s="57" t="str">
        <f t="shared" si="17"/>
        <v>03</v>
      </c>
      <c r="AT91" s="141" t="str">
        <f t="shared" si="18"/>
        <v>PLAN CINCO CCPP (C) Jabugo 38 - Presupuesto pendiente de adjudicación</v>
      </c>
      <c r="AU91" s="141" t="str">
        <f t="shared" ca="1" si="19"/>
        <v>Estimado/a Sr/Sra:
Desde Instalaciones Araujo nos ponemos en contacto con ud, en relación con el Presupuesto de individualización de contadores de agua que le facilitamos el pasado 00/01/1900 para la CCPP (C) Jabugo 38.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91" s="257" t="str">
        <f t="shared" ca="1" si="20"/>
        <v>Estimado/a Sr/Sra:
Desde Instalaciones Araujo nos ponemos en contacto con ud, en relación con el Presupuesto de individualización de contadores de agua que le facilitamos el pasado {FECHA_PTO} para la CCPP (C) Jabugo 38.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91" s="257" t="str">
        <f t="shared" si="21"/>
        <v>Estimado/a Sr/Sra:
Desde Instalaciones Araujo nos ponemos en contacto con ud, en relación con el Presupuesto de individualización de contadores de agua que le facilitamos el pasado {FECHA_PTO} para la CCPP (C) Jabugo 38.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91" s="141" t="s">
        <v>1410</v>
      </c>
      <c r="AY91" s="142"/>
    </row>
    <row r="92" spans="1:51" s="262" customFormat="1" x14ac:dyDescent="0.25">
      <c r="A92" s="64" t="s">
        <v>2162</v>
      </c>
      <c r="B92" s="64" t="s">
        <v>2265</v>
      </c>
      <c r="C92" s="61" t="s">
        <v>2129</v>
      </c>
      <c r="D92" s="43" t="s">
        <v>768</v>
      </c>
      <c r="E92" s="201">
        <v>954226728</v>
      </c>
      <c r="F92" s="43" t="s">
        <v>1777</v>
      </c>
      <c r="G92" s="43" t="s">
        <v>1930</v>
      </c>
      <c r="H92" s="201" t="s">
        <v>0</v>
      </c>
      <c r="I92" s="43" t="s">
        <v>0</v>
      </c>
      <c r="J92" s="44">
        <v>45666</v>
      </c>
      <c r="K92" s="44">
        <v>45846</v>
      </c>
      <c r="L92" s="44">
        <v>45847</v>
      </c>
      <c r="M92" s="44"/>
      <c r="N92" s="127" t="s">
        <v>0</v>
      </c>
      <c r="O92" s="128" t="s">
        <v>2105</v>
      </c>
      <c r="P92" s="126" t="s">
        <v>2107</v>
      </c>
      <c r="Q92" s="65"/>
      <c r="R92" s="65"/>
      <c r="S92" s="65"/>
      <c r="T92" s="65"/>
      <c r="U92" s="65"/>
      <c r="V92" s="46">
        <f t="shared" ca="1" si="14"/>
        <v>0</v>
      </c>
      <c r="W92" s="47">
        <f t="shared" ca="1" si="15"/>
        <v>0</v>
      </c>
      <c r="X92" s="47" t="str">
        <f t="shared" ca="1" si="22"/>
        <v xml:space="preserve">PENDIENTE </v>
      </c>
      <c r="Y92" s="47">
        <f t="shared" ca="1" si="16"/>
        <v>0</v>
      </c>
      <c r="Z92" s="227" t="str">
        <f t="shared" ca="1" si="23"/>
        <v xml:space="preserve">PENDIENTE </v>
      </c>
      <c r="AA92" s="66"/>
      <c r="AB92" s="67">
        <v>9.5</v>
      </c>
      <c r="AC92" s="68"/>
      <c r="AD92" s="69"/>
      <c r="AE92" s="70">
        <v>10324.192957881121</v>
      </c>
      <c r="AF92" s="71">
        <v>4225.8500000000004</v>
      </c>
      <c r="AG92" s="71"/>
      <c r="AH92" s="72">
        <v>2750.15</v>
      </c>
      <c r="AI92" s="73"/>
      <c r="AJ92" s="71">
        <f>AE92-AF92-AH92-150</f>
        <v>3198.1929578811209</v>
      </c>
      <c r="AK92" s="71"/>
      <c r="AL92" s="71"/>
      <c r="AM92" s="70"/>
      <c r="AN92" s="74"/>
      <c r="AO92" s="278"/>
      <c r="AP92" s="144" t="str">
        <f t="shared" ca="1" si="24"/>
        <v/>
      </c>
      <c r="AQ92" s="142" t="s">
        <v>2381</v>
      </c>
      <c r="AR92" s="142" t="s">
        <v>2374</v>
      </c>
      <c r="AS92" s="57" t="str">
        <f t="shared" si="17"/>
        <v>---</v>
      </c>
      <c r="AT92" s="141" t="str">
        <f t="shared" si="18"/>
        <v xml:space="preserve">PLAN CINCO CCPP (C) Jacinta Martos 1 - </v>
      </c>
      <c r="AU92" s="141" t="str">
        <f t="shared" ca="1" si="19"/>
        <v/>
      </c>
      <c r="AV92" s="257" t="str">
        <f t="shared" ca="1" si="20"/>
        <v/>
      </c>
      <c r="AW92" s="257" t="str">
        <f t="shared" si="21"/>
        <v/>
      </c>
      <c r="AX92" s="141" t="s">
        <v>1410</v>
      </c>
      <c r="AY92" s="142"/>
    </row>
    <row r="93" spans="1:51" s="262" customFormat="1" x14ac:dyDescent="0.25">
      <c r="A93" s="64" t="s">
        <v>2162</v>
      </c>
      <c r="B93" s="64" t="s">
        <v>2275</v>
      </c>
      <c r="C93" s="61" t="s">
        <v>2129</v>
      </c>
      <c r="D93" s="43" t="s">
        <v>1931</v>
      </c>
      <c r="E93" s="201">
        <v>637167231</v>
      </c>
      <c r="F93" s="43" t="s">
        <v>0</v>
      </c>
      <c r="G93" s="203" t="s">
        <v>2156</v>
      </c>
      <c r="H93" s="203" t="s">
        <v>0</v>
      </c>
      <c r="I93" s="122" t="s">
        <v>0</v>
      </c>
      <c r="J93" s="44">
        <v>45931</v>
      </c>
      <c r="K93" s="44">
        <v>45937</v>
      </c>
      <c r="L93" s="44">
        <v>45940</v>
      </c>
      <c r="M93" s="44"/>
      <c r="N93" s="127">
        <v>46157</v>
      </c>
      <c r="O93" s="128" t="s">
        <v>2103</v>
      </c>
      <c r="P93" s="129" t="s">
        <v>2522</v>
      </c>
      <c r="Q93" s="65"/>
      <c r="R93" s="65"/>
      <c r="S93" s="65"/>
      <c r="T93" s="65"/>
      <c r="U93" s="65"/>
      <c r="V93" s="46">
        <f t="shared" ca="1" si="14"/>
        <v>0</v>
      </c>
      <c r="W93" s="47">
        <f t="shared" ca="1" si="15"/>
        <v>0</v>
      </c>
      <c r="X93" s="47" t="str">
        <f t="shared" ca="1" si="22"/>
        <v xml:space="preserve">PENDIENTE </v>
      </c>
      <c r="Y93" s="47">
        <f t="shared" ca="1" si="16"/>
        <v>0</v>
      </c>
      <c r="Z93" s="227" t="str">
        <f t="shared" ca="1" si="23"/>
        <v xml:space="preserve">PENDIENTE </v>
      </c>
      <c r="AA93" s="66"/>
      <c r="AB93" s="67">
        <v>7</v>
      </c>
      <c r="AC93" s="68"/>
      <c r="AD93" s="69"/>
      <c r="AE93" s="70">
        <v>6830.5170370120395</v>
      </c>
      <c r="AF93" s="71">
        <v>3110.85</v>
      </c>
      <c r="AG93" s="71"/>
      <c r="AH93" s="72">
        <v>1885.15</v>
      </c>
      <c r="AI93" s="73"/>
      <c r="AJ93" s="71">
        <f>AE93-AF93-AH93-150</f>
        <v>1684.5170370120395</v>
      </c>
      <c r="AK93" s="71"/>
      <c r="AL93" s="71"/>
      <c r="AM93" s="70"/>
      <c r="AN93" s="74"/>
      <c r="AO93" s="278"/>
      <c r="AP93" s="144" t="str">
        <f t="shared" ca="1" si="24"/>
        <v/>
      </c>
      <c r="AQ93" s="142" t="s">
        <v>2381</v>
      </c>
      <c r="AR93" s="142" t="s">
        <v>2374</v>
      </c>
      <c r="AS93" s="57" t="str">
        <f t="shared" si="17"/>
        <v>03</v>
      </c>
      <c r="AT93" s="141" t="str">
        <f t="shared" si="18"/>
        <v>PLAN CINCO CCPP (C) Jaime Balmes 10 - Presupuesto pendiente de adjudicación</v>
      </c>
      <c r="AU93" s="141" t="str">
        <f t="shared" ca="1" si="19"/>
        <v>Estimado/a Sr/Sra:
Desde Instalaciones Araujo nos ponemos en contacto con ud, en relación con el Presupuesto de individualización de contadores de agua que le facilitamos el pasado 00/01/1900 para la CCPP (C) Jaime Balmes 10.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93" s="257" t="str">
        <f t="shared" ca="1" si="20"/>
        <v>Estimado/a Sr/Sra:
Desde Instalaciones Araujo nos ponemos en contacto con ud, en relación con el Presupuesto de individualización de contadores de agua que le facilitamos el pasado {FECHA_PTO} para la CCPP (C) Jaime Balmes 10.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93" s="257" t="str">
        <f t="shared" si="21"/>
        <v>Estimado/a Sr/Sra:
Desde Instalaciones Araujo nos ponemos en contacto con ud, en relación con el Presupuesto de individualización de contadores de agua que le facilitamos el pasado {FECHA_PTO} para la CCPP (C) Jaime Balmes 10.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93" s="141" t="s">
        <v>1410</v>
      </c>
      <c r="AY93" s="142"/>
    </row>
    <row r="94" spans="1:51" s="262" customFormat="1" x14ac:dyDescent="0.25">
      <c r="A94" s="64" t="s">
        <v>2162</v>
      </c>
      <c r="B94" s="64" t="s">
        <v>2276</v>
      </c>
      <c r="C94" s="61" t="s">
        <v>2129</v>
      </c>
      <c r="D94" s="43" t="s">
        <v>2138</v>
      </c>
      <c r="E94" s="201">
        <v>673638346</v>
      </c>
      <c r="F94" s="263" t="s">
        <v>1932</v>
      </c>
      <c r="G94" s="43" t="s">
        <v>1933</v>
      </c>
      <c r="H94" s="201">
        <v>630447291</v>
      </c>
      <c r="I94" s="43" t="s">
        <v>0</v>
      </c>
      <c r="J94" s="44">
        <v>45993</v>
      </c>
      <c r="K94" s="44"/>
      <c r="L94" s="44"/>
      <c r="M94" s="44"/>
      <c r="N94" s="127">
        <v>46157</v>
      </c>
      <c r="O94" s="128" t="s">
        <v>2125</v>
      </c>
      <c r="P94" s="126" t="s">
        <v>2514</v>
      </c>
      <c r="Q94" s="65"/>
      <c r="R94" s="65"/>
      <c r="S94" s="65"/>
      <c r="T94" s="65"/>
      <c r="U94" s="65"/>
      <c r="V94" s="46">
        <f t="shared" ca="1" si="14"/>
        <v>0</v>
      </c>
      <c r="W94" s="47">
        <f t="shared" ca="1" si="15"/>
        <v>0</v>
      </c>
      <c r="X94" s="47" t="str">
        <f t="shared" ca="1" si="22"/>
        <v xml:space="preserve">PENDIENTE </v>
      </c>
      <c r="Y94" s="47">
        <f t="shared" ca="1" si="16"/>
        <v>0</v>
      </c>
      <c r="Z94" s="227" t="str">
        <f t="shared" ca="1" si="23"/>
        <v xml:space="preserve">PENDIENTE </v>
      </c>
      <c r="AA94" s="124"/>
      <c r="AB94" s="67"/>
      <c r="AC94" s="68"/>
      <c r="AD94" s="69"/>
      <c r="AE94" s="70"/>
      <c r="AF94" s="71"/>
      <c r="AG94" s="71"/>
      <c r="AH94" s="72"/>
      <c r="AI94" s="73"/>
      <c r="AJ94" s="71"/>
      <c r="AK94" s="71"/>
      <c r="AL94" s="71"/>
      <c r="AM94" s="70"/>
      <c r="AN94" s="74"/>
      <c r="AO94" s="278"/>
      <c r="AP94" s="144" t="str">
        <f t="shared" ca="1" si="24"/>
        <v/>
      </c>
      <c r="AQ94" s="142" t="s">
        <v>2381</v>
      </c>
      <c r="AR94" s="142" t="s">
        <v>2374</v>
      </c>
      <c r="AS94" s="57" t="str">
        <f t="shared" si="17"/>
        <v>01</v>
      </c>
      <c r="AT94" s="141" t="str">
        <f t="shared" si="18"/>
        <v>PLAN CINCO CCPP (C) Jarama 14 - Solicitud de documentación para presupuestar</v>
      </c>
      <c r="AU94" s="141" t="str">
        <f t="shared" ca="1" si="19"/>
        <v>Estimado/a Sr/Sra:
Gracias por contactar con Instalaciones Araujo para valorar la individualización de contadores de agua en la CCPP (C) Jarama 14.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94" s="257" t="str">
        <f t="shared" ca="1" si="20"/>
        <v>Estimado/a Sr/Sra:
Gracias por contactar con Instalaciones Araujo para valorar la individualización de contadores de agua en la CCPP (C) Jarama 14.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94" s="257" t="str">
        <f t="shared" si="21"/>
        <v>Estimado/a Sr/Sra:
Gracias por contactar con Instalaciones Araujo para valorar la individualización de contadores de agua en la CCPP (C) Jarama 14.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94" s="141" t="s">
        <v>1410</v>
      </c>
      <c r="AY94" s="142"/>
    </row>
    <row r="95" spans="1:51" s="262" customFormat="1" x14ac:dyDescent="0.25">
      <c r="A95" s="64" t="s">
        <v>2165</v>
      </c>
      <c r="B95" s="64" t="s">
        <v>2426</v>
      </c>
      <c r="C95" s="61" t="s">
        <v>2129</v>
      </c>
      <c r="D95" s="43" t="s">
        <v>2075</v>
      </c>
      <c r="E95" s="201">
        <v>606845436</v>
      </c>
      <c r="F95" s="263" t="s">
        <v>2076</v>
      </c>
      <c r="G95" s="203" t="s">
        <v>2156</v>
      </c>
      <c r="H95" s="203" t="s">
        <v>0</v>
      </c>
      <c r="I95" s="122" t="s">
        <v>0</v>
      </c>
      <c r="J95" s="44">
        <v>46084</v>
      </c>
      <c r="K95" s="44"/>
      <c r="L95" s="44"/>
      <c r="M95" s="44"/>
      <c r="N95" s="127"/>
      <c r="O95" s="128" t="s">
        <v>2430</v>
      </c>
      <c r="P95" s="126" t="s">
        <v>2098</v>
      </c>
      <c r="Q95" s="65"/>
      <c r="R95" s="65"/>
      <c r="S95" s="65"/>
      <c r="T95" s="65"/>
      <c r="U95" s="65"/>
      <c r="V95" s="46">
        <f t="shared" ca="1" si="14"/>
        <v>0</v>
      </c>
      <c r="W95" s="47">
        <f t="shared" ca="1" si="15"/>
        <v>0</v>
      </c>
      <c r="X95" s="47" t="str">
        <f t="shared" ca="1" si="22"/>
        <v xml:space="preserve">PENDIENTE </v>
      </c>
      <c r="Y95" s="47">
        <f t="shared" ca="1" si="16"/>
        <v>0</v>
      </c>
      <c r="Z95" s="227" t="str">
        <f t="shared" ca="1" si="23"/>
        <v xml:space="preserve">PENDIENTE </v>
      </c>
      <c r="AA95" s="124"/>
      <c r="AB95" s="67"/>
      <c r="AC95" s="68"/>
      <c r="AD95" s="69"/>
      <c r="AE95" s="70"/>
      <c r="AF95" s="71"/>
      <c r="AG95" s="71"/>
      <c r="AH95" s="72"/>
      <c r="AI95" s="73"/>
      <c r="AJ95" s="71"/>
      <c r="AK95" s="71"/>
      <c r="AL95" s="71"/>
      <c r="AM95" s="70"/>
      <c r="AN95" s="74"/>
      <c r="AO95" s="278"/>
      <c r="AP95" s="144" t="str">
        <f t="shared" ca="1" si="24"/>
        <v/>
      </c>
      <c r="AQ95" s="142" t="s">
        <v>2381</v>
      </c>
      <c r="AR95" s="142" t="s">
        <v>2374</v>
      </c>
      <c r="AS95" s="57" t="str">
        <f t="shared" si="17"/>
        <v>---</v>
      </c>
      <c r="AT95" s="141" t="str">
        <f t="shared" si="18"/>
        <v xml:space="preserve">PLAN CINCO CCPP (Av) Jerez 108 (Bellavista) - </v>
      </c>
      <c r="AU95" s="141" t="str">
        <f t="shared" ca="1" si="19"/>
        <v/>
      </c>
      <c r="AV95" s="257" t="str">
        <f t="shared" ca="1" si="20"/>
        <v/>
      </c>
      <c r="AW95" s="257" t="str">
        <f t="shared" si="21"/>
        <v/>
      </c>
      <c r="AX95" s="141" t="s">
        <v>1410</v>
      </c>
      <c r="AY95" s="142"/>
    </row>
    <row r="96" spans="1:51" s="262" customFormat="1" x14ac:dyDescent="0.25">
      <c r="A96" s="64" t="s">
        <v>2162</v>
      </c>
      <c r="B96" s="64" t="s">
        <v>2268</v>
      </c>
      <c r="C96" s="61" t="s">
        <v>2129</v>
      </c>
      <c r="D96" s="43" t="s">
        <v>1935</v>
      </c>
      <c r="E96" s="201">
        <v>649857753</v>
      </c>
      <c r="F96" s="43" t="s">
        <v>1934</v>
      </c>
      <c r="G96" s="203" t="s">
        <v>2156</v>
      </c>
      <c r="H96" s="203" t="s">
        <v>0</v>
      </c>
      <c r="I96" s="122" t="s">
        <v>0</v>
      </c>
      <c r="J96" s="44">
        <v>45859</v>
      </c>
      <c r="K96" s="44">
        <v>45916</v>
      </c>
      <c r="L96" s="44">
        <v>45919</v>
      </c>
      <c r="M96" s="44"/>
      <c r="N96" s="127" t="s">
        <v>0</v>
      </c>
      <c r="O96" s="128" t="s">
        <v>2105</v>
      </c>
      <c r="P96" s="129" t="s">
        <v>2107</v>
      </c>
      <c r="Q96" s="65"/>
      <c r="R96" s="65"/>
      <c r="S96" s="65"/>
      <c r="T96" s="65"/>
      <c r="U96" s="65"/>
      <c r="V96" s="46">
        <f t="shared" ca="1" si="14"/>
        <v>0</v>
      </c>
      <c r="W96" s="47">
        <f t="shared" ca="1" si="15"/>
        <v>0</v>
      </c>
      <c r="X96" s="47" t="str">
        <f t="shared" ca="1" si="22"/>
        <v xml:space="preserve">PENDIENTE </v>
      </c>
      <c r="Y96" s="47">
        <f t="shared" ca="1" si="16"/>
        <v>0</v>
      </c>
      <c r="Z96" s="227" t="str">
        <f t="shared" ca="1" si="23"/>
        <v xml:space="preserve">PENDIENTE </v>
      </c>
      <c r="AA96" s="66"/>
      <c r="AB96" s="67">
        <v>23.8</v>
      </c>
      <c r="AC96" s="68"/>
      <c r="AD96" s="69"/>
      <c r="AE96" s="70">
        <v>33445.645568585671</v>
      </c>
      <c r="AF96" s="71">
        <v>10619.26</v>
      </c>
      <c r="AG96" s="71"/>
      <c r="AH96" s="72">
        <v>11132.58</v>
      </c>
      <c r="AI96" s="73"/>
      <c r="AJ96" s="71">
        <f t="shared" ref="AJ96:AJ102" si="25">AE96-AF96-AH96-150</f>
        <v>11543.805568585669</v>
      </c>
      <c r="AK96" s="71"/>
      <c r="AL96" s="71"/>
      <c r="AM96" s="70"/>
      <c r="AN96" s="74"/>
      <c r="AO96" s="278"/>
      <c r="AP96" s="144" t="str">
        <f t="shared" ca="1" si="24"/>
        <v/>
      </c>
      <c r="AQ96" s="142" t="s">
        <v>2381</v>
      </c>
      <c r="AR96" s="142" t="s">
        <v>2374</v>
      </c>
      <c r="AS96" s="57" t="str">
        <f t="shared" si="17"/>
        <v>---</v>
      </c>
      <c r="AT96" s="141" t="str">
        <f t="shared" si="18"/>
        <v xml:space="preserve">PLAN CINCO CCPP (C) Jericó 2 - </v>
      </c>
      <c r="AU96" s="141" t="str">
        <f t="shared" ca="1" si="19"/>
        <v/>
      </c>
      <c r="AV96" s="257" t="str">
        <f t="shared" ca="1" si="20"/>
        <v/>
      </c>
      <c r="AW96" s="257" t="str">
        <f t="shared" si="21"/>
        <v/>
      </c>
      <c r="AX96" s="141" t="s">
        <v>1410</v>
      </c>
      <c r="AY96" s="142"/>
    </row>
    <row r="97" spans="1:51" s="262" customFormat="1" x14ac:dyDescent="0.25">
      <c r="A97" s="64" t="s">
        <v>2162</v>
      </c>
      <c r="B97" s="64" t="s">
        <v>2277</v>
      </c>
      <c r="C97" s="61" t="s">
        <v>2129</v>
      </c>
      <c r="D97" s="43" t="s">
        <v>1936</v>
      </c>
      <c r="E97" s="201">
        <v>686491921</v>
      </c>
      <c r="F97" s="43" t="s">
        <v>1937</v>
      </c>
      <c r="G97" s="203" t="s">
        <v>2156</v>
      </c>
      <c r="H97" s="203" t="s">
        <v>0</v>
      </c>
      <c r="I97" s="122" t="s">
        <v>0</v>
      </c>
      <c r="J97" s="44">
        <v>45946</v>
      </c>
      <c r="K97" s="44">
        <v>45978</v>
      </c>
      <c r="L97" s="44">
        <v>45966</v>
      </c>
      <c r="M97" s="44"/>
      <c r="N97" s="127">
        <v>46157</v>
      </c>
      <c r="O97" s="128" t="s">
        <v>2103</v>
      </c>
      <c r="P97" s="129" t="s">
        <v>2522</v>
      </c>
      <c r="Q97" s="65"/>
      <c r="R97" s="65"/>
      <c r="S97" s="65"/>
      <c r="T97" s="65"/>
      <c r="U97" s="65"/>
      <c r="V97" s="46">
        <f t="shared" ca="1" si="14"/>
        <v>0</v>
      </c>
      <c r="W97" s="47">
        <f t="shared" ca="1" si="15"/>
        <v>0</v>
      </c>
      <c r="X97" s="47" t="str">
        <f t="shared" ca="1" si="22"/>
        <v xml:space="preserve">PENDIENTE </v>
      </c>
      <c r="Y97" s="47">
        <f t="shared" ca="1" si="16"/>
        <v>0</v>
      </c>
      <c r="Z97" s="227" t="str">
        <f t="shared" ca="1" si="23"/>
        <v xml:space="preserve">PENDIENTE </v>
      </c>
      <c r="AA97" s="66"/>
      <c r="AB97" s="67">
        <v>62.9</v>
      </c>
      <c r="AC97" s="68"/>
      <c r="AD97" s="69"/>
      <c r="AE97" s="70">
        <v>66886.104925648149</v>
      </c>
      <c r="AF97" s="71">
        <v>28050.612499999999</v>
      </c>
      <c r="AG97" s="71"/>
      <c r="AH97" s="72">
        <v>19828.02</v>
      </c>
      <c r="AI97" s="73"/>
      <c r="AJ97" s="71">
        <f t="shared" si="25"/>
        <v>18857.472425648146</v>
      </c>
      <c r="AK97" s="71"/>
      <c r="AL97" s="71"/>
      <c r="AM97" s="70"/>
      <c r="AN97" s="74"/>
      <c r="AO97" s="278"/>
      <c r="AP97" s="144" t="str">
        <f t="shared" ca="1" si="24"/>
        <v/>
      </c>
      <c r="AQ97" s="142" t="s">
        <v>2381</v>
      </c>
      <c r="AR97" s="142" t="s">
        <v>2374</v>
      </c>
      <c r="AS97" s="57" t="str">
        <f t="shared" si="17"/>
        <v>03</v>
      </c>
      <c r="AT97" s="141" t="str">
        <f t="shared" si="18"/>
        <v>PLAN CINCO CCPP (C) Jesús del Gran Poder 73 - Presupuesto pendiente de adjudicación</v>
      </c>
      <c r="AU97" s="141" t="str">
        <f t="shared" ca="1" si="19"/>
        <v>Estimado/a Sr/Sra:
Desde Instalaciones Araujo nos ponemos en contacto con ud, en relación con el Presupuesto de individualización de contadores de agua que le facilitamos el pasado 00/01/1900 para la CCPP (C) Jesús del Gran Poder 73.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97" s="257" t="str">
        <f t="shared" ca="1" si="20"/>
        <v>Estimado/a Sr/Sra:
Desde Instalaciones Araujo nos ponemos en contacto con ud, en relación con el Presupuesto de individualización de contadores de agua que le facilitamos el pasado {FECHA_PTO} para la CCPP (C) Jesús del Gran Poder 73.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97" s="257" t="str">
        <f t="shared" si="21"/>
        <v>Estimado/a Sr/Sra:
Desde Instalaciones Araujo nos ponemos en contacto con ud, en relación con el Presupuesto de individualización de contadores de agua que le facilitamos el pasado {FECHA_PTO} para la CCPP (C) Jesús del Gran Poder 73.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97" s="141" t="s">
        <v>1410</v>
      </c>
      <c r="AY97" s="142"/>
    </row>
    <row r="98" spans="1:51" s="262" customFormat="1" x14ac:dyDescent="0.25">
      <c r="A98" s="75" t="s">
        <v>2162</v>
      </c>
      <c r="B98" s="75" t="s">
        <v>2278</v>
      </c>
      <c r="C98" s="61" t="s">
        <v>2129</v>
      </c>
      <c r="D98" s="43" t="s">
        <v>694</v>
      </c>
      <c r="E98" s="201">
        <v>625119176</v>
      </c>
      <c r="F98" s="43" t="s">
        <v>1938</v>
      </c>
      <c r="G98" s="203" t="s">
        <v>2156</v>
      </c>
      <c r="H98" s="203" t="s">
        <v>0</v>
      </c>
      <c r="I98" s="122" t="s">
        <v>0</v>
      </c>
      <c r="J98" s="44">
        <v>45735</v>
      </c>
      <c r="K98" s="44">
        <v>46009</v>
      </c>
      <c r="L98" s="44">
        <v>46011</v>
      </c>
      <c r="M98" s="44"/>
      <c r="N98" s="127">
        <f>T98+7</f>
        <v>46132</v>
      </c>
      <c r="O98" s="128" t="s">
        <v>2409</v>
      </c>
      <c r="P98" s="126" t="s">
        <v>2525</v>
      </c>
      <c r="Q98" s="65">
        <v>46073</v>
      </c>
      <c r="R98" s="65">
        <v>46070</v>
      </c>
      <c r="S98" s="65">
        <v>46101</v>
      </c>
      <c r="T98" s="65">
        <v>46125</v>
      </c>
      <c r="U98" s="65" t="s">
        <v>609</v>
      </c>
      <c r="V98" s="46" t="str">
        <f t="shared" ca="1" si="14"/>
        <v>OK</v>
      </c>
      <c r="W98" s="47">
        <f t="shared" ca="1" si="15"/>
        <v>1</v>
      </c>
      <c r="X98" s="47" t="str">
        <f t="shared" ca="1" si="22"/>
        <v>COMPLETO</v>
      </c>
      <c r="Y98" s="47">
        <f t="shared" ca="1" si="16"/>
        <v>1</v>
      </c>
      <c r="Z98" s="227" t="str">
        <f t="shared" ca="1" si="23"/>
        <v>COMPLETO</v>
      </c>
      <c r="AA98" s="66" t="s">
        <v>7</v>
      </c>
      <c r="AB98" s="67">
        <v>6.8</v>
      </c>
      <c r="AC98" s="68">
        <f>AB98</f>
        <v>6.8</v>
      </c>
      <c r="AD98" s="78">
        <f>1-(AC98/AB98)</f>
        <v>0</v>
      </c>
      <c r="AE98" s="70">
        <v>7057.79</v>
      </c>
      <c r="AF98" s="71">
        <v>3043.95</v>
      </c>
      <c r="AG98" s="71">
        <f>AF98</f>
        <v>3043.95</v>
      </c>
      <c r="AH98" s="72">
        <v>1900.64</v>
      </c>
      <c r="AI98" s="73">
        <f>AH98</f>
        <v>1900.64</v>
      </c>
      <c r="AJ98" s="80">
        <f t="shared" si="25"/>
        <v>1963.1999999999998</v>
      </c>
      <c r="AK98" s="80">
        <f>AE98-AG98-AI98</f>
        <v>2113.1999999999998</v>
      </c>
      <c r="AL98" s="80">
        <f>AK98-AJ98</f>
        <v>150</v>
      </c>
      <c r="AM98" s="79">
        <f>AK98*0.2</f>
        <v>422.64</v>
      </c>
      <c r="AN98" s="74"/>
      <c r="AO98" s="278"/>
      <c r="AP98" s="144" t="str">
        <f t="shared" ca="1" si="24"/>
        <v>SI</v>
      </c>
      <c r="AQ98" s="142" t="s">
        <v>2381</v>
      </c>
      <c r="AR98" s="142" t="s">
        <v>2374</v>
      </c>
      <c r="AS98" s="57" t="str">
        <f t="shared" si="17"/>
        <v>08</v>
      </c>
      <c r="AT98" s="141" t="str">
        <f t="shared" si="18"/>
        <v>PLAN CINCO CCPP (C) Jorge de Montemayor 34 - Proceso de Contratos y Cartas de pago</v>
      </c>
      <c r="AU98" s="141" t="str">
        <f t="shared" ca="1" si="19"/>
        <v>Estimado/a Sr/Sra:
Nos ponemos en contacto desde Instalaciones Araujo, la empresa encargada para la individualización de contadores de agua en la CCPP (C) Jorge de Montemayor 34, agradeciéndole la confianza depositada en nosotros.
Le comunicamos que con fecha 13/04/2026 remitimos instrucciones (para su traslado a los vecinos) con los Contratos y Pagos necesarios para terminar la tramitación del expediente con EMASESA.
Para su conocimiento, le informamos que, hasta la fecha, hemos recibido el {100%} de la documentación.
DOCUMENTACION DE LA CCPP:  COMPLETO
DOCUMENTACION DE LAS VIVIENDAS: COMPLETO
Le mantendremos informado, rogándole que igualmente informe de este particular a los propietarios con la fecha limite de envío 23/04/2026.
Comunicación confidencial conforme al RGPD y la LOPDGDD, en el marco del contrato suscrito con la CCPP.
***ROGAMOS CONFIRMACION DE RECEPCION***
Quedamos a su disposición para resolver cualquier duda
Atentamente, Instalaciones Araujo</v>
      </c>
      <c r="AV98" s="257" t="str">
        <f t="shared" ca="1" si="20"/>
        <v>Estimado/a Sr/Sra:
Nos ponemos en contacto desde Instalaciones Araujo, la empresa encargada para la individualización de contadores de agua en la CCPP (C) Jorge de Montemayor 34, agradeciéndole la confianza depositada en nosotros.
Le comunicamos que con fecha 13/04/2026 remitimos instrucciones (para su traslado a los vecinos) con los Contratos y Pagos necesarios para terminar la tramitación del expediente con EMASESA.
Para su conocimiento, le informamos que, hasta la fecha, hemos recibido el {100%} de la documentación.
DOCUMENTACION DE LA CCPP:  {DOC_CCPP}
DOCUMENTACION DE LAS VIVIENDAS: {DOC_PISOS}
Le mantendremos informado, rogándole que igualmente informe de este particular a los propietarios con la fecha limite de envío 23/04/2026.
Comunicación confidencial conforme al RGPD y la LOPDGDD, en el marco del contrato suscrito con la CCPP.
***ROGAMOS CONFIRMACION DE RECEPCION***
Quedamos a su disposición para resolver cualquier duda
Atentamente, Instalaciones Araujo</v>
      </c>
      <c r="AW98" s="257" t="str">
        <f t="shared" si="21"/>
        <v>Estimado/a Sr/Sra:
Nos ponemos en contacto desde Instalaciones Araujo, la empresa encargada para la individualización de contadores de agua en la CCPP (C) Jorge de Montemayor 34, agradeciéndole la confianza depositada en nosotros.
Le comunicamos que con fecha {FECHA_ENVIO_CYCP} remitimos instrucciones (para su traslado a los vecinos) con los Contratos y Pagos necesarios para terminar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{FECHA+10}.
Comunicación confidencial conforme al RGPD y la LOPDGDD, en el marco del contrato suscrito con la CCPP.
***ROGAMOS CONFIRMACION DE RECEPCION***
Quedamos a su disposición para resolver cualquier duda
Atentamente, Instalaciones Araujo</v>
      </c>
      <c r="AX98" s="141" t="s">
        <v>1410</v>
      </c>
      <c r="AY98" s="142"/>
    </row>
    <row r="99" spans="1:51" s="262" customFormat="1" x14ac:dyDescent="0.25">
      <c r="A99" s="64" t="s">
        <v>2162</v>
      </c>
      <c r="B99" s="64" t="s">
        <v>2279</v>
      </c>
      <c r="C99" s="61" t="s">
        <v>1354</v>
      </c>
      <c r="D99" s="43" t="s">
        <v>1939</v>
      </c>
      <c r="E99" s="201">
        <v>696470473</v>
      </c>
      <c r="F99" s="43" t="s">
        <v>1940</v>
      </c>
      <c r="G99" s="43" t="s">
        <v>1941</v>
      </c>
      <c r="H99" s="201">
        <v>699092076</v>
      </c>
      <c r="I99" s="43" t="s">
        <v>0</v>
      </c>
      <c r="J99" s="44">
        <v>45860</v>
      </c>
      <c r="K99" s="44">
        <v>45861</v>
      </c>
      <c r="L99" s="44">
        <v>45863</v>
      </c>
      <c r="M99" s="44"/>
      <c r="N99" s="127">
        <v>46157</v>
      </c>
      <c r="O99" s="128" t="s">
        <v>2103</v>
      </c>
      <c r="P99" s="129" t="s">
        <v>2522</v>
      </c>
      <c r="Q99" s="65"/>
      <c r="R99" s="65"/>
      <c r="S99" s="65"/>
      <c r="T99" s="65"/>
      <c r="U99" s="65"/>
      <c r="V99" s="46">
        <f t="shared" ca="1" si="14"/>
        <v>0</v>
      </c>
      <c r="W99" s="47">
        <f t="shared" ca="1" si="15"/>
        <v>0</v>
      </c>
      <c r="X99" s="47" t="str">
        <f t="shared" ca="1" si="22"/>
        <v xml:space="preserve">PENDIENTE </v>
      </c>
      <c r="Y99" s="47">
        <f t="shared" ca="1" si="16"/>
        <v>0</v>
      </c>
      <c r="Z99" s="227" t="str">
        <f t="shared" ca="1" si="23"/>
        <v xml:space="preserve">PENDIENTE </v>
      </c>
      <c r="AA99" s="66"/>
      <c r="AB99" s="67">
        <v>8.1999999999999993</v>
      </c>
      <c r="AC99" s="68"/>
      <c r="AD99" s="69"/>
      <c r="AE99" s="70">
        <v>9910.6830121941857</v>
      </c>
      <c r="AF99" s="71">
        <v>3651.625</v>
      </c>
      <c r="AG99" s="71"/>
      <c r="AH99" s="72">
        <v>2877.71</v>
      </c>
      <c r="AI99" s="73"/>
      <c r="AJ99" s="71">
        <f t="shared" si="25"/>
        <v>3231.3480121941857</v>
      </c>
      <c r="AK99" s="71"/>
      <c r="AL99" s="71"/>
      <c r="AM99" s="70"/>
      <c r="AN99" s="74"/>
      <c r="AO99" s="278"/>
      <c r="AP99" s="144" t="str">
        <f t="shared" ca="1" si="24"/>
        <v/>
      </c>
      <c r="AQ99" s="142" t="s">
        <v>2381</v>
      </c>
      <c r="AR99" s="142" t="s">
        <v>2374</v>
      </c>
      <c r="AS99" s="57" t="str">
        <f t="shared" si="17"/>
        <v>03</v>
      </c>
      <c r="AT99" s="141" t="str">
        <f t="shared" si="18"/>
        <v>PLAN CINCO CCPP (C) José Arpa 6 - Presupuesto pendiente de adjudicación</v>
      </c>
      <c r="AU99" s="141" t="str">
        <f t="shared" ca="1" si="19"/>
        <v>Estimado/a Sr/Sra:
Desde Instalaciones Araujo nos ponemos en contacto con ud, en relación con el Presupuesto de individualización de contadores de agua que le facilitamos el pasado 00/01/1900 para la CCPP (C) José Arpa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99" s="257" t="str">
        <f t="shared" ca="1" si="20"/>
        <v>Estimado/a Sr/Sra:
Desde Instalaciones Araujo nos ponemos en contacto con ud, en relación con el Presupuesto de individualización de contadores de agua que le facilitamos el pasado {FECHA_PTO} para la CCPP (C) José Arpa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99" s="257" t="str">
        <f t="shared" si="21"/>
        <v>Estimado/a Sr/Sra:
Desde Instalaciones Araujo nos ponemos en contacto con ud, en relación con el Presupuesto de individualización de contadores de agua que le facilitamos el pasado {FECHA_PTO} para la CCPP (C) José Arpa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99" s="141" t="s">
        <v>1410</v>
      </c>
      <c r="AY99" s="142"/>
    </row>
    <row r="100" spans="1:51" s="262" customFormat="1" x14ac:dyDescent="0.25">
      <c r="A100" s="64" t="s">
        <v>2162</v>
      </c>
      <c r="B100" s="64" t="s">
        <v>2281</v>
      </c>
      <c r="C100" s="61">
        <v>26</v>
      </c>
      <c r="D100" s="43" t="s">
        <v>1866</v>
      </c>
      <c r="E100" s="201">
        <v>661592498</v>
      </c>
      <c r="F100" s="43" t="s">
        <v>1867</v>
      </c>
      <c r="G100" s="43" t="s">
        <v>1942</v>
      </c>
      <c r="H100" s="201">
        <v>615555718</v>
      </c>
      <c r="I100" s="43" t="s">
        <v>0</v>
      </c>
      <c r="J100" s="44">
        <v>45988</v>
      </c>
      <c r="K100" s="44">
        <v>46042</v>
      </c>
      <c r="L100" s="44">
        <v>46050</v>
      </c>
      <c r="M100" s="44"/>
      <c r="N100" s="127">
        <v>46157</v>
      </c>
      <c r="O100" s="128" t="s">
        <v>2114</v>
      </c>
      <c r="P100" s="129" t="s">
        <v>2522</v>
      </c>
      <c r="Q100" s="65"/>
      <c r="R100" s="65"/>
      <c r="S100" s="65"/>
      <c r="T100" s="65"/>
      <c r="U100" s="65"/>
      <c r="V100" s="46">
        <f t="shared" ca="1" si="14"/>
        <v>0</v>
      </c>
      <c r="W100" s="47">
        <f t="shared" ca="1" si="15"/>
        <v>0</v>
      </c>
      <c r="X100" s="47" t="str">
        <f t="shared" ca="1" si="22"/>
        <v xml:space="preserve">PENDIENTE </v>
      </c>
      <c r="Y100" s="47">
        <f t="shared" ca="1" si="16"/>
        <v>0</v>
      </c>
      <c r="Z100" s="227" t="str">
        <f t="shared" ca="1" si="23"/>
        <v xml:space="preserve">PENDIENTE </v>
      </c>
      <c r="AA100" s="66"/>
      <c r="AB100" s="67">
        <v>10.3</v>
      </c>
      <c r="AC100" s="68"/>
      <c r="AD100" s="69"/>
      <c r="AE100" s="70">
        <v>11644.526001385748</v>
      </c>
      <c r="AF100" s="71">
        <v>4599.375</v>
      </c>
      <c r="AG100" s="71"/>
      <c r="AH100" s="72">
        <v>3154.82</v>
      </c>
      <c r="AI100" s="73"/>
      <c r="AJ100" s="71">
        <f t="shared" si="25"/>
        <v>3740.3310013857476</v>
      </c>
      <c r="AK100" s="71"/>
      <c r="AL100" s="71"/>
      <c r="AM100" s="70"/>
      <c r="AN100" s="74"/>
      <c r="AO100" s="278"/>
      <c r="AP100" s="144" t="str">
        <f t="shared" ca="1" si="24"/>
        <v/>
      </c>
      <c r="AQ100" s="142" t="s">
        <v>2381</v>
      </c>
      <c r="AR100" s="142" t="s">
        <v>2374</v>
      </c>
      <c r="AS100" s="57" t="str">
        <f t="shared" si="17"/>
        <v>03</v>
      </c>
      <c r="AT100" s="141" t="str">
        <f t="shared" si="18"/>
        <v>PLAN CINCO CCPP (C) José María Obando 14 - Presupuesto pendiente de adjudicación</v>
      </c>
      <c r="AU100" s="141" t="str">
        <f t="shared" ca="1" si="19"/>
        <v>Estimado/a Sr/Sra:
Desde Instalaciones Araujo nos ponemos en contacto con ud, en relación con el Presupuesto de individualización de contadores de agua que le facilitamos el pasado 00/01/1900 para la CCPP (C) José María Obando 14.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00" s="257" t="str">
        <f t="shared" ca="1" si="20"/>
        <v>Estimado/a Sr/Sra:
Desde Instalaciones Araujo nos ponemos en contacto con ud, en relación con el Presupuesto de individualización de contadores de agua que le facilitamos el pasado {FECHA_PTO} para la CCPP (C) José María Obando 14.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00" s="257" t="str">
        <f t="shared" si="21"/>
        <v>Estimado/a Sr/Sra:
Desde Instalaciones Araujo nos ponemos en contacto con ud, en relación con el Presupuesto de individualización de contadores de agua que le facilitamos el pasado {FECHA_PTO} para la CCPP (C) José María Obando 14.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00" s="141" t="s">
        <v>1410</v>
      </c>
      <c r="AY100" s="142"/>
    </row>
    <row r="101" spans="1:51" s="262" customFormat="1" x14ac:dyDescent="0.25">
      <c r="A101" s="64" t="s">
        <v>2162</v>
      </c>
      <c r="B101" s="64" t="s">
        <v>2273</v>
      </c>
      <c r="C101" s="61" t="s">
        <v>2129</v>
      </c>
      <c r="D101" s="43" t="s">
        <v>1910</v>
      </c>
      <c r="E101" s="201">
        <v>744615257</v>
      </c>
      <c r="F101" s="43" t="s">
        <v>1911</v>
      </c>
      <c r="G101" s="43" t="s">
        <v>1943</v>
      </c>
      <c r="H101" s="201" t="s">
        <v>0</v>
      </c>
      <c r="I101" s="43" t="s">
        <v>0</v>
      </c>
      <c r="J101" s="44">
        <v>45848</v>
      </c>
      <c r="K101" s="44">
        <v>45848</v>
      </c>
      <c r="L101" s="44">
        <v>45850</v>
      </c>
      <c r="M101" s="44"/>
      <c r="N101" s="127" t="s">
        <v>0</v>
      </c>
      <c r="O101" s="128" t="s">
        <v>2105</v>
      </c>
      <c r="P101" s="129" t="s">
        <v>2107</v>
      </c>
      <c r="Q101" s="65"/>
      <c r="R101" s="65"/>
      <c r="S101" s="65"/>
      <c r="T101" s="65"/>
      <c r="U101" s="65"/>
      <c r="V101" s="46">
        <f t="shared" ca="1" si="14"/>
        <v>0</v>
      </c>
      <c r="W101" s="47">
        <f t="shared" ca="1" si="15"/>
        <v>0</v>
      </c>
      <c r="X101" s="47" t="str">
        <f t="shared" ca="1" si="22"/>
        <v xml:space="preserve">PENDIENTE </v>
      </c>
      <c r="Y101" s="47">
        <f t="shared" ca="1" si="16"/>
        <v>0</v>
      </c>
      <c r="Z101" s="227" t="str">
        <f t="shared" ca="1" si="23"/>
        <v xml:space="preserve">PENDIENTE </v>
      </c>
      <c r="AA101" s="66"/>
      <c r="AB101" s="67">
        <v>7.5</v>
      </c>
      <c r="AC101" s="68"/>
      <c r="AD101" s="69"/>
      <c r="AE101" s="70">
        <v>9341.057258868399</v>
      </c>
      <c r="AF101" s="71">
        <v>3339.43</v>
      </c>
      <c r="AG101" s="71"/>
      <c r="AH101" s="72">
        <v>2850.57</v>
      </c>
      <c r="AI101" s="73"/>
      <c r="AJ101" s="71">
        <f t="shared" si="25"/>
        <v>3001.0572588683985</v>
      </c>
      <c r="AK101" s="71"/>
      <c r="AL101" s="71"/>
      <c r="AM101" s="70"/>
      <c r="AN101" s="74"/>
      <c r="AO101" s="278"/>
      <c r="AP101" s="144" t="str">
        <f t="shared" ca="1" si="24"/>
        <v/>
      </c>
      <c r="AQ101" s="142" t="s">
        <v>2381</v>
      </c>
      <c r="AR101" s="142" t="s">
        <v>2374</v>
      </c>
      <c r="AS101" s="57" t="str">
        <f t="shared" si="17"/>
        <v>---</v>
      </c>
      <c r="AT101" s="141" t="str">
        <f t="shared" si="18"/>
        <v xml:space="preserve">PLAN CINCO CCPP (C) José Val del Omar 16 - </v>
      </c>
      <c r="AU101" s="141" t="str">
        <f t="shared" ca="1" si="19"/>
        <v/>
      </c>
      <c r="AV101" s="257" t="str">
        <f t="shared" ca="1" si="20"/>
        <v/>
      </c>
      <c r="AW101" s="257" t="str">
        <f t="shared" si="21"/>
        <v/>
      </c>
      <c r="AX101" s="141" t="s">
        <v>1410</v>
      </c>
      <c r="AY101" s="142"/>
    </row>
    <row r="102" spans="1:51" s="262" customFormat="1" x14ac:dyDescent="0.25">
      <c r="A102" s="64" t="s">
        <v>2162</v>
      </c>
      <c r="B102" s="64" t="s">
        <v>2274</v>
      </c>
      <c r="C102" s="61" t="s">
        <v>2129</v>
      </c>
      <c r="D102" s="43" t="s">
        <v>1910</v>
      </c>
      <c r="E102" s="201">
        <v>744615257</v>
      </c>
      <c r="F102" s="43" t="s">
        <v>1911</v>
      </c>
      <c r="G102" s="43" t="s">
        <v>1944</v>
      </c>
      <c r="H102" s="201">
        <v>640606091</v>
      </c>
      <c r="I102" s="43" t="s">
        <v>0</v>
      </c>
      <c r="J102" s="44">
        <v>45819</v>
      </c>
      <c r="K102" s="44">
        <v>45825</v>
      </c>
      <c r="L102" s="44">
        <v>45825</v>
      </c>
      <c r="M102" s="44"/>
      <c r="N102" s="127" t="s">
        <v>0</v>
      </c>
      <c r="O102" s="128" t="s">
        <v>2105</v>
      </c>
      <c r="P102" s="126" t="s">
        <v>2107</v>
      </c>
      <c r="Q102" s="65"/>
      <c r="R102" s="65"/>
      <c r="S102" s="65"/>
      <c r="T102" s="65"/>
      <c r="U102" s="65"/>
      <c r="V102" s="46">
        <f t="shared" ca="1" si="14"/>
        <v>0</v>
      </c>
      <c r="W102" s="47">
        <f t="shared" ca="1" si="15"/>
        <v>0</v>
      </c>
      <c r="X102" s="47" t="str">
        <f t="shared" ca="1" si="22"/>
        <v xml:space="preserve">PENDIENTE </v>
      </c>
      <c r="Y102" s="47">
        <f t="shared" ca="1" si="16"/>
        <v>0</v>
      </c>
      <c r="Z102" s="227" t="str">
        <f t="shared" ca="1" si="23"/>
        <v xml:space="preserve">PENDIENTE </v>
      </c>
      <c r="AA102" s="66"/>
      <c r="AB102" s="67">
        <v>31.5</v>
      </c>
      <c r="AC102" s="68"/>
      <c r="AD102" s="69"/>
      <c r="AE102" s="70">
        <v>27774.93</v>
      </c>
      <c r="AF102" s="71">
        <v>14056.81</v>
      </c>
      <c r="AG102" s="71"/>
      <c r="AH102" s="72">
        <v>5969.24</v>
      </c>
      <c r="AI102" s="73"/>
      <c r="AJ102" s="71">
        <f t="shared" si="25"/>
        <v>7598.880000000001</v>
      </c>
      <c r="AK102" s="71"/>
      <c r="AL102" s="71"/>
      <c r="AM102" s="70"/>
      <c r="AN102" s="74"/>
      <c r="AO102" s="278"/>
      <c r="AP102" s="144" t="str">
        <f t="shared" ca="1" si="24"/>
        <v/>
      </c>
      <c r="AQ102" s="142" t="s">
        <v>2381</v>
      </c>
      <c r="AR102" s="142" t="s">
        <v>2374</v>
      </c>
      <c r="AS102" s="57" t="str">
        <f t="shared" si="17"/>
        <v>---</v>
      </c>
      <c r="AT102" s="141" t="str">
        <f t="shared" si="18"/>
        <v xml:space="preserve">PLAN CINCO CCPP (C) Juan Castillo Sánchez 5B - </v>
      </c>
      <c r="AU102" s="141" t="str">
        <f t="shared" ca="1" si="19"/>
        <v/>
      </c>
      <c r="AV102" s="257" t="str">
        <f t="shared" ca="1" si="20"/>
        <v/>
      </c>
      <c r="AW102" s="257" t="str">
        <f t="shared" si="21"/>
        <v/>
      </c>
      <c r="AX102" s="141" t="s">
        <v>1410</v>
      </c>
      <c r="AY102" s="142"/>
    </row>
    <row r="103" spans="1:51" s="262" customFormat="1" x14ac:dyDescent="0.25">
      <c r="A103" s="64" t="s">
        <v>2162</v>
      </c>
      <c r="B103" s="64" t="s">
        <v>2284</v>
      </c>
      <c r="C103" s="61" t="s">
        <v>2129</v>
      </c>
      <c r="D103" s="43" t="s">
        <v>1893</v>
      </c>
      <c r="E103" s="201">
        <v>954214057</v>
      </c>
      <c r="F103" s="263" t="s">
        <v>1894</v>
      </c>
      <c r="G103" s="43" t="s">
        <v>1945</v>
      </c>
      <c r="H103" s="201">
        <v>646930469</v>
      </c>
      <c r="I103" s="43" t="s">
        <v>0</v>
      </c>
      <c r="J103" s="44">
        <v>46056</v>
      </c>
      <c r="K103" s="44"/>
      <c r="L103" s="44"/>
      <c r="M103" s="44"/>
      <c r="N103" s="127">
        <v>46157</v>
      </c>
      <c r="O103" s="128" t="s">
        <v>2133</v>
      </c>
      <c r="P103" s="129" t="s">
        <v>2514</v>
      </c>
      <c r="Q103" s="65"/>
      <c r="R103" s="65"/>
      <c r="S103" s="65"/>
      <c r="T103" s="65"/>
      <c r="U103" s="65"/>
      <c r="V103" s="46">
        <f t="shared" ca="1" si="14"/>
        <v>0</v>
      </c>
      <c r="W103" s="47">
        <f t="shared" ca="1" si="15"/>
        <v>0</v>
      </c>
      <c r="X103" s="47" t="str">
        <f t="shared" ca="1" si="22"/>
        <v xml:space="preserve">PENDIENTE </v>
      </c>
      <c r="Y103" s="47">
        <f t="shared" ca="1" si="16"/>
        <v>0</v>
      </c>
      <c r="Z103" s="227" t="str">
        <f t="shared" ca="1" si="23"/>
        <v xml:space="preserve">PENDIENTE </v>
      </c>
      <c r="AA103" s="124"/>
      <c r="AB103" s="67"/>
      <c r="AC103" s="68"/>
      <c r="AD103" s="69"/>
      <c r="AE103" s="70"/>
      <c r="AF103" s="71"/>
      <c r="AG103" s="71"/>
      <c r="AH103" s="72"/>
      <c r="AI103" s="73"/>
      <c r="AJ103" s="71"/>
      <c r="AK103" s="71"/>
      <c r="AL103" s="71"/>
      <c r="AM103" s="70"/>
      <c r="AN103" s="74"/>
      <c r="AO103" s="278"/>
      <c r="AP103" s="144" t="str">
        <f t="shared" ca="1" si="24"/>
        <v/>
      </c>
      <c r="AQ103" s="142" t="s">
        <v>2381</v>
      </c>
      <c r="AR103" s="142" t="s">
        <v>2374</v>
      </c>
      <c r="AS103" s="57" t="str">
        <f t="shared" si="17"/>
        <v>01</v>
      </c>
      <c r="AT103" s="141" t="str">
        <f t="shared" si="18"/>
        <v>PLAN CINCO CCPP (C) Juan Díaz de Solís 10 - Solicitud de documentación para presupuestar</v>
      </c>
      <c r="AU103" s="141" t="str">
        <f t="shared" ca="1" si="19"/>
        <v>Estimado/a Sr/Sra:
Gracias por contactar con Instalaciones Araujo para valorar la individualización de contadores de agua en la CCPP (C) Juan Díaz de Solís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03" s="257" t="str">
        <f t="shared" ca="1" si="20"/>
        <v>Estimado/a Sr/Sra:
Gracias por contactar con Instalaciones Araujo para valorar la individualización de contadores de agua en la CCPP (C) Juan Díaz de Solís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03" s="257" t="str">
        <f t="shared" si="21"/>
        <v>Estimado/a Sr/Sra:
Gracias por contactar con Instalaciones Araujo para valorar la individualización de contadores de agua en la CCPP (C) Juan Díaz de Solís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03" s="141" t="s">
        <v>1410</v>
      </c>
      <c r="AY103" s="142"/>
    </row>
    <row r="104" spans="1:51" s="262" customFormat="1" x14ac:dyDescent="0.25">
      <c r="A104" s="75" t="s">
        <v>2162</v>
      </c>
      <c r="B104" s="75" t="s">
        <v>2285</v>
      </c>
      <c r="C104" s="61" t="s">
        <v>2129</v>
      </c>
      <c r="D104" s="43" t="s">
        <v>1946</v>
      </c>
      <c r="E104" s="201">
        <v>662954165</v>
      </c>
      <c r="F104" s="43" t="s">
        <v>1947</v>
      </c>
      <c r="G104" s="203" t="s">
        <v>2156</v>
      </c>
      <c r="H104" s="203" t="s">
        <v>0</v>
      </c>
      <c r="I104" s="122" t="s">
        <v>0</v>
      </c>
      <c r="J104" s="44">
        <v>45910</v>
      </c>
      <c r="K104" s="44">
        <v>45923</v>
      </c>
      <c r="L104" s="44">
        <v>45929</v>
      </c>
      <c r="M104" s="44"/>
      <c r="N104" s="127" t="s">
        <v>0</v>
      </c>
      <c r="O104" s="128" t="s">
        <v>0</v>
      </c>
      <c r="P104" s="129" t="s">
        <v>2100</v>
      </c>
      <c r="Q104" s="65">
        <v>45981</v>
      </c>
      <c r="R104" s="65">
        <v>46024</v>
      </c>
      <c r="S104" s="65">
        <v>46065</v>
      </c>
      <c r="T104" s="65">
        <v>46104</v>
      </c>
      <c r="U104" s="65">
        <v>46107</v>
      </c>
      <c r="V104" s="46" t="str">
        <f t="shared" ca="1" si="14"/>
        <v>OK</v>
      </c>
      <c r="W104" s="47">
        <f t="shared" ca="1" si="15"/>
        <v>1</v>
      </c>
      <c r="X104" s="47" t="str">
        <f t="shared" ca="1" si="22"/>
        <v>COMPLETO</v>
      </c>
      <c r="Y104" s="47">
        <f t="shared" ca="1" si="16"/>
        <v>1</v>
      </c>
      <c r="Z104" s="227" t="str">
        <f t="shared" ca="1" si="23"/>
        <v>COMPLETO</v>
      </c>
      <c r="AA104" s="66" t="s">
        <v>53</v>
      </c>
      <c r="AB104" s="67">
        <v>27</v>
      </c>
      <c r="AC104" s="68">
        <f>AB104</f>
        <v>27</v>
      </c>
      <c r="AD104" s="78">
        <f>1-(AC104/AB104)</f>
        <v>0</v>
      </c>
      <c r="AE104" s="70">
        <v>23581.07</v>
      </c>
      <c r="AF104" s="71">
        <v>12036.43</v>
      </c>
      <c r="AG104" s="71">
        <f>AF104</f>
        <v>12036.43</v>
      </c>
      <c r="AH104" s="72">
        <v>5069.3900000000003</v>
      </c>
      <c r="AI104" s="73">
        <f>AH104</f>
        <v>5069.3900000000003</v>
      </c>
      <c r="AJ104" s="80">
        <f>AE104-AF104-AH104-150</f>
        <v>6325.2499999999991</v>
      </c>
      <c r="AK104" s="80">
        <f>AE104-AG104-AI104</f>
        <v>6475.2499999999991</v>
      </c>
      <c r="AL104" s="80">
        <f>AK104-AJ104</f>
        <v>150</v>
      </c>
      <c r="AM104" s="79">
        <f>AK104*0.2</f>
        <v>1295.05</v>
      </c>
      <c r="AN104" s="74" t="s">
        <v>609</v>
      </c>
      <c r="AO104" s="278"/>
      <c r="AP104" s="144" t="str">
        <f t="shared" ca="1" si="24"/>
        <v/>
      </c>
      <c r="AQ104" s="142" t="s">
        <v>2381</v>
      </c>
      <c r="AR104" s="142" t="s">
        <v>2374</v>
      </c>
      <c r="AS104" s="57" t="str">
        <f t="shared" si="17"/>
        <v>---</v>
      </c>
      <c r="AT104" s="141" t="str">
        <f t="shared" si="18"/>
        <v xml:space="preserve">PLAN CINCO CCPP (C) Juan Pablos 17 - </v>
      </c>
      <c r="AU104" s="141" t="str">
        <f t="shared" ca="1" si="19"/>
        <v/>
      </c>
      <c r="AV104" s="257" t="str">
        <f t="shared" ca="1" si="20"/>
        <v/>
      </c>
      <c r="AW104" s="257" t="str">
        <f t="shared" si="21"/>
        <v/>
      </c>
      <c r="AX104" s="141" t="s">
        <v>1410</v>
      </c>
      <c r="AY104" s="142"/>
    </row>
    <row r="105" spans="1:51" s="262" customFormat="1" x14ac:dyDescent="0.25">
      <c r="A105" s="64" t="s">
        <v>2162</v>
      </c>
      <c r="B105" s="64" t="s">
        <v>2286</v>
      </c>
      <c r="C105" s="61" t="s">
        <v>2129</v>
      </c>
      <c r="D105" s="43" t="s">
        <v>2101</v>
      </c>
      <c r="E105" s="201">
        <v>637492592</v>
      </c>
      <c r="F105" s="263" t="s">
        <v>2390</v>
      </c>
      <c r="G105" s="43" t="s">
        <v>1948</v>
      </c>
      <c r="H105" s="201">
        <v>653831491</v>
      </c>
      <c r="I105" s="43" t="s">
        <v>0</v>
      </c>
      <c r="J105" s="44">
        <v>45929</v>
      </c>
      <c r="K105" s="44"/>
      <c r="L105" s="44"/>
      <c r="M105" s="44"/>
      <c r="N105" s="127">
        <v>46157</v>
      </c>
      <c r="O105" s="128" t="s">
        <v>2133</v>
      </c>
      <c r="P105" s="129" t="s">
        <v>2514</v>
      </c>
      <c r="Q105" s="65"/>
      <c r="R105" s="65"/>
      <c r="S105" s="65"/>
      <c r="T105" s="65"/>
      <c r="U105" s="65"/>
      <c r="V105" s="46">
        <f t="shared" ca="1" si="14"/>
        <v>0</v>
      </c>
      <c r="W105" s="47">
        <f t="shared" ca="1" si="15"/>
        <v>0</v>
      </c>
      <c r="X105" s="47" t="str">
        <f t="shared" ca="1" si="22"/>
        <v xml:space="preserve">PENDIENTE </v>
      </c>
      <c r="Y105" s="47">
        <f t="shared" ca="1" si="16"/>
        <v>0</v>
      </c>
      <c r="Z105" s="227" t="str">
        <f t="shared" ca="1" si="23"/>
        <v xml:space="preserve">PENDIENTE </v>
      </c>
      <c r="AA105" s="124"/>
      <c r="AB105" s="67"/>
      <c r="AC105" s="68"/>
      <c r="AD105" s="69"/>
      <c r="AE105" s="70"/>
      <c r="AF105" s="71"/>
      <c r="AG105" s="71"/>
      <c r="AH105" s="72"/>
      <c r="AI105" s="73"/>
      <c r="AJ105" s="71"/>
      <c r="AK105" s="71"/>
      <c r="AL105" s="71"/>
      <c r="AM105" s="70"/>
      <c r="AN105" s="74"/>
      <c r="AO105" s="278"/>
      <c r="AP105" s="144" t="str">
        <f t="shared" ca="1" si="24"/>
        <v/>
      </c>
      <c r="AQ105" s="142" t="s">
        <v>2381</v>
      </c>
      <c r="AR105" s="142" t="s">
        <v>2374</v>
      </c>
      <c r="AS105" s="57" t="str">
        <f t="shared" si="17"/>
        <v>01</v>
      </c>
      <c r="AT105" s="141" t="str">
        <f t="shared" si="18"/>
        <v>PLAN CINCO CCPP (C) Juan Pablos 23 - Solicitud de documentación para presupuestar</v>
      </c>
      <c r="AU105" s="141" t="str">
        <f t="shared" ca="1" si="19"/>
        <v>Estimado/a Sr/Sra:
Gracias por contactar con Instalaciones Araujo para valorar la individualización de contadores de agua en la CCPP (C) Juan Pablos 23.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05" s="257" t="str">
        <f t="shared" ca="1" si="20"/>
        <v>Estimado/a Sr/Sra:
Gracias por contactar con Instalaciones Araujo para valorar la individualización de contadores de agua en la CCPP (C) Juan Pablos 23.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05" s="257" t="str">
        <f t="shared" si="21"/>
        <v>Estimado/a Sr/Sra:
Gracias por contactar con Instalaciones Araujo para valorar la individualización de contadores de agua en la CCPP (C) Juan Pablos 23.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05" s="141" t="s">
        <v>1410</v>
      </c>
      <c r="AY105" s="142"/>
    </row>
    <row r="106" spans="1:51" s="262" customFormat="1" x14ac:dyDescent="0.25">
      <c r="A106" s="64" t="s">
        <v>2162</v>
      </c>
      <c r="B106" s="64" t="s">
        <v>2288</v>
      </c>
      <c r="C106" s="61" t="s">
        <v>2129</v>
      </c>
      <c r="D106" s="43" t="s">
        <v>1949</v>
      </c>
      <c r="E106" s="201">
        <v>619842488</v>
      </c>
      <c r="F106" s="61" t="s">
        <v>0</v>
      </c>
      <c r="G106" s="203" t="s">
        <v>2156</v>
      </c>
      <c r="H106" s="203" t="s">
        <v>0</v>
      </c>
      <c r="I106" s="122" t="s">
        <v>0</v>
      </c>
      <c r="J106" s="136">
        <v>45980</v>
      </c>
      <c r="K106" s="136"/>
      <c r="L106" s="136"/>
      <c r="M106" s="136"/>
      <c r="N106" s="127">
        <v>46157</v>
      </c>
      <c r="O106" s="128" t="s">
        <v>2515</v>
      </c>
      <c r="P106" s="126" t="s">
        <v>2514</v>
      </c>
      <c r="Q106" s="65"/>
      <c r="R106" s="65"/>
      <c r="S106" s="65"/>
      <c r="T106" s="65"/>
      <c r="U106" s="65"/>
      <c r="V106" s="46">
        <f t="shared" ca="1" si="14"/>
        <v>0</v>
      </c>
      <c r="W106" s="47">
        <f t="shared" ca="1" si="15"/>
        <v>0</v>
      </c>
      <c r="X106" s="47" t="str">
        <f t="shared" ca="1" si="22"/>
        <v xml:space="preserve">PENDIENTE </v>
      </c>
      <c r="Y106" s="47">
        <f t="shared" ca="1" si="16"/>
        <v>0</v>
      </c>
      <c r="Z106" s="227" t="str">
        <f t="shared" ca="1" si="23"/>
        <v xml:space="preserve">PENDIENTE </v>
      </c>
      <c r="AA106" s="124"/>
      <c r="AB106" s="67"/>
      <c r="AC106" s="68"/>
      <c r="AD106" s="69"/>
      <c r="AE106" s="70"/>
      <c r="AF106" s="71"/>
      <c r="AG106" s="71"/>
      <c r="AH106" s="72"/>
      <c r="AI106" s="73"/>
      <c r="AJ106" s="71"/>
      <c r="AK106" s="71"/>
      <c r="AL106" s="71"/>
      <c r="AM106" s="70"/>
      <c r="AN106" s="74"/>
      <c r="AO106" s="278"/>
      <c r="AP106" s="144" t="str">
        <f t="shared" ca="1" si="24"/>
        <v/>
      </c>
      <c r="AQ106" s="142" t="s">
        <v>2381</v>
      </c>
      <c r="AR106" s="142" t="s">
        <v>2374</v>
      </c>
      <c r="AS106" s="57" t="str">
        <f t="shared" si="17"/>
        <v>01</v>
      </c>
      <c r="AT106" s="141" t="str">
        <f t="shared" si="18"/>
        <v>PLAN CINCO CCPP (C) Juan Rabadán 17 - Solicitud de documentación para presupuestar</v>
      </c>
      <c r="AU106" s="141" t="str">
        <f t="shared" ca="1" si="19"/>
        <v>Estimado/a Sr/Sra:
Gracias por contactar con Instalaciones Araujo para valorar la individualización de contadores de agua en la CCPP (C) Juan Rabadán 17.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06" s="257" t="str">
        <f t="shared" ca="1" si="20"/>
        <v>Estimado/a Sr/Sra:
Gracias por contactar con Instalaciones Araujo para valorar la individualización de contadores de agua en la CCPP (C) Juan Rabadán 17.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06" s="257" t="str">
        <f t="shared" si="21"/>
        <v>Estimado/a Sr/Sra:
Gracias por contactar con Instalaciones Araujo para valorar la individualización de contadores de agua en la CCPP (C) Juan Rabadán 17.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06" s="141" t="s">
        <v>1410</v>
      </c>
      <c r="AY106" s="142"/>
    </row>
    <row r="107" spans="1:51" s="262" customFormat="1" x14ac:dyDescent="0.25">
      <c r="A107" s="64" t="s">
        <v>2162</v>
      </c>
      <c r="B107" s="64" t="s">
        <v>2290</v>
      </c>
      <c r="C107" s="61" t="s">
        <v>2129</v>
      </c>
      <c r="D107" s="43" t="s">
        <v>1950</v>
      </c>
      <c r="E107" s="201" t="s">
        <v>1951</v>
      </c>
      <c r="F107" s="263" t="s">
        <v>1952</v>
      </c>
      <c r="G107" s="43" t="s">
        <v>1953</v>
      </c>
      <c r="H107" s="201">
        <v>699711030</v>
      </c>
      <c r="I107" s="43" t="s">
        <v>0</v>
      </c>
      <c r="J107" s="44">
        <v>46063</v>
      </c>
      <c r="K107" s="44"/>
      <c r="L107" s="44"/>
      <c r="M107" s="44"/>
      <c r="N107" s="127">
        <v>46157</v>
      </c>
      <c r="O107" s="128" t="s">
        <v>2133</v>
      </c>
      <c r="P107" s="126" t="s">
        <v>2514</v>
      </c>
      <c r="Q107" s="65"/>
      <c r="R107" s="65"/>
      <c r="S107" s="65"/>
      <c r="T107" s="65"/>
      <c r="U107" s="65"/>
      <c r="V107" s="46">
        <f t="shared" ca="1" si="14"/>
        <v>0</v>
      </c>
      <c r="W107" s="47">
        <f t="shared" ca="1" si="15"/>
        <v>0</v>
      </c>
      <c r="X107" s="47" t="str">
        <f t="shared" ca="1" si="22"/>
        <v xml:space="preserve">PENDIENTE </v>
      </c>
      <c r="Y107" s="47">
        <f t="shared" ca="1" si="16"/>
        <v>0</v>
      </c>
      <c r="Z107" s="227" t="str">
        <f t="shared" ca="1" si="23"/>
        <v xml:space="preserve">PENDIENTE </v>
      </c>
      <c r="AA107" s="124"/>
      <c r="AB107" s="67"/>
      <c r="AC107" s="68"/>
      <c r="AD107" s="69"/>
      <c r="AE107" s="70"/>
      <c r="AF107" s="71"/>
      <c r="AG107" s="71"/>
      <c r="AH107" s="72"/>
      <c r="AI107" s="73"/>
      <c r="AJ107" s="71"/>
      <c r="AK107" s="71"/>
      <c r="AL107" s="71"/>
      <c r="AM107" s="70"/>
      <c r="AN107" s="74"/>
      <c r="AO107" s="278"/>
      <c r="AP107" s="144" t="str">
        <f t="shared" ca="1" si="24"/>
        <v/>
      </c>
      <c r="AQ107" s="142" t="s">
        <v>2381</v>
      </c>
      <c r="AR107" s="142" t="s">
        <v>2374</v>
      </c>
      <c r="AS107" s="57" t="str">
        <f t="shared" si="17"/>
        <v>01</v>
      </c>
      <c r="AT107" s="141" t="str">
        <f t="shared" si="18"/>
        <v>PLAN CINCO CCPP (C) Juan Talavera Heredia 3 - Solicitud de documentación para presupuestar</v>
      </c>
      <c r="AU107" s="141" t="str">
        <f t="shared" ca="1" si="19"/>
        <v>Estimado/a Sr/Sra:
Gracias por contactar con Instalaciones Araujo para valorar la individualización de contadores de agua en la CCPP (C) Juan Talavera Heredia 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07" s="257" t="str">
        <f t="shared" ca="1" si="20"/>
        <v>Estimado/a Sr/Sra:
Gracias por contactar con Instalaciones Araujo para valorar la individualización de contadores de agua en la CCPP (C) Juan Talavera Heredia 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07" s="257" t="str">
        <f t="shared" si="21"/>
        <v>Estimado/a Sr/Sra:
Gracias por contactar con Instalaciones Araujo para valorar la individualización de contadores de agua en la CCPP (C) Juan Talavera Heredia 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07" s="141" t="s">
        <v>1410</v>
      </c>
      <c r="AY107" s="142"/>
    </row>
    <row r="108" spans="1:51" s="262" customFormat="1" x14ac:dyDescent="0.25">
      <c r="A108" s="64" t="s">
        <v>2162</v>
      </c>
      <c r="B108" s="64" t="s">
        <v>2280</v>
      </c>
      <c r="C108" s="61" t="s">
        <v>2129</v>
      </c>
      <c r="D108" s="43" t="s">
        <v>1954</v>
      </c>
      <c r="E108" s="201">
        <v>616453387</v>
      </c>
      <c r="F108" s="43" t="s">
        <v>1955</v>
      </c>
      <c r="G108" s="43" t="s">
        <v>0</v>
      </c>
      <c r="H108" s="201" t="s">
        <v>0</v>
      </c>
      <c r="I108" s="43" t="s">
        <v>0</v>
      </c>
      <c r="J108" s="44">
        <v>45756</v>
      </c>
      <c r="K108" s="44">
        <v>45756</v>
      </c>
      <c r="L108" s="44">
        <v>45780</v>
      </c>
      <c r="M108" s="44"/>
      <c r="N108" s="127" t="s">
        <v>0</v>
      </c>
      <c r="O108" s="128" t="s">
        <v>2105</v>
      </c>
      <c r="P108" s="126" t="s">
        <v>2107</v>
      </c>
      <c r="Q108" s="65"/>
      <c r="R108" s="65"/>
      <c r="S108" s="65"/>
      <c r="T108" s="65"/>
      <c r="U108" s="65"/>
      <c r="V108" s="46">
        <f t="shared" ca="1" si="14"/>
        <v>0</v>
      </c>
      <c r="W108" s="47">
        <f t="shared" ca="1" si="15"/>
        <v>0</v>
      </c>
      <c r="X108" s="47" t="str">
        <f t="shared" ca="1" si="22"/>
        <v xml:space="preserve">PENDIENTE </v>
      </c>
      <c r="Y108" s="47">
        <f t="shared" ca="1" si="16"/>
        <v>0</v>
      </c>
      <c r="Z108" s="227" t="str">
        <f t="shared" ca="1" si="23"/>
        <v xml:space="preserve">PENDIENTE </v>
      </c>
      <c r="AA108" s="66"/>
      <c r="AB108" s="67">
        <v>16.3</v>
      </c>
      <c r="AC108" s="68"/>
      <c r="AD108" s="69"/>
      <c r="AE108" s="70">
        <v>14906.55</v>
      </c>
      <c r="AF108" s="71">
        <v>7275.38</v>
      </c>
      <c r="AG108" s="71"/>
      <c r="AH108" s="72">
        <v>3371.66</v>
      </c>
      <c r="AI108" s="73"/>
      <c r="AJ108" s="71">
        <f>AE108-AF108-AH108-150</f>
        <v>4109.5099999999993</v>
      </c>
      <c r="AK108" s="71"/>
      <c r="AL108" s="71"/>
      <c r="AM108" s="70"/>
      <c r="AN108" s="74"/>
      <c r="AO108" s="278"/>
      <c r="AP108" s="144" t="str">
        <f t="shared" ca="1" si="24"/>
        <v/>
      </c>
      <c r="AQ108" s="142" t="s">
        <v>2381</v>
      </c>
      <c r="AR108" s="142" t="s">
        <v>2374</v>
      </c>
      <c r="AS108" s="57" t="str">
        <f t="shared" si="17"/>
        <v>---</v>
      </c>
      <c r="AT108" s="141" t="str">
        <f t="shared" si="18"/>
        <v xml:space="preserve">PLAN CINCO CCPP (C) López de Gomara 53 - </v>
      </c>
      <c r="AU108" s="141" t="str">
        <f t="shared" ca="1" si="19"/>
        <v/>
      </c>
      <c r="AV108" s="257" t="str">
        <f t="shared" ca="1" si="20"/>
        <v/>
      </c>
      <c r="AW108" s="257" t="str">
        <f t="shared" si="21"/>
        <v/>
      </c>
      <c r="AX108" s="141" t="s">
        <v>1410</v>
      </c>
      <c r="AY108" s="142"/>
    </row>
    <row r="109" spans="1:51" s="262" customFormat="1" x14ac:dyDescent="0.25">
      <c r="A109" s="64" t="s">
        <v>2162</v>
      </c>
      <c r="B109" s="64" t="s">
        <v>2291</v>
      </c>
      <c r="C109" s="61" t="s">
        <v>2129</v>
      </c>
      <c r="D109" s="43" t="s">
        <v>1910</v>
      </c>
      <c r="E109" s="201">
        <v>744615257</v>
      </c>
      <c r="F109" s="43" t="s">
        <v>1911</v>
      </c>
      <c r="G109" s="43" t="s">
        <v>1956</v>
      </c>
      <c r="H109" s="201">
        <v>630270284</v>
      </c>
      <c r="I109" s="43" t="s">
        <v>0</v>
      </c>
      <c r="J109" s="44">
        <v>45819</v>
      </c>
      <c r="K109" s="44">
        <v>45835</v>
      </c>
      <c r="L109" s="44">
        <v>45840</v>
      </c>
      <c r="M109" s="44"/>
      <c r="N109" s="127">
        <v>46157</v>
      </c>
      <c r="O109" s="128" t="s">
        <v>2104</v>
      </c>
      <c r="P109" s="129" t="s">
        <v>2522</v>
      </c>
      <c r="Q109" s="65"/>
      <c r="R109" s="65"/>
      <c r="S109" s="65"/>
      <c r="T109" s="65"/>
      <c r="U109" s="65"/>
      <c r="V109" s="46">
        <f t="shared" ca="1" si="14"/>
        <v>0</v>
      </c>
      <c r="W109" s="47">
        <f t="shared" ca="1" si="15"/>
        <v>0</v>
      </c>
      <c r="X109" s="47" t="str">
        <f t="shared" ca="1" si="22"/>
        <v xml:space="preserve">PENDIENTE </v>
      </c>
      <c r="Y109" s="47">
        <f t="shared" ca="1" si="16"/>
        <v>0</v>
      </c>
      <c r="Z109" s="227" t="str">
        <f t="shared" ca="1" si="23"/>
        <v xml:space="preserve">PENDIENTE </v>
      </c>
      <c r="AA109" s="66"/>
      <c r="AB109" s="67">
        <v>12.9</v>
      </c>
      <c r="AC109" s="68"/>
      <c r="AD109" s="69"/>
      <c r="AE109" s="70">
        <v>14994.077266684148</v>
      </c>
      <c r="AF109" s="71">
        <v>5742.25</v>
      </c>
      <c r="AG109" s="71"/>
      <c r="AH109" s="72">
        <v>4272.41</v>
      </c>
      <c r="AI109" s="73"/>
      <c r="AJ109" s="71">
        <f>AE109-AF109-AH109-150</f>
        <v>4829.4172666841478</v>
      </c>
      <c r="AK109" s="71"/>
      <c r="AL109" s="71"/>
      <c r="AM109" s="70"/>
      <c r="AN109" s="74"/>
      <c r="AO109" s="278"/>
      <c r="AP109" s="144" t="str">
        <f t="shared" ca="1" si="24"/>
        <v/>
      </c>
      <c r="AQ109" s="142" t="s">
        <v>2381</v>
      </c>
      <c r="AR109" s="142" t="s">
        <v>2374</v>
      </c>
      <c r="AS109" s="57" t="str">
        <f t="shared" si="17"/>
        <v>03</v>
      </c>
      <c r="AT109" s="141" t="str">
        <f t="shared" si="18"/>
        <v>PLAN CINCO CCPP (C) Lorenzo de Sepúlveda 6 - Presupuesto pendiente de adjudicación</v>
      </c>
      <c r="AU109" s="141" t="str">
        <f t="shared" ca="1" si="19"/>
        <v>Estimado/a Sr/Sra:
Desde Instalaciones Araujo nos ponemos en contacto con ud, en relación con el Presupuesto de individualización de contadores de agua que le facilitamos el pasado 00/01/1900 para la CCPP (C) Lorenzo de Sepúlveda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09" s="257" t="str">
        <f t="shared" ca="1" si="20"/>
        <v>Estimado/a Sr/Sra:
Desde Instalaciones Araujo nos ponemos en contacto con ud, en relación con el Presupuesto de individualización de contadores de agua que le facilitamos el pasado {FECHA_PTO} para la CCPP (C) Lorenzo de Sepúlveda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09" s="257" t="str">
        <f t="shared" si="21"/>
        <v>Estimado/a Sr/Sra:
Desde Instalaciones Araujo nos ponemos en contacto con ud, en relación con el Presupuesto de individualización de contadores de agua que le facilitamos el pasado {FECHA_PTO} para la CCPP (C) Lorenzo de Sepúlveda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09" s="141" t="s">
        <v>1410</v>
      </c>
      <c r="AY109" s="142"/>
    </row>
    <row r="110" spans="1:51" s="262" customFormat="1" x14ac:dyDescent="0.25">
      <c r="A110" s="64" t="s">
        <v>2162</v>
      </c>
      <c r="B110" s="64" t="s">
        <v>2282</v>
      </c>
      <c r="C110" s="61" t="s">
        <v>2129</v>
      </c>
      <c r="D110" s="43" t="s">
        <v>1957</v>
      </c>
      <c r="E110" s="201">
        <v>607236921</v>
      </c>
      <c r="F110" s="43" t="s">
        <v>1958</v>
      </c>
      <c r="G110" s="203" t="s">
        <v>2156</v>
      </c>
      <c r="H110" s="203" t="s">
        <v>0</v>
      </c>
      <c r="I110" s="122" t="s">
        <v>0</v>
      </c>
      <c r="J110" s="44">
        <v>45833</v>
      </c>
      <c r="K110" s="44">
        <v>45835</v>
      </c>
      <c r="L110" s="44">
        <v>45840</v>
      </c>
      <c r="M110" s="44"/>
      <c r="N110" s="127" t="s">
        <v>0</v>
      </c>
      <c r="O110" s="128" t="s">
        <v>2105</v>
      </c>
      <c r="P110" s="129" t="s">
        <v>2107</v>
      </c>
      <c r="Q110" s="65"/>
      <c r="R110" s="65"/>
      <c r="S110" s="65"/>
      <c r="T110" s="65"/>
      <c r="U110" s="65"/>
      <c r="V110" s="46">
        <f t="shared" ca="1" si="14"/>
        <v>0</v>
      </c>
      <c r="W110" s="47">
        <f t="shared" ca="1" si="15"/>
        <v>0</v>
      </c>
      <c r="X110" s="47" t="str">
        <f t="shared" ca="1" si="22"/>
        <v xml:space="preserve">PENDIENTE </v>
      </c>
      <c r="Y110" s="47">
        <f t="shared" ca="1" si="16"/>
        <v>0</v>
      </c>
      <c r="Z110" s="227" t="str">
        <f t="shared" ca="1" si="23"/>
        <v xml:space="preserve">PENDIENTE </v>
      </c>
      <c r="AA110" s="66"/>
      <c r="AB110" s="67">
        <v>13.1</v>
      </c>
      <c r="AC110" s="68"/>
      <c r="AD110" s="69"/>
      <c r="AE110" s="70">
        <v>16234.46</v>
      </c>
      <c r="AF110" s="71">
        <v>5858.21</v>
      </c>
      <c r="AG110" s="71"/>
      <c r="AH110" s="72">
        <v>4683.33</v>
      </c>
      <c r="AI110" s="73"/>
      <c r="AJ110" s="71">
        <f>AE110-AF110-AH110-150</f>
        <v>5542.92</v>
      </c>
      <c r="AK110" s="71"/>
      <c r="AL110" s="71"/>
      <c r="AM110" s="70"/>
      <c r="AN110" s="74"/>
      <c r="AO110" s="278"/>
      <c r="AP110" s="144" t="str">
        <f t="shared" ca="1" si="24"/>
        <v/>
      </c>
      <c r="AQ110" s="142" t="s">
        <v>2381</v>
      </c>
      <c r="AR110" s="142" t="s">
        <v>2374</v>
      </c>
      <c r="AS110" s="57" t="str">
        <f t="shared" si="17"/>
        <v>---</v>
      </c>
      <c r="AT110" s="141" t="str">
        <f t="shared" si="18"/>
        <v xml:space="preserve">PLAN CINCO CCPP (C) Lorenzo Leal 8 - </v>
      </c>
      <c r="AU110" s="141" t="str">
        <f t="shared" ca="1" si="19"/>
        <v/>
      </c>
      <c r="AV110" s="257" t="str">
        <f t="shared" ca="1" si="20"/>
        <v/>
      </c>
      <c r="AW110" s="257" t="str">
        <f t="shared" si="21"/>
        <v/>
      </c>
      <c r="AX110" s="141" t="s">
        <v>1410</v>
      </c>
      <c r="AY110" s="142"/>
    </row>
    <row r="111" spans="1:51" s="262" customFormat="1" x14ac:dyDescent="0.25">
      <c r="A111" s="64" t="s">
        <v>2166</v>
      </c>
      <c r="B111" s="64" t="s">
        <v>2283</v>
      </c>
      <c r="C111" s="61" t="s">
        <v>2129</v>
      </c>
      <c r="D111" s="43" t="s">
        <v>768</v>
      </c>
      <c r="E111" s="201">
        <v>954226728</v>
      </c>
      <c r="F111" s="43" t="s">
        <v>1777</v>
      </c>
      <c r="G111" s="43" t="s">
        <v>1959</v>
      </c>
      <c r="H111" s="201">
        <v>633253783</v>
      </c>
      <c r="I111" s="43" t="s">
        <v>0</v>
      </c>
      <c r="J111" s="44">
        <v>45904</v>
      </c>
      <c r="K111" s="44">
        <v>45909</v>
      </c>
      <c r="L111" s="44">
        <v>45912</v>
      </c>
      <c r="M111" s="44"/>
      <c r="N111" s="127" t="s">
        <v>0</v>
      </c>
      <c r="O111" s="128" t="s">
        <v>2105</v>
      </c>
      <c r="P111" s="126" t="s">
        <v>2107</v>
      </c>
      <c r="Q111" s="65"/>
      <c r="R111" s="65"/>
      <c r="S111" s="65"/>
      <c r="T111" s="65"/>
      <c r="U111" s="65"/>
      <c r="V111" s="46">
        <f t="shared" ca="1" si="14"/>
        <v>0</v>
      </c>
      <c r="W111" s="47">
        <f t="shared" ca="1" si="15"/>
        <v>0</v>
      </c>
      <c r="X111" s="47" t="str">
        <f t="shared" ca="1" si="22"/>
        <v xml:space="preserve">PENDIENTE </v>
      </c>
      <c r="Y111" s="47">
        <f t="shared" ca="1" si="16"/>
        <v>0</v>
      </c>
      <c r="Z111" s="227" t="str">
        <f t="shared" ca="1" si="23"/>
        <v xml:space="preserve">PENDIENTE </v>
      </c>
      <c r="AA111" s="66"/>
      <c r="AB111" s="67">
        <v>10</v>
      </c>
      <c r="AC111" s="68"/>
      <c r="AD111" s="69"/>
      <c r="AE111" s="70">
        <v>12659.35</v>
      </c>
      <c r="AF111" s="71">
        <v>4466.6899999999996</v>
      </c>
      <c r="AG111" s="71"/>
      <c r="AH111" s="72">
        <v>3682.72</v>
      </c>
      <c r="AI111" s="73"/>
      <c r="AJ111" s="71">
        <f>AE111-AF111-AH111-150</f>
        <v>4359.9400000000005</v>
      </c>
      <c r="AK111" s="71"/>
      <c r="AL111" s="71"/>
      <c r="AM111" s="70"/>
      <c r="AN111" s="74"/>
      <c r="AO111" s="278"/>
      <c r="AP111" s="144" t="str">
        <f t="shared" ca="1" si="24"/>
        <v/>
      </c>
      <c r="AQ111" s="142" t="s">
        <v>2381</v>
      </c>
      <c r="AR111" s="142" t="s">
        <v>2374</v>
      </c>
      <c r="AS111" s="57" t="str">
        <f t="shared" si="17"/>
        <v>---</v>
      </c>
      <c r="AT111" s="141" t="str">
        <f t="shared" si="18"/>
        <v xml:space="preserve">PLAN CINCO CCPP (Pz de los) Luceros 10 - </v>
      </c>
      <c r="AU111" s="141" t="str">
        <f t="shared" ca="1" si="19"/>
        <v/>
      </c>
      <c r="AV111" s="257" t="str">
        <f t="shared" ca="1" si="20"/>
        <v/>
      </c>
      <c r="AW111" s="257" t="str">
        <f t="shared" si="21"/>
        <v/>
      </c>
      <c r="AX111" s="141" t="s">
        <v>1410</v>
      </c>
      <c r="AY111" s="142"/>
    </row>
    <row r="112" spans="1:51" s="262" customFormat="1" x14ac:dyDescent="0.25">
      <c r="A112" s="75" t="s">
        <v>2166</v>
      </c>
      <c r="B112" s="75" t="s">
        <v>2292</v>
      </c>
      <c r="C112" s="61" t="s">
        <v>2129</v>
      </c>
      <c r="D112" s="43" t="s">
        <v>768</v>
      </c>
      <c r="E112" s="201">
        <v>954226728</v>
      </c>
      <c r="F112" s="43" t="s">
        <v>1777</v>
      </c>
      <c r="G112" s="43" t="s">
        <v>1960</v>
      </c>
      <c r="H112" s="201">
        <v>617211471</v>
      </c>
      <c r="I112" s="43" t="s">
        <v>0</v>
      </c>
      <c r="J112" s="44">
        <v>45666</v>
      </c>
      <c r="K112" s="44">
        <v>45909</v>
      </c>
      <c r="L112" s="44">
        <v>45912</v>
      </c>
      <c r="M112" s="44"/>
      <c r="N112" s="127" t="s">
        <v>0</v>
      </c>
      <c r="O112" s="128" t="s">
        <v>2157</v>
      </c>
      <c r="P112" s="129" t="s">
        <v>2528</v>
      </c>
      <c r="Q112" s="65">
        <v>45957</v>
      </c>
      <c r="R112" s="65">
        <v>46076</v>
      </c>
      <c r="S112" s="65">
        <v>46090</v>
      </c>
      <c r="T112" s="65" t="s">
        <v>609</v>
      </c>
      <c r="U112" s="65"/>
      <c r="V112" s="46" t="str">
        <f t="shared" ca="1" si="14"/>
        <v>OK</v>
      </c>
      <c r="W112" s="47">
        <f t="shared" ca="1" si="15"/>
        <v>1</v>
      </c>
      <c r="X112" s="47" t="str">
        <f t="shared" ca="1" si="22"/>
        <v>COMPLETO</v>
      </c>
      <c r="Y112" s="47">
        <f t="shared" ca="1" si="16"/>
        <v>1</v>
      </c>
      <c r="Z112" s="227" t="str">
        <f t="shared" ca="1" si="23"/>
        <v>COMPLETO</v>
      </c>
      <c r="AA112" s="66" t="s">
        <v>53</v>
      </c>
      <c r="AB112" s="67">
        <v>20</v>
      </c>
      <c r="AC112" s="68">
        <f>AB112</f>
        <v>20</v>
      </c>
      <c r="AD112" s="78">
        <f>1-(AC112/AB112)</f>
        <v>0</v>
      </c>
      <c r="AE112" s="70">
        <v>25307.68</v>
      </c>
      <c r="AF112" s="71">
        <v>8925.58</v>
      </c>
      <c r="AG112" s="71">
        <f>AF112</f>
        <v>8925.58</v>
      </c>
      <c r="AH112" s="72">
        <v>7479.17</v>
      </c>
      <c r="AI112" s="73">
        <f>AH112</f>
        <v>7479.17</v>
      </c>
      <c r="AJ112" s="80">
        <f>AE112-AF112-AH112-150</f>
        <v>8752.93</v>
      </c>
      <c r="AK112" s="80">
        <f>AE112-AG112-AI112</f>
        <v>8902.93</v>
      </c>
      <c r="AL112" s="80">
        <f>AK112-AJ112</f>
        <v>150</v>
      </c>
      <c r="AM112" s="79">
        <f>AK112*0.2</f>
        <v>1780.5860000000002</v>
      </c>
      <c r="AN112" s="74"/>
      <c r="AO112" s="278"/>
      <c r="AP112" s="144" t="str">
        <f t="shared" ca="1" si="24"/>
        <v/>
      </c>
      <c r="AQ112" s="142" t="s">
        <v>2381</v>
      </c>
      <c r="AR112" s="142" t="s">
        <v>2374</v>
      </c>
      <c r="AS112" s="57" t="str">
        <f t="shared" si="17"/>
        <v>---</v>
      </c>
      <c r="AT112" s="141" t="str">
        <f t="shared" si="18"/>
        <v xml:space="preserve">PLAN CINCO CCPP (Pz de los) Luceros 4 - </v>
      </c>
      <c r="AU112" s="141" t="str">
        <f t="shared" ca="1" si="19"/>
        <v/>
      </c>
      <c r="AV112" s="257" t="str">
        <f t="shared" ca="1" si="20"/>
        <v/>
      </c>
      <c r="AW112" s="257" t="str">
        <f t="shared" si="21"/>
        <v/>
      </c>
      <c r="AX112" s="141" t="s">
        <v>1410</v>
      </c>
      <c r="AY112" s="142"/>
    </row>
    <row r="113" spans="1:51" s="262" customFormat="1" x14ac:dyDescent="0.25">
      <c r="A113" s="64" t="s">
        <v>2171</v>
      </c>
      <c r="B113" s="64" t="s">
        <v>2293</v>
      </c>
      <c r="C113" s="61" t="s">
        <v>1798</v>
      </c>
      <c r="D113" s="43" t="s">
        <v>1961</v>
      </c>
      <c r="E113" s="201">
        <v>640971105</v>
      </c>
      <c r="F113" s="263" t="s">
        <v>1962</v>
      </c>
      <c r="G113" s="43" t="s">
        <v>0</v>
      </c>
      <c r="H113" s="201" t="s">
        <v>0</v>
      </c>
      <c r="I113" s="43" t="s">
        <v>0</v>
      </c>
      <c r="J113" s="44">
        <v>46086</v>
      </c>
      <c r="K113" s="44"/>
      <c r="L113" s="44"/>
      <c r="M113" s="44"/>
      <c r="N113" s="127">
        <v>46157</v>
      </c>
      <c r="O113" s="128" t="s">
        <v>2126</v>
      </c>
      <c r="P113" s="126" t="s">
        <v>2514</v>
      </c>
      <c r="Q113" s="65"/>
      <c r="R113" s="65"/>
      <c r="S113" s="65"/>
      <c r="T113" s="65"/>
      <c r="U113" s="65"/>
      <c r="V113" s="46">
        <f t="shared" ca="1" si="14"/>
        <v>0</v>
      </c>
      <c r="W113" s="47">
        <f t="shared" ca="1" si="15"/>
        <v>0</v>
      </c>
      <c r="X113" s="47" t="str">
        <f t="shared" ca="1" si="22"/>
        <v xml:space="preserve">PENDIENTE </v>
      </c>
      <c r="Y113" s="47">
        <f t="shared" ca="1" si="16"/>
        <v>0</v>
      </c>
      <c r="Z113" s="227" t="str">
        <f t="shared" ca="1" si="23"/>
        <v xml:space="preserve">PENDIENTE </v>
      </c>
      <c r="AA113" s="124"/>
      <c r="AB113" s="67"/>
      <c r="AC113" s="68"/>
      <c r="AD113" s="69"/>
      <c r="AE113" s="70"/>
      <c r="AF113" s="71"/>
      <c r="AG113" s="71"/>
      <c r="AH113" s="72"/>
      <c r="AI113" s="73"/>
      <c r="AJ113" s="71"/>
      <c r="AK113" s="71"/>
      <c r="AL113" s="71"/>
      <c r="AM113" s="70"/>
      <c r="AN113" s="74"/>
      <c r="AO113" s="278"/>
      <c r="AP113" s="144" t="str">
        <f t="shared" ca="1" si="24"/>
        <v/>
      </c>
      <c r="AQ113" s="142" t="s">
        <v>2381</v>
      </c>
      <c r="AR113" s="142" t="s">
        <v>2374</v>
      </c>
      <c r="AS113" s="57" t="str">
        <f t="shared" si="17"/>
        <v>01</v>
      </c>
      <c r="AT113" s="141" t="str">
        <f t="shared" si="18"/>
        <v>PLAN CINCO CCPP (Ur) Macarena Tres Huertas - Solicitud de documentación para presupuestar</v>
      </c>
      <c r="AU113" s="141" t="str">
        <f t="shared" ca="1" si="19"/>
        <v>Estimado/a Sr/Sra:
Gracias por contactar con Instalaciones Araujo para valorar la individualización de contadores de agua en la CCPP (Ur) Macarena Tres Huertas.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13" s="257" t="str">
        <f t="shared" ca="1" si="20"/>
        <v>Estimado/a Sr/Sra:
Gracias por contactar con Instalaciones Araujo para valorar la individualización de contadores de agua en la CCPP (Ur) Macarena Tres Huertas.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13" s="257" t="str">
        <f t="shared" si="21"/>
        <v>Estimado/a Sr/Sra:
Gracias por contactar con Instalaciones Araujo para valorar la individualización de contadores de agua en la CCPP (Ur) Macarena Tres Huertas.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13" s="141" t="s">
        <v>1410</v>
      </c>
      <c r="AY113" s="142"/>
    </row>
    <row r="114" spans="1:51" s="262" customFormat="1" x14ac:dyDescent="0.25">
      <c r="A114" s="75" t="s">
        <v>2162</v>
      </c>
      <c r="B114" s="75" t="s">
        <v>2294</v>
      </c>
      <c r="C114" s="61" t="s">
        <v>2129</v>
      </c>
      <c r="D114" s="43" t="s">
        <v>1808</v>
      </c>
      <c r="E114" s="201">
        <v>615671540</v>
      </c>
      <c r="F114" s="43" t="s">
        <v>1809</v>
      </c>
      <c r="G114" s="43" t="s">
        <v>1964</v>
      </c>
      <c r="H114" s="201">
        <v>606352562</v>
      </c>
      <c r="I114" s="43" t="s">
        <v>1963</v>
      </c>
      <c r="J114" s="44">
        <v>45804</v>
      </c>
      <c r="K114" s="44">
        <v>45848</v>
      </c>
      <c r="L114" s="44">
        <v>45850</v>
      </c>
      <c r="M114" s="44"/>
      <c r="N114" s="127">
        <f>T114+7</f>
        <v>46134</v>
      </c>
      <c r="O114" s="128" t="s">
        <v>2480</v>
      </c>
      <c r="P114" s="129" t="s">
        <v>2525</v>
      </c>
      <c r="Q114" s="65">
        <v>45978</v>
      </c>
      <c r="R114" s="65">
        <v>46086</v>
      </c>
      <c r="S114" s="65">
        <v>46099</v>
      </c>
      <c r="T114" s="65">
        <v>46127</v>
      </c>
      <c r="U114" s="65" t="s">
        <v>609</v>
      </c>
      <c r="V114" s="46" t="str">
        <f t="shared" ca="1" si="14"/>
        <v>OK</v>
      </c>
      <c r="W114" s="47">
        <f t="shared" ca="1" si="15"/>
        <v>0</v>
      </c>
      <c r="X114" s="47" t="str">
        <f t="shared" ca="1" si="22"/>
        <v>PENDIENTE -CONTRATO FIRMADO-JUSTIFICANTE PAGO</v>
      </c>
      <c r="Y114" s="47">
        <f t="shared" ca="1" si="16"/>
        <v>0</v>
      </c>
      <c r="Z114" s="227" t="str">
        <f t="shared" ca="1" si="23"/>
        <v>PENDIENTE -1A-1B-2A-2B-3A-3B-4A-4B-5A-5B-6A-6B-7A-7B-8A-8B-9A-9B-10A-10B-11A-11B</v>
      </c>
      <c r="AA114" s="66" t="s">
        <v>53</v>
      </c>
      <c r="AB114" s="67">
        <v>18.5</v>
      </c>
      <c r="AC114" s="68">
        <f>AB114</f>
        <v>18.5</v>
      </c>
      <c r="AD114" s="69">
        <f>1-(AC114/AB114)</f>
        <v>0</v>
      </c>
      <c r="AE114" s="70">
        <v>21009.47</v>
      </c>
      <c r="AF114" s="71">
        <v>8251</v>
      </c>
      <c r="AG114" s="71">
        <f>AF114</f>
        <v>8251</v>
      </c>
      <c r="AH114" s="72">
        <v>6190.28</v>
      </c>
      <c r="AI114" s="73">
        <f>AH114</f>
        <v>6190.28</v>
      </c>
      <c r="AJ114" s="71">
        <f>AE114-AF114-AH114-150</f>
        <v>6418.1900000000014</v>
      </c>
      <c r="AK114" s="71">
        <f>AE114-AG114-AI114</f>
        <v>6568.1900000000014</v>
      </c>
      <c r="AL114" s="71">
        <f>AK114-AJ114</f>
        <v>150</v>
      </c>
      <c r="AM114" s="70">
        <f>AK114*0.2</f>
        <v>1313.6380000000004</v>
      </c>
      <c r="AN114" s="74"/>
      <c r="AO114" s="278"/>
      <c r="AP114" s="144" t="str">
        <f t="shared" ca="1" si="24"/>
        <v>SI</v>
      </c>
      <c r="AQ114" s="142" t="s">
        <v>2381</v>
      </c>
      <c r="AR114" s="142" t="s">
        <v>2374</v>
      </c>
      <c r="AS114" s="57" t="str">
        <f t="shared" si="17"/>
        <v>08</v>
      </c>
      <c r="AT114" s="141" t="str">
        <f t="shared" si="18"/>
        <v>PLAN CINCO CCPP (C) Mandarinas 2 - Proceso de Contratos y Cartas de pago</v>
      </c>
      <c r="AU114" s="141" t="str">
        <f t="shared" ca="1" si="19"/>
        <v>Estimado/a Sr/Sra:
Nos ponemos en contacto desde Instalaciones Araujo, la empresa encargada para la individualización de contadores de agua en la CCPP (C) Mandarinas 2, agradeciéndole la confianza depositada en nosotros.
Le comunicamos que con fecha 15/04/2026 remitimos instrucciones (para su traslado a los vecinos) con los Contratos y Pagos necesarios para terminar la tramitación del expediente con EMASESA.
Para su conocimiento, le informamos que, hasta la fecha, hemos recibido el {0%} de la documentación.
DOCUMENTACION DE LA CCPP:  PENDIENTE -CONTRATO FIRMADO-JUSTIFICANTE PAGO
DOCUMENTACION DE LAS VIVIENDAS: PENDIENTE -1A-1B-2A-2B-3A-3B-4A-4B-5A-5B-6A-6B-7A-7B-8A-8B-9A-9B-10A-10B-11A-11B
Le mantendremos informado, rogándole que igualmente informe de este particular a los propietarios con la fecha limite de envío 25/04/2026.
Comunicación confidencial conforme al RGPD y la LOPDGDD, en el marco del contrato suscrito con la CCPP.
***ROGAMOS CONFIRMACION DE RECEPCION***
Quedamos a su disposición para resolver cualquier duda
Atentamente, Instalaciones Araujo</v>
      </c>
      <c r="AV114" s="257" t="str">
        <f t="shared" ca="1" si="20"/>
        <v>Estimado/a Sr/Sra:
Nos ponemos en contacto desde Instalaciones Araujo, la empresa encargada para la individualización de contadores de agua en la CCPP (C) Mandarinas 2, agradeciéndole la confianza depositada en nosotros.
Le comunicamos que con fecha 15/04/2026 remitimos instrucciones (para su traslado a los vecinos) con los Contratos y Pagos necesarios para terminar la tramitación del expediente con EMASESA.
Para su conocimiento, le informamos que, hasta la fecha, hemos recibido el {0%} de la documentación.
DOCUMENTACION DE LA CCPP:  {DOC_CCPP}
DOCUMENTACION DE LAS VIVIENDAS: {DOC_PISOS}
Le mantendremos informado, rogándole que igualmente informe de este particular a los propietarios con la fecha limite de envío 25/04/2026.
Comunicación confidencial conforme al RGPD y la LOPDGDD, en el marco del contrato suscrito con la CCPP.
***ROGAMOS CONFIRMACION DE RECEPCION***
Quedamos a su disposición para resolver cualquier duda
Atentamente, Instalaciones Araujo</v>
      </c>
      <c r="AW114" s="257" t="str">
        <f t="shared" si="21"/>
        <v>Estimado/a Sr/Sra:
Nos ponemos en contacto desde Instalaciones Araujo, la empresa encargada para la individualización de contadores de agua en la CCPP (C) Mandarinas 2, agradeciéndole la confianza depositada en nosotros.
Le comunicamos que con fecha {FECHA_ENVIO_CYCP} remitimos instrucciones (para su traslado a los vecinos) con los Contratos y Pagos necesarios para terminar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{FECHA+10}.
Comunicación confidencial conforme al RGPD y la LOPDGDD, en el marco del contrato suscrito con la CCPP.
***ROGAMOS CONFIRMACION DE RECEPCION***
Quedamos a su disposición para resolver cualquier duda
Atentamente, Instalaciones Araujo</v>
      </c>
      <c r="AX114" s="141" t="s">
        <v>1410</v>
      </c>
      <c r="AY114" s="142"/>
    </row>
    <row r="115" spans="1:51" s="262" customFormat="1" x14ac:dyDescent="0.25">
      <c r="A115" s="64" t="s">
        <v>2162</v>
      </c>
      <c r="B115" s="64" t="s">
        <v>2295</v>
      </c>
      <c r="C115" s="61" t="s">
        <v>2129</v>
      </c>
      <c r="D115" s="43" t="s">
        <v>1888</v>
      </c>
      <c r="E115" s="201">
        <v>954635100</v>
      </c>
      <c r="F115" s="364" t="s">
        <v>1889</v>
      </c>
      <c r="G115" s="43" t="s">
        <v>0</v>
      </c>
      <c r="H115" s="201" t="s">
        <v>0</v>
      </c>
      <c r="I115" s="43" t="s">
        <v>0</v>
      </c>
      <c r="J115" s="136">
        <v>46105</v>
      </c>
      <c r="K115" s="134">
        <v>46127</v>
      </c>
      <c r="L115" s="136">
        <v>46141</v>
      </c>
      <c r="M115" s="136"/>
      <c r="N115" s="127"/>
      <c r="O115" s="128"/>
      <c r="P115" s="126" t="s">
        <v>2522</v>
      </c>
      <c r="Q115" s="65"/>
      <c r="R115" s="65"/>
      <c r="S115" s="65"/>
      <c r="T115" s="65"/>
      <c r="U115" s="65"/>
      <c r="V115" s="46">
        <f t="shared" ca="1" si="14"/>
        <v>0</v>
      </c>
      <c r="W115" s="47">
        <f t="shared" ca="1" si="15"/>
        <v>0</v>
      </c>
      <c r="X115" s="47" t="str">
        <f t="shared" ca="1" si="22"/>
        <v xml:space="preserve">PENDIENTE </v>
      </c>
      <c r="Y115" s="47">
        <f t="shared" ca="1" si="16"/>
        <v>0</v>
      </c>
      <c r="Z115" s="227" t="str">
        <f t="shared" ca="1" si="23"/>
        <v xml:space="preserve">PENDIENTE </v>
      </c>
      <c r="AA115" s="124"/>
      <c r="AB115" s="67">
        <v>16</v>
      </c>
      <c r="AC115" s="68"/>
      <c r="AD115" s="69"/>
      <c r="AE115" s="70">
        <v>20445.09</v>
      </c>
      <c r="AF115" s="71">
        <v>7122.62</v>
      </c>
      <c r="AG115" s="71"/>
      <c r="AH115" s="72">
        <f>3349+991+1842.91</f>
        <v>6182.91</v>
      </c>
      <c r="AI115" s="73"/>
      <c r="AJ115" s="71">
        <f>AE115-AF115-AH115-189</f>
        <v>6950.5600000000013</v>
      </c>
      <c r="AK115" s="71"/>
      <c r="AL115" s="71"/>
      <c r="AM115" s="70"/>
      <c r="AN115" s="74"/>
      <c r="AO115" s="278"/>
      <c r="AP115" s="144" t="str">
        <f t="shared" ca="1" si="24"/>
        <v/>
      </c>
      <c r="AQ115" s="142" t="s">
        <v>2381</v>
      </c>
      <c r="AR115" s="142" t="s">
        <v>2374</v>
      </c>
      <c r="AS115" s="57" t="str">
        <f t="shared" si="17"/>
        <v>03</v>
      </c>
      <c r="AT115" s="141" t="str">
        <f t="shared" si="18"/>
        <v>PLAN CINCO CCPP (C) Manuel Casana 7 - Presupuesto pendiente de adjudicación</v>
      </c>
      <c r="AU115" s="141" t="str">
        <f t="shared" ca="1" si="19"/>
        <v>Estimado/a Sr/Sra:
Desde Instalaciones Araujo nos ponemos en contacto con ud, en relación con el Presupuesto de individualización de contadores de agua que le facilitamos el pasado 00/01/1900 para la CCPP (C) Manuel Casana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15" s="257" t="str">
        <f t="shared" ca="1" si="20"/>
        <v>Estimado/a Sr/Sra:
Desde Instalaciones Araujo nos ponemos en contacto con ud, en relación con el Presupuesto de individualización de contadores de agua que le facilitamos el pasado {FECHA_PTO} para la CCPP (C) Manuel Casana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15" s="257" t="str">
        <f t="shared" si="21"/>
        <v>Estimado/a Sr/Sra:
Desde Instalaciones Araujo nos ponemos en contacto con ud, en relación con el Presupuesto de individualización de contadores de agua que le facilitamos el pasado {FECHA_PTO} para la CCPP (C) Manuel Casana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15" s="141" t="s">
        <v>1410</v>
      </c>
      <c r="AY115" s="142"/>
    </row>
    <row r="116" spans="1:51" s="262" customFormat="1" x14ac:dyDescent="0.25">
      <c r="A116" s="64" t="s">
        <v>2162</v>
      </c>
      <c r="B116" s="64" t="s">
        <v>2287</v>
      </c>
      <c r="C116" s="61" t="s">
        <v>2129</v>
      </c>
      <c r="D116" s="43" t="s">
        <v>1965</v>
      </c>
      <c r="E116" s="201">
        <v>623023023</v>
      </c>
      <c r="F116" s="43" t="s">
        <v>1966</v>
      </c>
      <c r="G116" s="43" t="s">
        <v>0</v>
      </c>
      <c r="H116" s="201" t="s">
        <v>0</v>
      </c>
      <c r="I116" s="43" t="s">
        <v>0</v>
      </c>
      <c r="J116" s="44">
        <v>45806</v>
      </c>
      <c r="K116" s="44">
        <v>45903</v>
      </c>
      <c r="L116" s="44">
        <v>45904</v>
      </c>
      <c r="M116" s="44"/>
      <c r="N116" s="127" t="s">
        <v>0</v>
      </c>
      <c r="O116" s="128" t="s">
        <v>2105</v>
      </c>
      <c r="P116" s="126" t="s">
        <v>2107</v>
      </c>
      <c r="Q116" s="65"/>
      <c r="R116" s="65"/>
      <c r="S116" s="65"/>
      <c r="T116" s="65"/>
      <c r="U116" s="65"/>
      <c r="V116" s="46">
        <f t="shared" ca="1" si="14"/>
        <v>0</v>
      </c>
      <c r="W116" s="47">
        <f t="shared" ca="1" si="15"/>
        <v>0</v>
      </c>
      <c r="X116" s="47" t="str">
        <f t="shared" ca="1" si="22"/>
        <v xml:space="preserve">PENDIENTE </v>
      </c>
      <c r="Y116" s="47">
        <f t="shared" ca="1" si="16"/>
        <v>0</v>
      </c>
      <c r="Z116" s="227" t="str">
        <f t="shared" ca="1" si="23"/>
        <v xml:space="preserve">PENDIENTE </v>
      </c>
      <c r="AA116" s="66"/>
      <c r="AB116" s="67">
        <v>18</v>
      </c>
      <c r="AC116" s="68"/>
      <c r="AD116" s="69"/>
      <c r="AE116" s="70">
        <v>22869.01</v>
      </c>
      <c r="AF116" s="71">
        <v>8033.58</v>
      </c>
      <c r="AG116" s="71"/>
      <c r="AH116" s="72">
        <v>6781.54</v>
      </c>
      <c r="AI116" s="73"/>
      <c r="AJ116" s="71">
        <f>AE116-AF116-AH116-150</f>
        <v>7903.8899999999985</v>
      </c>
      <c r="AK116" s="71"/>
      <c r="AL116" s="71"/>
      <c r="AM116" s="70"/>
      <c r="AN116" s="74"/>
      <c r="AO116" s="278"/>
      <c r="AP116" s="144" t="str">
        <f t="shared" ca="1" si="24"/>
        <v/>
      </c>
      <c r="AQ116" s="142" t="s">
        <v>2381</v>
      </c>
      <c r="AR116" s="142" t="s">
        <v>2374</v>
      </c>
      <c r="AS116" s="57" t="str">
        <f t="shared" si="17"/>
        <v>---</v>
      </c>
      <c r="AT116" s="141" t="str">
        <f t="shared" si="18"/>
        <v xml:space="preserve">PLAN CINCO CCPP (C) Mar Caspio 3 - </v>
      </c>
      <c r="AU116" s="141" t="str">
        <f t="shared" ca="1" si="19"/>
        <v/>
      </c>
      <c r="AV116" s="257" t="str">
        <f t="shared" ca="1" si="20"/>
        <v/>
      </c>
      <c r="AW116" s="257" t="str">
        <f t="shared" si="21"/>
        <v/>
      </c>
      <c r="AX116" s="141" t="s">
        <v>1410</v>
      </c>
      <c r="AY116" s="142"/>
    </row>
    <row r="117" spans="1:51" s="262" customFormat="1" x14ac:dyDescent="0.25">
      <c r="A117" s="75" t="s">
        <v>2162</v>
      </c>
      <c r="B117" s="75" t="s">
        <v>2296</v>
      </c>
      <c r="C117" s="61" t="s">
        <v>2129</v>
      </c>
      <c r="D117" s="43" t="s">
        <v>1967</v>
      </c>
      <c r="E117" s="201">
        <v>699970368</v>
      </c>
      <c r="F117" s="43" t="s">
        <v>1968</v>
      </c>
      <c r="G117" s="203" t="s">
        <v>2156</v>
      </c>
      <c r="H117" s="203" t="s">
        <v>0</v>
      </c>
      <c r="I117" s="122" t="s">
        <v>0</v>
      </c>
      <c r="J117" s="44">
        <v>45826</v>
      </c>
      <c r="K117" s="44">
        <v>45828</v>
      </c>
      <c r="L117" s="44">
        <v>45831</v>
      </c>
      <c r="M117" s="44"/>
      <c r="N117" s="127" t="s">
        <v>0</v>
      </c>
      <c r="O117" s="128" t="s">
        <v>0</v>
      </c>
      <c r="P117" s="126" t="s">
        <v>2529</v>
      </c>
      <c r="Q117" s="95" t="s">
        <v>0</v>
      </c>
      <c r="R117" s="95" t="s">
        <v>0</v>
      </c>
      <c r="S117" s="95" t="s">
        <v>0</v>
      </c>
      <c r="T117" s="95" t="s">
        <v>0</v>
      </c>
      <c r="U117" s="95" t="s">
        <v>0</v>
      </c>
      <c r="V117" s="46" t="str">
        <f t="shared" ca="1" si="14"/>
        <v>F</v>
      </c>
      <c r="W117" s="47">
        <f t="shared" ca="1" si="15"/>
        <v>0.85714285714285721</v>
      </c>
      <c r="X117" s="47" t="str">
        <f t="shared" ca="1" si="22"/>
        <v>PENDIENTE -PRESUPUESTO</v>
      </c>
      <c r="Y117" s="47">
        <f t="shared" ca="1" si="16"/>
        <v>0</v>
      </c>
      <c r="Z117" s="227" t="str">
        <f t="shared" ca="1" si="23"/>
        <v>PENDIENTE -PISO-PISO-PISO-PISO-PISO-PISO-PISO-PISO-PISO-PISO-PISO-PISO-PISO-PISO-PISO-PISO-PISO-PISO-PISO-PISO-PISO-PISO-PISO-PISO-PISO-PISO-PISO-PISO-PISO-PISO-PISO-PISO-PISO-PISO-PISO-PISO-PISO-PISO-PISO-PISO</v>
      </c>
      <c r="AA117" s="66" t="s">
        <v>7</v>
      </c>
      <c r="AB117" s="67"/>
      <c r="AC117" s="68"/>
      <c r="AD117" s="69"/>
      <c r="AE117" s="70">
        <v>27575</v>
      </c>
      <c r="AF117" s="71">
        <v>13722.24</v>
      </c>
      <c r="AG117" s="71">
        <f>AF117</f>
        <v>13722.24</v>
      </c>
      <c r="AH117" s="72">
        <v>8250</v>
      </c>
      <c r="AI117" s="73">
        <f>AH117</f>
        <v>8250</v>
      </c>
      <c r="AJ117" s="71">
        <f>AE117-AF117-AH117</f>
        <v>5602.76</v>
      </c>
      <c r="AK117" s="71">
        <f>AE117-AG117-AI117</f>
        <v>5602.76</v>
      </c>
      <c r="AL117" s="71">
        <f>AK117-AJ117</f>
        <v>0</v>
      </c>
      <c r="AM117" s="70">
        <f>AK117*0.2</f>
        <v>1120.5520000000001</v>
      </c>
      <c r="AN117" s="74"/>
      <c r="AO117" s="278"/>
      <c r="AP117" s="144" t="str">
        <f t="shared" ca="1" si="24"/>
        <v/>
      </c>
      <c r="AQ117" s="142" t="s">
        <v>2381</v>
      </c>
      <c r="AR117" s="142" t="s">
        <v>2374</v>
      </c>
      <c r="AS117" s="57" t="str">
        <f t="shared" si="17"/>
        <v>---</v>
      </c>
      <c r="AT117" s="141" t="str">
        <f t="shared" si="18"/>
        <v xml:space="preserve">PLAN CINCO CCPP (C) Mar de Alborán 14 - </v>
      </c>
      <c r="AU117" s="141" t="str">
        <f t="shared" ca="1" si="19"/>
        <v/>
      </c>
      <c r="AV117" s="257" t="str">
        <f t="shared" ca="1" si="20"/>
        <v/>
      </c>
      <c r="AW117" s="257" t="str">
        <f t="shared" si="21"/>
        <v/>
      </c>
      <c r="AX117" s="141" t="s">
        <v>1410</v>
      </c>
      <c r="AY117" s="142"/>
    </row>
    <row r="118" spans="1:51" s="262" customFormat="1" x14ac:dyDescent="0.25">
      <c r="A118" s="64" t="s">
        <v>2162</v>
      </c>
      <c r="B118" s="64" t="s">
        <v>2289</v>
      </c>
      <c r="C118" s="61" t="s">
        <v>2129</v>
      </c>
      <c r="D118" s="43" t="s">
        <v>2110</v>
      </c>
      <c r="E118" s="201">
        <v>676417975</v>
      </c>
      <c r="F118" s="43" t="s">
        <v>1865</v>
      </c>
      <c r="G118" s="43" t="s">
        <v>1854</v>
      </c>
      <c r="H118" s="201">
        <v>667396691</v>
      </c>
      <c r="I118" s="43" t="s">
        <v>0</v>
      </c>
      <c r="J118" s="44">
        <v>45904</v>
      </c>
      <c r="K118" s="44">
        <v>45909</v>
      </c>
      <c r="L118" s="44">
        <v>45912</v>
      </c>
      <c r="M118" s="44"/>
      <c r="N118" s="127" t="s">
        <v>0</v>
      </c>
      <c r="O118" s="128" t="s">
        <v>2105</v>
      </c>
      <c r="P118" s="126" t="s">
        <v>2107</v>
      </c>
      <c r="Q118" s="65"/>
      <c r="R118" s="65"/>
      <c r="S118" s="65"/>
      <c r="T118" s="65"/>
      <c r="U118" s="65"/>
      <c r="V118" s="46">
        <f t="shared" ca="1" si="14"/>
        <v>0</v>
      </c>
      <c r="W118" s="47">
        <f t="shared" ca="1" si="15"/>
        <v>0</v>
      </c>
      <c r="X118" s="47" t="str">
        <f t="shared" ca="1" si="22"/>
        <v xml:space="preserve">PENDIENTE </v>
      </c>
      <c r="Y118" s="47">
        <f t="shared" ca="1" si="16"/>
        <v>0</v>
      </c>
      <c r="Z118" s="227" t="str">
        <f t="shared" ca="1" si="23"/>
        <v xml:space="preserve">PENDIENTE </v>
      </c>
      <c r="AA118" s="66"/>
      <c r="AB118" s="67">
        <v>21.2</v>
      </c>
      <c r="AC118" s="68"/>
      <c r="AD118" s="69"/>
      <c r="AE118" s="70">
        <v>22182.6</v>
      </c>
      <c r="AF118" s="71">
        <v>9449.6299999999992</v>
      </c>
      <c r="AG118" s="71"/>
      <c r="AH118" s="72">
        <v>5502.04</v>
      </c>
      <c r="AI118" s="73"/>
      <c r="AJ118" s="71">
        <f>AE118-AF118-AH118-150</f>
        <v>7080.9299999999994</v>
      </c>
      <c r="AK118" s="71"/>
      <c r="AL118" s="71"/>
      <c r="AM118" s="70"/>
      <c r="AN118" s="74"/>
      <c r="AO118" s="278"/>
      <c r="AP118" s="144" t="str">
        <f t="shared" ca="1" si="24"/>
        <v/>
      </c>
      <c r="AQ118" s="142" t="s">
        <v>2381</v>
      </c>
      <c r="AR118" s="142" t="s">
        <v>2374</v>
      </c>
      <c r="AS118" s="57" t="str">
        <f t="shared" si="17"/>
        <v>---</v>
      </c>
      <c r="AT118" s="141" t="str">
        <f t="shared" si="18"/>
        <v xml:space="preserve">PLAN CINCO CCPP (C) Mar Egeo 7 - </v>
      </c>
      <c r="AU118" s="141" t="str">
        <f t="shared" ca="1" si="19"/>
        <v/>
      </c>
      <c r="AV118" s="257" t="str">
        <f t="shared" ca="1" si="20"/>
        <v/>
      </c>
      <c r="AW118" s="257" t="str">
        <f t="shared" si="21"/>
        <v/>
      </c>
      <c r="AX118" s="141" t="s">
        <v>1410</v>
      </c>
      <c r="AY118" s="142"/>
    </row>
    <row r="119" spans="1:51" s="262" customFormat="1" x14ac:dyDescent="0.25">
      <c r="A119" s="64" t="s">
        <v>2162</v>
      </c>
      <c r="B119" s="64" t="s">
        <v>2297</v>
      </c>
      <c r="C119" s="61" t="s">
        <v>2129</v>
      </c>
      <c r="D119" s="43" t="s">
        <v>1969</v>
      </c>
      <c r="E119" s="201">
        <v>954658582</v>
      </c>
      <c r="F119" s="263" t="s">
        <v>1970</v>
      </c>
      <c r="G119" s="43" t="s">
        <v>0</v>
      </c>
      <c r="H119" s="201" t="s">
        <v>0</v>
      </c>
      <c r="I119" s="43" t="s">
        <v>0</v>
      </c>
      <c r="J119" s="44">
        <v>45957</v>
      </c>
      <c r="K119" s="44"/>
      <c r="L119" s="44"/>
      <c r="M119" s="44"/>
      <c r="N119" s="127">
        <v>46157</v>
      </c>
      <c r="O119" s="128" t="s">
        <v>2133</v>
      </c>
      <c r="P119" s="126" t="s">
        <v>2514</v>
      </c>
      <c r="Q119" s="65"/>
      <c r="R119" s="65"/>
      <c r="S119" s="65"/>
      <c r="T119" s="65"/>
      <c r="U119" s="65"/>
      <c r="V119" s="46">
        <f t="shared" ca="1" si="14"/>
        <v>0</v>
      </c>
      <c r="W119" s="47">
        <f t="shared" ca="1" si="15"/>
        <v>0</v>
      </c>
      <c r="X119" s="47" t="str">
        <f t="shared" ca="1" si="22"/>
        <v xml:space="preserve">PENDIENTE </v>
      </c>
      <c r="Y119" s="47">
        <f t="shared" ca="1" si="16"/>
        <v>0</v>
      </c>
      <c r="Z119" s="227" t="str">
        <f t="shared" ca="1" si="23"/>
        <v xml:space="preserve">PENDIENTE </v>
      </c>
      <c r="AA119" s="124"/>
      <c r="AB119" s="67"/>
      <c r="AC119" s="68"/>
      <c r="AD119" s="69"/>
      <c r="AE119" s="70"/>
      <c r="AF119" s="71"/>
      <c r="AG119" s="71"/>
      <c r="AH119" s="72"/>
      <c r="AI119" s="73"/>
      <c r="AJ119" s="71"/>
      <c r="AK119" s="71"/>
      <c r="AL119" s="71"/>
      <c r="AM119" s="70"/>
      <c r="AN119" s="74"/>
      <c r="AO119" s="278"/>
      <c r="AP119" s="144" t="str">
        <f t="shared" ca="1" si="24"/>
        <v/>
      </c>
      <c r="AQ119" s="142" t="s">
        <v>2381</v>
      </c>
      <c r="AR119" s="142" t="s">
        <v>2374</v>
      </c>
      <c r="AS119" s="57" t="str">
        <f t="shared" si="17"/>
        <v>01</v>
      </c>
      <c r="AT119" s="141" t="str">
        <f t="shared" si="18"/>
        <v>PLAN CINCO CCPP (C) Marqués del Nervión 114-1 - Solicitud de documentación para presupuestar</v>
      </c>
      <c r="AU119" s="141" t="str">
        <f t="shared" ca="1" si="19"/>
        <v>Estimado/a Sr/Sra:
Gracias por contactar con Instalaciones Araujo para valorar la individualización de contadores de agua en la CCPP (C) Marqués del Nervión 114-1.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19" s="257" t="str">
        <f t="shared" ca="1" si="20"/>
        <v>Estimado/a Sr/Sra:
Gracias por contactar con Instalaciones Araujo para valorar la individualización de contadores de agua en la CCPP (C) Marqués del Nervión 114-1.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19" s="257" t="str">
        <f t="shared" si="21"/>
        <v>Estimado/a Sr/Sra:
Gracias por contactar con Instalaciones Araujo para valorar la individualización de contadores de agua en la CCPP (C) Marqués del Nervión 114-1.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19" s="141" t="s">
        <v>1410</v>
      </c>
      <c r="AY119" s="142"/>
    </row>
    <row r="120" spans="1:51" s="262" customFormat="1" x14ac:dyDescent="0.25">
      <c r="A120" s="64" t="s">
        <v>2162</v>
      </c>
      <c r="B120" s="64" t="s">
        <v>2299</v>
      </c>
      <c r="C120" s="61" t="s">
        <v>2129</v>
      </c>
      <c r="D120" s="43" t="s">
        <v>1971</v>
      </c>
      <c r="E120" s="201">
        <v>954214057</v>
      </c>
      <c r="F120" s="43" t="s">
        <v>1972</v>
      </c>
      <c r="G120" s="43" t="s">
        <v>1973</v>
      </c>
      <c r="H120" s="201">
        <v>609793814</v>
      </c>
      <c r="I120" s="43" t="s">
        <v>0</v>
      </c>
      <c r="J120" s="44">
        <v>45950</v>
      </c>
      <c r="K120" s="44">
        <v>46079</v>
      </c>
      <c r="L120" s="44">
        <v>46085</v>
      </c>
      <c r="M120" s="44"/>
      <c r="N120" s="127">
        <v>46157</v>
      </c>
      <c r="O120" s="128" t="s">
        <v>2485</v>
      </c>
      <c r="P120" s="126" t="s">
        <v>2522</v>
      </c>
      <c r="Q120" s="65"/>
      <c r="R120" s="65"/>
      <c r="S120" s="65"/>
      <c r="T120" s="65"/>
      <c r="U120" s="65"/>
      <c r="V120" s="46">
        <f t="shared" ca="1" si="14"/>
        <v>0</v>
      </c>
      <c r="W120" s="47">
        <f t="shared" ca="1" si="15"/>
        <v>0</v>
      </c>
      <c r="X120" s="47" t="str">
        <f t="shared" ca="1" si="22"/>
        <v xml:space="preserve">PENDIENTE </v>
      </c>
      <c r="Y120" s="47">
        <f t="shared" ca="1" si="16"/>
        <v>0</v>
      </c>
      <c r="Z120" s="227" t="str">
        <f t="shared" ca="1" si="23"/>
        <v xml:space="preserve">PENDIENTE </v>
      </c>
      <c r="AA120" s="66"/>
      <c r="AB120" s="67">
        <v>28</v>
      </c>
      <c r="AC120" s="68"/>
      <c r="AD120" s="69"/>
      <c r="AE120" s="70">
        <v>40878.463266350089</v>
      </c>
      <c r="AF120" s="71">
        <v>12504.725</v>
      </c>
      <c r="AG120" s="71"/>
      <c r="AH120" s="72">
        <v>12463.56</v>
      </c>
      <c r="AI120" s="73"/>
      <c r="AJ120" s="71">
        <f>AE120-AF120-AH120-264</f>
        <v>15646.178266350091</v>
      </c>
      <c r="AK120" s="71"/>
      <c r="AL120" s="71"/>
      <c r="AM120" s="70"/>
      <c r="AN120" s="74"/>
      <c r="AO120" s="278"/>
      <c r="AP120" s="144" t="str">
        <f t="shared" ca="1" si="24"/>
        <v/>
      </c>
      <c r="AQ120" s="142" t="s">
        <v>2381</v>
      </c>
      <c r="AR120" s="142" t="s">
        <v>2374</v>
      </c>
      <c r="AS120" s="57" t="str">
        <f t="shared" si="17"/>
        <v>03</v>
      </c>
      <c r="AT120" s="141" t="str">
        <f t="shared" si="18"/>
        <v>PLAN CINCO CCPP (C) Mayo 2 - Presupuesto pendiente de adjudicación</v>
      </c>
      <c r="AU120" s="141" t="str">
        <f t="shared" ca="1" si="19"/>
        <v>Estimado/a Sr/Sra:
Desde Instalaciones Araujo nos ponemos en contacto con ud, en relación con el Presupuesto de individualización de contadores de agua que le facilitamos el pasado 00/01/1900 para la CCPP (C) Mayo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20" s="257" t="str">
        <f t="shared" ca="1" si="20"/>
        <v>Estimado/a Sr/Sra:
Desde Instalaciones Araujo nos ponemos en contacto con ud, en relación con el Presupuesto de individualización de contadores de agua que le facilitamos el pasado {FECHA_PTO} para la CCPP (C) Mayo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20" s="257" t="str">
        <f t="shared" si="21"/>
        <v>Estimado/a Sr/Sra:
Desde Instalaciones Araujo nos ponemos en contacto con ud, en relación con el Presupuesto de individualización de contadores de agua que le facilitamos el pasado {FECHA_PTO} para la CCPP (C) Mayo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20" s="141" t="s">
        <v>1410</v>
      </c>
      <c r="AY120" s="142"/>
    </row>
    <row r="121" spans="1:51" s="262" customFormat="1" x14ac:dyDescent="0.25">
      <c r="A121" s="64" t="s">
        <v>2162</v>
      </c>
      <c r="B121" s="64" t="s">
        <v>2300</v>
      </c>
      <c r="C121" s="61" t="s">
        <v>2129</v>
      </c>
      <c r="D121" s="43" t="s">
        <v>1910</v>
      </c>
      <c r="E121" s="201">
        <v>744615257</v>
      </c>
      <c r="F121" s="263" t="s">
        <v>1974</v>
      </c>
      <c r="G121" s="43" t="s">
        <v>1933</v>
      </c>
      <c r="H121" s="201">
        <v>669484749</v>
      </c>
      <c r="I121" s="43" t="s">
        <v>0</v>
      </c>
      <c r="J121" s="44">
        <v>45992</v>
      </c>
      <c r="K121" s="44"/>
      <c r="L121" s="44"/>
      <c r="M121" s="44"/>
      <c r="N121" s="127"/>
      <c r="O121" s="128" t="s">
        <v>2432</v>
      </c>
      <c r="P121" s="129" t="s">
        <v>2098</v>
      </c>
      <c r="Q121" s="65"/>
      <c r="R121" s="65"/>
      <c r="S121" s="65"/>
      <c r="T121" s="65"/>
      <c r="U121" s="65"/>
      <c r="V121" s="46">
        <f t="shared" ca="1" si="14"/>
        <v>0</v>
      </c>
      <c r="W121" s="47">
        <f t="shared" ca="1" si="15"/>
        <v>0</v>
      </c>
      <c r="X121" s="47" t="str">
        <f t="shared" ca="1" si="22"/>
        <v xml:space="preserve">PENDIENTE </v>
      </c>
      <c r="Y121" s="47">
        <f t="shared" ca="1" si="16"/>
        <v>0</v>
      </c>
      <c r="Z121" s="227" t="str">
        <f t="shared" ca="1" si="23"/>
        <v xml:space="preserve">PENDIENTE </v>
      </c>
      <c r="AA121" s="124"/>
      <c r="AB121" s="67"/>
      <c r="AC121" s="68"/>
      <c r="AD121" s="69"/>
      <c r="AE121" s="70"/>
      <c r="AF121" s="71"/>
      <c r="AG121" s="71"/>
      <c r="AH121" s="72"/>
      <c r="AI121" s="73"/>
      <c r="AJ121" s="71"/>
      <c r="AK121" s="71"/>
      <c r="AL121" s="71"/>
      <c r="AM121" s="70"/>
      <c r="AN121" s="74"/>
      <c r="AO121" s="278"/>
      <c r="AP121" s="144" t="str">
        <f t="shared" ca="1" si="24"/>
        <v/>
      </c>
      <c r="AQ121" s="142" t="s">
        <v>2381</v>
      </c>
      <c r="AR121" s="142" t="s">
        <v>2374</v>
      </c>
      <c r="AS121" s="57" t="str">
        <f t="shared" si="17"/>
        <v>---</v>
      </c>
      <c r="AT121" s="141" t="str">
        <f t="shared" si="18"/>
        <v xml:space="preserve">PLAN CINCO CCPP (C) Mejorana 10 - </v>
      </c>
      <c r="AU121" s="141" t="str">
        <f t="shared" ca="1" si="19"/>
        <v/>
      </c>
      <c r="AV121" s="257" t="str">
        <f t="shared" ca="1" si="20"/>
        <v/>
      </c>
      <c r="AW121" s="257" t="str">
        <f t="shared" si="21"/>
        <v/>
      </c>
      <c r="AX121" s="141" t="s">
        <v>1410</v>
      </c>
      <c r="AY121" s="142"/>
    </row>
    <row r="122" spans="1:51" s="262" customFormat="1" x14ac:dyDescent="0.25">
      <c r="A122" s="75" t="s">
        <v>2162</v>
      </c>
      <c r="B122" s="75" t="s">
        <v>2301</v>
      </c>
      <c r="C122" s="42" t="s">
        <v>2129</v>
      </c>
      <c r="D122" s="43" t="s">
        <v>903</v>
      </c>
      <c r="E122" s="201">
        <v>954214057</v>
      </c>
      <c r="F122" s="43" t="s">
        <v>1975</v>
      </c>
      <c r="G122" s="43" t="s">
        <v>0</v>
      </c>
      <c r="H122" s="201" t="s">
        <v>0</v>
      </c>
      <c r="I122" s="43" t="s">
        <v>0</v>
      </c>
      <c r="J122" s="44">
        <v>45811</v>
      </c>
      <c r="K122" s="44">
        <v>45812</v>
      </c>
      <c r="L122" s="44">
        <v>45819</v>
      </c>
      <c r="M122" s="44"/>
      <c r="N122" s="127" t="s">
        <v>0</v>
      </c>
      <c r="O122" s="128" t="s">
        <v>0</v>
      </c>
      <c r="P122" s="126" t="s">
        <v>2099</v>
      </c>
      <c r="Q122" s="65">
        <v>45868</v>
      </c>
      <c r="R122" s="65">
        <v>46024</v>
      </c>
      <c r="S122" s="65">
        <v>45975</v>
      </c>
      <c r="T122" s="65">
        <v>46044</v>
      </c>
      <c r="U122" s="65">
        <v>46107</v>
      </c>
      <c r="V122" s="46" t="str">
        <f t="shared" ca="1" si="14"/>
        <v>OK</v>
      </c>
      <c r="W122" s="47">
        <f t="shared" ca="1" si="15"/>
        <v>1</v>
      </c>
      <c r="X122" s="47" t="str">
        <f t="shared" ca="1" si="22"/>
        <v>COMPLETO</v>
      </c>
      <c r="Y122" s="47">
        <f t="shared" ca="1" si="16"/>
        <v>1</v>
      </c>
      <c r="Z122" s="227" t="str">
        <f t="shared" ca="1" si="23"/>
        <v>COMPLETO</v>
      </c>
      <c r="AA122" s="66" t="s">
        <v>53</v>
      </c>
      <c r="AB122" s="67">
        <v>14.8</v>
      </c>
      <c r="AC122" s="68">
        <f>AB122</f>
        <v>14.8</v>
      </c>
      <c r="AD122" s="69">
        <f>1-(AC122/AB122)</f>
        <v>0</v>
      </c>
      <c r="AE122" s="70">
        <v>16925.240000000002</v>
      </c>
      <c r="AF122" s="71">
        <v>6606.38</v>
      </c>
      <c r="AG122" s="71">
        <f>AF122</f>
        <v>6606.38</v>
      </c>
      <c r="AH122" s="72">
        <v>4012.03</v>
      </c>
      <c r="AI122" s="73">
        <f>AH122</f>
        <v>4012.03</v>
      </c>
      <c r="AJ122" s="71">
        <f>AE122-AF122-AH122-150</f>
        <v>6156.83</v>
      </c>
      <c r="AK122" s="71">
        <f>AE122-AG122-AI122</f>
        <v>6306.83</v>
      </c>
      <c r="AL122" s="71">
        <f>AK122-AJ122</f>
        <v>150</v>
      </c>
      <c r="AM122" s="70">
        <f>AK122*0.2</f>
        <v>1261.366</v>
      </c>
      <c r="AN122" s="74"/>
      <c r="AO122" s="278"/>
      <c r="AP122" s="144" t="str">
        <f t="shared" ca="1" si="24"/>
        <v/>
      </c>
      <c r="AQ122" s="142" t="s">
        <v>2381</v>
      </c>
      <c r="AR122" s="142" t="s">
        <v>2374</v>
      </c>
      <c r="AS122" s="57" t="str">
        <f t="shared" si="17"/>
        <v>---</v>
      </c>
      <c r="AT122" s="141" t="str">
        <f t="shared" si="18"/>
        <v xml:space="preserve">PLAN CINCO CCPP (C) Miguel Cid 62 - </v>
      </c>
      <c r="AU122" s="141" t="str">
        <f t="shared" ca="1" si="19"/>
        <v/>
      </c>
      <c r="AV122" s="257" t="str">
        <f t="shared" ca="1" si="20"/>
        <v/>
      </c>
      <c r="AW122" s="257" t="str">
        <f t="shared" si="21"/>
        <v/>
      </c>
      <c r="AX122" s="141" t="s">
        <v>1410</v>
      </c>
      <c r="AY122" s="142"/>
    </row>
    <row r="123" spans="1:51" s="262" customFormat="1" x14ac:dyDescent="0.25">
      <c r="A123" s="75" t="s">
        <v>2162</v>
      </c>
      <c r="B123" s="75" t="s">
        <v>2304</v>
      </c>
      <c r="C123" s="42" t="s">
        <v>2129</v>
      </c>
      <c r="D123" s="43" t="s">
        <v>2097</v>
      </c>
      <c r="E123" s="201">
        <v>661949634</v>
      </c>
      <c r="F123" s="43" t="s">
        <v>1921</v>
      </c>
      <c r="G123" s="43" t="s">
        <v>1976</v>
      </c>
      <c r="H123" s="201">
        <v>672736523</v>
      </c>
      <c r="I123" s="43" t="s">
        <v>1977</v>
      </c>
      <c r="J123" s="44">
        <v>45876</v>
      </c>
      <c r="K123" s="44">
        <v>45889</v>
      </c>
      <c r="L123" s="44">
        <v>45891</v>
      </c>
      <c r="M123" s="44"/>
      <c r="N123" s="127">
        <f>Q123+29+14+7+22+2+3+2+15+5</f>
        <v>46147</v>
      </c>
      <c r="O123" s="199" t="s">
        <v>2597</v>
      </c>
      <c r="P123" s="126" t="s">
        <v>2521</v>
      </c>
      <c r="Q123" s="65">
        <v>46048</v>
      </c>
      <c r="R123" s="65" t="s">
        <v>609</v>
      </c>
      <c r="S123" s="65"/>
      <c r="T123" s="65"/>
      <c r="U123" s="65"/>
      <c r="V123" s="46" t="str">
        <f t="shared" ca="1" si="14"/>
        <v>OK</v>
      </c>
      <c r="W123" s="47">
        <f t="shared" ca="1" si="15"/>
        <v>0.7142857142857143</v>
      </c>
      <c r="X123" s="47" t="str">
        <f t="shared" ca="1" si="22"/>
        <v>PENDIENTE -TOMA DE DATOS-RENUNCIA GRUPO PRESION</v>
      </c>
      <c r="Y123" s="47">
        <f t="shared" ca="1" si="16"/>
        <v>1</v>
      </c>
      <c r="Z123" s="227" t="str">
        <f t="shared" ca="1" si="23"/>
        <v>COMPLETO</v>
      </c>
      <c r="AA123" s="66" t="s">
        <v>53</v>
      </c>
      <c r="AB123" s="67">
        <v>6.4</v>
      </c>
      <c r="AC123" s="68">
        <f>AB123</f>
        <v>6.4</v>
      </c>
      <c r="AD123" s="69">
        <f>1-(AC123/AB123)</f>
        <v>0</v>
      </c>
      <c r="AE123" s="70">
        <v>9160.2999999999993</v>
      </c>
      <c r="AF123" s="71">
        <v>3251.13</v>
      </c>
      <c r="AG123" s="71">
        <f>AF123</f>
        <v>3251.13</v>
      </c>
      <c r="AH123" s="72">
        <v>2793.76</v>
      </c>
      <c r="AI123" s="73">
        <f>AH123</f>
        <v>2793.76</v>
      </c>
      <c r="AJ123" s="71">
        <f>AE123-AF123-AH123-150</f>
        <v>2965.4099999999989</v>
      </c>
      <c r="AK123" s="71">
        <f>AE123-AG123-AI123</f>
        <v>3115.4099999999989</v>
      </c>
      <c r="AL123" s="71">
        <f>AK123-AJ123</f>
        <v>150</v>
      </c>
      <c r="AM123" s="70">
        <f>AK123*0.2</f>
        <v>623.08199999999988</v>
      </c>
      <c r="AN123" s="74"/>
      <c r="AO123" s="278"/>
      <c r="AP123" s="144" t="str">
        <f t="shared" ca="1" si="24"/>
        <v/>
      </c>
      <c r="AQ123" s="142" t="s">
        <v>2381</v>
      </c>
      <c r="AR123" s="142" t="s">
        <v>2374</v>
      </c>
      <c r="AS123" s="57" t="str">
        <f t="shared" si="17"/>
        <v>05</v>
      </c>
      <c r="AT123" s="141" t="str">
        <f t="shared" si="18"/>
        <v>PLAN CINCO CCPP (C) Mijares 3 - Proceso de Documentación</v>
      </c>
      <c r="AU123" s="141" t="str">
        <f t="shared" ca="1" si="19"/>
        <v>Estimado/a Sr/Sra:
Nos ponemos en contacto desde Instalaciones Araujo, la empresa encargada para la individualización de contadores de agua en la CCPP (C) Mijares 3, agradeciéndole la confianza depositada en nosotros.
Le comunicamos que con fecha 26/01/2026 solicitamos a la CCPP la entrega de la documentación necesaria para iniciar la tramitación del expediente con EMASESA.
Para su conocimiento, le informamos que, hasta la fecha, hemos recibido el {100%} de la documentación.
DOCUMENTACION DE LA CCPP:  PENDIENTE -TOMA DE DATOS-RENUNCIA GRUPO PRESION
DOCUMENTACION DE LAS VIVIENDAS: COMPLETO
Le mantendremos informado, rogándole que igualmente informe de este particular a los propietarios con la fecha limite de envío 15/02/2026.
Comunicación confidencial conforme al RGPD y la LOPDGDD, en el marco del contrato suscrito con la CCPP.
***ROGAMOS CONFIRMACION DE RECEPCION***
Quedamos a su disposición para resolver cualquier duda
Atentamente, Instalaciones Araujo</v>
      </c>
      <c r="AV123" s="257" t="str">
        <f t="shared" ca="1" si="20"/>
        <v>Estimado/a Sr/Sra:
Nos ponemos en contacto desde Instalaciones Araujo, la empresa encargada para la individualización de contadores de agua en la CCPP (C) Mijares 3, agradeciéndole la confianza depositada en nosotros.
Le comunicamos que con fecha 26/01/2026 solicitamos a la CCPP la entrega de la documentación necesaria para iniciar la tramitación del expediente con EMASESA.
Para su conocimiento, le informamos que, hasta la fecha, hemos recibido el {100%} de la documentación.
DOCUMENTACION DE LA CCPP:  {DOC_CCPP}
DOCUMENTACION DE LAS VIVIENDAS: {DOC_PISOS}
Le mantendremos informado, rogándole que igualmente informe de este particular a los propietarios con la fecha limite de envío 15/02/2026.
Comunicación confidencial conforme al RGPD y la LOPDGDD, en el marco del contrato suscrito con la CCPP.
***ROGAMOS CONFIRMACION DE RECEPCION***
Quedamos a su disposición para resolver cualquier duda
Atentamente, Instalaciones Araujo</v>
      </c>
      <c r="AW123" s="257" t="str">
        <f t="shared" si="21"/>
        <v>Estimado/a Sr/Sra:
Nos ponemos en contacto desde Instalaciones Araujo, la empresa encargada para la individualización de contadores de agua en la CCPP (C) Mijares 3, agradeciéndole la confianza depositada en nosotros.
Le comunicamos que con fecha 26/01/2026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15/02/2026.
Comunicación confidencial conforme al RGPD y la LOPDGDD, en el marco del contrato suscrito con la CCPP.
***ROGAMOS CONFIRMACION DE RECEPCION***
Quedamos a su disposición para resolver cualquier duda
Atentamente, Instalaciones Araujo</v>
      </c>
      <c r="AX123" s="141" t="s">
        <v>1410</v>
      </c>
      <c r="AY123" s="142"/>
    </row>
    <row r="124" spans="1:51" s="262" customFormat="1" x14ac:dyDescent="0.25">
      <c r="A124" s="64" t="s">
        <v>2172</v>
      </c>
      <c r="B124" s="64" t="s">
        <v>2305</v>
      </c>
      <c r="C124" s="61" t="s">
        <v>2129</v>
      </c>
      <c r="D124" s="43" t="s">
        <v>1978</v>
      </c>
      <c r="E124" s="201">
        <v>616490731</v>
      </c>
      <c r="F124" s="43" t="s">
        <v>1979</v>
      </c>
      <c r="G124" s="203" t="s">
        <v>2156</v>
      </c>
      <c r="H124" s="203" t="s">
        <v>0</v>
      </c>
      <c r="I124" s="122" t="s">
        <v>0</v>
      </c>
      <c r="J124" s="44">
        <v>45860</v>
      </c>
      <c r="K124" s="44">
        <v>45874</v>
      </c>
      <c r="L124" s="44">
        <v>45874</v>
      </c>
      <c r="M124" s="44"/>
      <c r="N124" s="127">
        <v>46157</v>
      </c>
      <c r="O124" s="128" t="s">
        <v>2103</v>
      </c>
      <c r="P124" s="129" t="s">
        <v>2522</v>
      </c>
      <c r="Q124" s="65"/>
      <c r="R124" s="65"/>
      <c r="S124" s="65"/>
      <c r="T124" s="65"/>
      <c r="U124" s="65"/>
      <c r="V124" s="46">
        <f t="shared" ca="1" si="14"/>
        <v>0</v>
      </c>
      <c r="W124" s="47">
        <f t="shared" ca="1" si="15"/>
        <v>0</v>
      </c>
      <c r="X124" s="47" t="str">
        <f t="shared" ca="1" si="22"/>
        <v xml:space="preserve">PENDIENTE </v>
      </c>
      <c r="Y124" s="47">
        <f t="shared" ca="1" si="16"/>
        <v>0</v>
      </c>
      <c r="Z124" s="227" t="str">
        <f t="shared" ca="1" si="23"/>
        <v xml:space="preserve">PENDIENTE </v>
      </c>
      <c r="AA124" s="66"/>
      <c r="AB124" s="67">
        <v>6.8</v>
      </c>
      <c r="AC124" s="68"/>
      <c r="AD124" s="69"/>
      <c r="AE124" s="70">
        <v>8657.9534597216643</v>
      </c>
      <c r="AF124" s="71">
        <v>3032.8</v>
      </c>
      <c r="AG124" s="71"/>
      <c r="AH124" s="72">
        <v>2610.61</v>
      </c>
      <c r="AI124" s="73"/>
      <c r="AJ124" s="71">
        <f>AE124-AF124-AH124-150</f>
        <v>2864.543459721664</v>
      </c>
      <c r="AK124" s="71"/>
      <c r="AL124" s="71"/>
      <c r="AM124" s="70"/>
      <c r="AN124" s="74"/>
      <c r="AO124" s="278"/>
      <c r="AP124" s="144" t="str">
        <f t="shared" ca="1" si="24"/>
        <v/>
      </c>
      <c r="AQ124" s="142" t="s">
        <v>2381</v>
      </c>
      <c r="AR124" s="142" t="s">
        <v>2374</v>
      </c>
      <c r="AS124" s="57" t="str">
        <f t="shared" si="17"/>
        <v>03</v>
      </c>
      <c r="AT124" s="141" t="str">
        <f t="shared" si="18"/>
        <v>PLAN CINCO CCPP (Pz El) Mirabrás 1 - Presupuesto pendiente de adjudicación</v>
      </c>
      <c r="AU124" s="141" t="str">
        <f t="shared" ca="1" si="19"/>
        <v>Estimado/a Sr/Sra:
Desde Instalaciones Araujo nos ponemos en contacto con ud, en relación con el Presupuesto de individualización de contadores de agua que le facilitamos el pasado 00/01/1900 para la CCPP (Pz El) Mirabrás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24" s="257" t="str">
        <f t="shared" ca="1" si="20"/>
        <v>Estimado/a Sr/Sra:
Desde Instalaciones Araujo nos ponemos en contacto con ud, en relación con el Presupuesto de individualización de contadores de agua que le facilitamos el pasado {FECHA_PTO} para la CCPP (Pz El) Mirabrás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24" s="257" t="str">
        <f t="shared" si="21"/>
        <v>Estimado/a Sr/Sra:
Desde Instalaciones Araujo nos ponemos en contacto con ud, en relación con el Presupuesto de individualización de contadores de agua que le facilitamos el pasado {FECHA_PTO} para la CCPP (Pz El) Mirabrás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24" s="141" t="s">
        <v>1410</v>
      </c>
      <c r="AY124" s="142"/>
    </row>
    <row r="125" spans="1:51" s="262" customFormat="1" x14ac:dyDescent="0.25">
      <c r="A125" s="75" t="s">
        <v>2162</v>
      </c>
      <c r="B125" s="75" t="s">
        <v>2307</v>
      </c>
      <c r="C125" s="61" t="s">
        <v>2129</v>
      </c>
      <c r="D125" s="43" t="s">
        <v>1743</v>
      </c>
      <c r="E125" s="201">
        <v>627384156</v>
      </c>
      <c r="F125" s="43" t="s">
        <v>1980</v>
      </c>
      <c r="G125" s="43" t="s">
        <v>1981</v>
      </c>
      <c r="H125" s="201">
        <v>672097512</v>
      </c>
      <c r="I125" s="43" t="s">
        <v>0</v>
      </c>
      <c r="J125" s="44">
        <v>45806</v>
      </c>
      <c r="K125" s="44">
        <v>45807</v>
      </c>
      <c r="L125" s="44">
        <v>45819</v>
      </c>
      <c r="M125" s="44"/>
      <c r="N125" s="127">
        <f>Q125+17+17+5</f>
        <v>46147</v>
      </c>
      <c r="O125" s="128" t="s">
        <v>2596</v>
      </c>
      <c r="P125" s="126" t="s">
        <v>2521</v>
      </c>
      <c r="Q125" s="65">
        <v>46108</v>
      </c>
      <c r="R125" s="65" t="s">
        <v>609</v>
      </c>
      <c r="S125" s="65"/>
      <c r="T125" s="65"/>
      <c r="U125" s="65"/>
      <c r="V125" s="46" t="str">
        <f t="shared" ca="1" si="14"/>
        <v>OK</v>
      </c>
      <c r="W125" s="47">
        <f t="shared" ca="1" si="15"/>
        <v>1</v>
      </c>
      <c r="X125" s="47" t="str">
        <f t="shared" ca="1" si="22"/>
        <v>COMPLETO</v>
      </c>
      <c r="Y125" s="47">
        <f t="shared" ca="1" si="16"/>
        <v>0.8</v>
      </c>
      <c r="Z125" s="227" t="str">
        <f t="shared" ca="1" si="23"/>
        <v>PENDIENTE -(0IZDA-LOCAL)-(4IZDA)</v>
      </c>
      <c r="AA125" s="66" t="s">
        <v>2443</v>
      </c>
      <c r="AB125" s="67">
        <v>10</v>
      </c>
      <c r="AC125" s="68">
        <f>AB125</f>
        <v>10</v>
      </c>
      <c r="AD125" s="96">
        <f>1-(AC125/AB125)</f>
        <v>0</v>
      </c>
      <c r="AE125" s="70">
        <v>12004.52</v>
      </c>
      <c r="AF125" s="71">
        <v>4476.7299999999996</v>
      </c>
      <c r="AG125" s="71">
        <f>AF125</f>
        <v>4476.7299999999996</v>
      </c>
      <c r="AH125" s="72">
        <v>3302.22</v>
      </c>
      <c r="AI125" s="73">
        <f>AH125</f>
        <v>3302.22</v>
      </c>
      <c r="AJ125" s="71">
        <f>AE125-AF125-AH125-180</f>
        <v>4045.5700000000015</v>
      </c>
      <c r="AK125" s="89">
        <f>AE125-AG125-AI125</f>
        <v>4225.5700000000015</v>
      </c>
      <c r="AL125" s="89">
        <f>AK125-AJ125</f>
        <v>180</v>
      </c>
      <c r="AM125" s="88">
        <f>AK125*0.2</f>
        <v>845.11400000000037</v>
      </c>
      <c r="AN125" s="74"/>
      <c r="AO125" s="278"/>
      <c r="AP125" s="144" t="str">
        <f t="shared" ca="1" si="24"/>
        <v/>
      </c>
      <c r="AQ125" s="142" t="s">
        <v>2381</v>
      </c>
      <c r="AR125" s="142" t="s">
        <v>2374</v>
      </c>
      <c r="AS125" s="57" t="str">
        <f t="shared" si="17"/>
        <v>05</v>
      </c>
      <c r="AT125" s="141" t="str">
        <f t="shared" si="18"/>
        <v>PLAN CINCO CCPP (C) Moncayo 6 - Proceso de Documentación</v>
      </c>
      <c r="AU125" s="141" t="str">
        <f t="shared" ca="1" si="19"/>
        <v>Estimado/a Sr/Sra:
Nos ponemos en contacto desde Instalaciones Araujo, la empresa encargada para la individualización de contadores de agua en la CCPP (C) Moncayo 6, agradeciéndole la confianza depositada en nosotros.
Le comunicamos que con fecha 27/03/2026 solicitamos a la CCPP la entrega de la documentación necesaria para iniciar la tramitación del expediente con EMASESA.
Para su conocimiento, le informamos que, hasta la fecha, hemos recibido el {80%} de la documentación.
DOCUMENTACION DE LA CCPP:  COMPLETO
DOCUMENTACION DE LAS VIVIENDAS: PENDIENTE -(0IZDA-LOCAL)-(4IZDA)
Le mantendremos informado, rogándole que igualmente informe de este particular a los propietarios con la fecha limite de envío 16/04/2026.
Comunicación confidencial conforme al RGPD y la LOPDGDD, en el marco del contrato suscrito con la CCPP.
***ROGAMOS CONFIRMACION DE RECEPCION***
Quedamos a su disposición para resolver cualquier duda
Atentamente, Instalaciones Araujo</v>
      </c>
      <c r="AV125" s="257" t="str">
        <f t="shared" ca="1" si="20"/>
        <v>Estimado/a Sr/Sra:
Nos ponemos en contacto desde Instalaciones Araujo, la empresa encargada para la individualización de contadores de agua en la CCPP (C) Moncayo 6, agradeciéndole la confianza depositada en nosotros.
Le comunicamos que con fecha 27/03/2026 solicitamos a la CCPP la entrega de la documentación necesaria para iniciar la tramitación del expediente con EMASESA.
Para su conocimiento, le informamos que, hasta la fecha, hemos recibido el {80%} de la documentación.
DOCUMENTACION DE LA CCPP:  {DOC_CCPP}
DOCUMENTACION DE LAS VIVIENDAS: {DOC_PISOS}
Le mantendremos informado, rogándole que igualmente informe de este particular a los propietarios con la fecha limite de envío 16/04/2026.
Comunicación confidencial conforme al RGPD y la LOPDGDD, en el marco del contrato suscrito con la CCPP.
***ROGAMOS CONFIRMACION DE RECEPCION***
Quedamos a su disposición para resolver cualquier duda
Atentamente, Instalaciones Araujo</v>
      </c>
      <c r="AW125" s="257" t="str">
        <f t="shared" si="21"/>
        <v>Estimado/a Sr/Sra:
Nos ponemos en contacto desde Instalaciones Araujo, la empresa encargada para la individualización de contadores de agua en la CCPP (C) Moncayo 6, agradeciéndole la confianza depositada en nosotros.
Le comunicamos que con fecha 27/03/2026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16/04/2026.
Comunicación confidencial conforme al RGPD y la LOPDGDD, en el marco del contrato suscrito con la CCPP.
***ROGAMOS CONFIRMACION DE RECEPCION***
Quedamos a su disposición para resolver cualquier duda
Atentamente, Instalaciones Araujo</v>
      </c>
      <c r="AX125" s="141" t="s">
        <v>1410</v>
      </c>
      <c r="AY125" s="142"/>
    </row>
    <row r="126" spans="1:51" s="262" customFormat="1" x14ac:dyDescent="0.25">
      <c r="A126" s="64" t="s">
        <v>2173</v>
      </c>
      <c r="B126" s="64" t="s">
        <v>2308</v>
      </c>
      <c r="C126" s="61" t="s">
        <v>2129</v>
      </c>
      <c r="D126" s="43" t="s">
        <v>1417</v>
      </c>
      <c r="E126" s="201">
        <v>656315210</v>
      </c>
      <c r="F126" s="43" t="s">
        <v>1811</v>
      </c>
      <c r="G126" s="43" t="s">
        <v>1982</v>
      </c>
      <c r="H126" s="201">
        <v>695715559</v>
      </c>
      <c r="I126" s="43" t="s">
        <v>0</v>
      </c>
      <c r="J126" s="44">
        <v>45847</v>
      </c>
      <c r="K126" s="44">
        <v>45874</v>
      </c>
      <c r="L126" s="44">
        <v>45875</v>
      </c>
      <c r="M126" s="44"/>
      <c r="N126" s="127">
        <v>46157</v>
      </c>
      <c r="O126" s="128" t="s">
        <v>2103</v>
      </c>
      <c r="P126" s="129" t="s">
        <v>2522</v>
      </c>
      <c r="Q126" s="65"/>
      <c r="R126" s="65"/>
      <c r="S126" s="65"/>
      <c r="T126" s="65"/>
      <c r="U126" s="65"/>
      <c r="V126" s="46">
        <f t="shared" ca="1" si="14"/>
        <v>0</v>
      </c>
      <c r="W126" s="47">
        <f t="shared" ca="1" si="15"/>
        <v>0</v>
      </c>
      <c r="X126" s="47" t="str">
        <f t="shared" ca="1" si="22"/>
        <v xml:space="preserve">PENDIENTE </v>
      </c>
      <c r="Y126" s="47">
        <f t="shared" ca="1" si="16"/>
        <v>0</v>
      </c>
      <c r="Z126" s="227" t="str">
        <f t="shared" ca="1" si="23"/>
        <v xml:space="preserve">PENDIENTE </v>
      </c>
      <c r="AA126" s="66"/>
      <c r="AB126" s="67">
        <v>16.2</v>
      </c>
      <c r="AC126" s="68"/>
      <c r="AD126" s="69"/>
      <c r="AE126" s="70">
        <v>16808.811977142141</v>
      </c>
      <c r="AF126" s="71">
        <v>7219.625</v>
      </c>
      <c r="AG126" s="71"/>
      <c r="AH126" s="72">
        <v>4247.01</v>
      </c>
      <c r="AI126" s="73"/>
      <c r="AJ126" s="71">
        <f t="shared" ref="AJ126:AJ131" si="26">AE126-AF126-AH126-150</f>
        <v>5192.1769771421405</v>
      </c>
      <c r="AK126" s="71"/>
      <c r="AL126" s="71"/>
      <c r="AM126" s="70"/>
      <c r="AN126" s="74"/>
      <c r="AO126" s="278"/>
      <c r="AP126" s="144" t="str">
        <f t="shared" ca="1" si="24"/>
        <v/>
      </c>
      <c r="AQ126" s="142" t="s">
        <v>2381</v>
      </c>
      <c r="AR126" s="142" t="s">
        <v>2374</v>
      </c>
      <c r="AS126" s="57" t="str">
        <f t="shared" si="17"/>
        <v>03</v>
      </c>
      <c r="AT126" s="141" t="str">
        <f t="shared" si="18"/>
        <v>PLAN CINCO CCPP (Pz de las) Monjas 4 - Presupuesto pendiente de adjudicación</v>
      </c>
      <c r="AU126" s="141" t="str">
        <f t="shared" ca="1" si="19"/>
        <v>Estimado/a Sr/Sra:
Desde Instalaciones Araujo nos ponemos en contacto con ud, en relación con el Presupuesto de individualización de contadores de agua que le facilitamos el pasado 00/01/1900 para la CCPP (Pz de las) Monjas 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26" s="257" t="str">
        <f t="shared" ca="1" si="20"/>
        <v>Estimado/a Sr/Sra:
Desde Instalaciones Araujo nos ponemos en contacto con ud, en relación con el Presupuesto de individualización de contadores de agua que le facilitamos el pasado {FECHA_PTO} para la CCPP (Pz de las) Monjas 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26" s="257" t="str">
        <f t="shared" si="21"/>
        <v>Estimado/a Sr/Sra:
Desde Instalaciones Araujo nos ponemos en contacto con ud, en relación con el Presupuesto de individualización de contadores de agua que le facilitamos el pasado {FECHA_PTO} para la CCPP (Pz de las) Monjas 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26" s="141" t="s">
        <v>1410</v>
      </c>
      <c r="AY126" s="142"/>
    </row>
    <row r="127" spans="1:51" s="262" customFormat="1" x14ac:dyDescent="0.25">
      <c r="A127" s="64" t="s">
        <v>2162</v>
      </c>
      <c r="B127" s="64" t="s">
        <v>2298</v>
      </c>
      <c r="C127" s="61" t="s">
        <v>2129</v>
      </c>
      <c r="D127" s="43" t="s">
        <v>1825</v>
      </c>
      <c r="E127" s="201">
        <v>676059612</v>
      </c>
      <c r="F127" s="43" t="s">
        <v>1826</v>
      </c>
      <c r="G127" s="43" t="s">
        <v>0</v>
      </c>
      <c r="H127" s="201" t="s">
        <v>0</v>
      </c>
      <c r="I127" s="43" t="s">
        <v>0</v>
      </c>
      <c r="J127" s="44">
        <v>45737</v>
      </c>
      <c r="K127" s="44">
        <v>45800</v>
      </c>
      <c r="L127" s="44">
        <v>45806</v>
      </c>
      <c r="M127" s="44"/>
      <c r="N127" s="127" t="s">
        <v>0</v>
      </c>
      <c r="O127" s="128" t="s">
        <v>2105</v>
      </c>
      <c r="P127" s="129" t="s">
        <v>2107</v>
      </c>
      <c r="Q127" s="65"/>
      <c r="R127" s="65"/>
      <c r="S127" s="65"/>
      <c r="T127" s="65"/>
      <c r="U127" s="65"/>
      <c r="V127" s="46">
        <f t="shared" ca="1" si="14"/>
        <v>0</v>
      </c>
      <c r="W127" s="47">
        <f t="shared" ca="1" si="15"/>
        <v>0</v>
      </c>
      <c r="X127" s="47" t="str">
        <f t="shared" ca="1" si="22"/>
        <v xml:space="preserve">PENDIENTE </v>
      </c>
      <c r="Y127" s="47">
        <f t="shared" ca="1" si="16"/>
        <v>0</v>
      </c>
      <c r="Z127" s="227" t="str">
        <f t="shared" ca="1" si="23"/>
        <v xml:space="preserve">PENDIENTE </v>
      </c>
      <c r="AA127" s="66"/>
      <c r="AB127" s="67">
        <v>17</v>
      </c>
      <c r="AC127" s="68"/>
      <c r="AD127" s="69"/>
      <c r="AE127" s="70">
        <v>13967.07</v>
      </c>
      <c r="AF127" s="71">
        <v>7576.43</v>
      </c>
      <c r="AG127" s="71"/>
      <c r="AH127" s="72">
        <v>2662.79</v>
      </c>
      <c r="AI127" s="73"/>
      <c r="AJ127" s="71">
        <f t="shared" si="26"/>
        <v>3577.8499999999995</v>
      </c>
      <c r="AK127" s="71"/>
      <c r="AL127" s="71"/>
      <c r="AM127" s="70"/>
      <c r="AN127" s="74"/>
      <c r="AO127" s="278"/>
      <c r="AP127" s="144" t="str">
        <f t="shared" ca="1" si="24"/>
        <v/>
      </c>
      <c r="AQ127" s="142" t="s">
        <v>2381</v>
      </c>
      <c r="AR127" s="142" t="s">
        <v>2374</v>
      </c>
      <c r="AS127" s="57" t="str">
        <f t="shared" si="17"/>
        <v>---</v>
      </c>
      <c r="AT127" s="141" t="str">
        <f t="shared" si="18"/>
        <v xml:space="preserve">PLAN CINCO CCPP (C) Morería 3 - </v>
      </c>
      <c r="AU127" s="141" t="str">
        <f t="shared" ca="1" si="19"/>
        <v/>
      </c>
      <c r="AV127" s="257" t="str">
        <f t="shared" ca="1" si="20"/>
        <v/>
      </c>
      <c r="AW127" s="257" t="str">
        <f t="shared" si="21"/>
        <v/>
      </c>
      <c r="AX127" s="141" t="s">
        <v>1410</v>
      </c>
      <c r="AY127" s="142"/>
    </row>
    <row r="128" spans="1:51" s="262" customFormat="1" x14ac:dyDescent="0.25">
      <c r="A128" s="64" t="s">
        <v>2162</v>
      </c>
      <c r="B128" s="64" t="s">
        <v>2309</v>
      </c>
      <c r="C128" s="61" t="s">
        <v>2129</v>
      </c>
      <c r="D128" s="43" t="s">
        <v>1984</v>
      </c>
      <c r="E128" s="201">
        <v>699493916</v>
      </c>
      <c r="F128" s="43" t="s">
        <v>1985</v>
      </c>
      <c r="G128" s="203" t="s">
        <v>2156</v>
      </c>
      <c r="H128" s="203" t="s">
        <v>0</v>
      </c>
      <c r="I128" s="122" t="s">
        <v>0</v>
      </c>
      <c r="J128" s="44">
        <v>45933</v>
      </c>
      <c r="K128" s="44">
        <v>45937</v>
      </c>
      <c r="L128" s="44">
        <v>45940</v>
      </c>
      <c r="M128" s="44"/>
      <c r="N128" s="127">
        <v>46157</v>
      </c>
      <c r="O128" s="128" t="s">
        <v>2103</v>
      </c>
      <c r="P128" s="129" t="s">
        <v>2522</v>
      </c>
      <c r="Q128" s="65"/>
      <c r="R128" s="65"/>
      <c r="S128" s="65"/>
      <c r="T128" s="65"/>
      <c r="U128" s="65"/>
      <c r="V128" s="46">
        <f t="shared" ca="1" si="14"/>
        <v>0</v>
      </c>
      <c r="W128" s="47">
        <f t="shared" ca="1" si="15"/>
        <v>0</v>
      </c>
      <c r="X128" s="47" t="str">
        <f t="shared" ca="1" si="22"/>
        <v xml:space="preserve">PENDIENTE </v>
      </c>
      <c r="Y128" s="47">
        <f t="shared" ca="1" si="16"/>
        <v>0</v>
      </c>
      <c r="Z128" s="227" t="str">
        <f t="shared" ca="1" si="23"/>
        <v xml:space="preserve">PENDIENTE </v>
      </c>
      <c r="AA128" s="66"/>
      <c r="AB128" s="67">
        <v>8.5</v>
      </c>
      <c r="AC128" s="68"/>
      <c r="AD128" s="69"/>
      <c r="AE128" s="70">
        <v>10507.700718385095</v>
      </c>
      <c r="AF128" s="71">
        <v>3779.85</v>
      </c>
      <c r="AG128" s="71"/>
      <c r="AH128" s="72">
        <v>3337.89</v>
      </c>
      <c r="AI128" s="73"/>
      <c r="AJ128" s="71">
        <f t="shared" si="26"/>
        <v>3239.9607183850944</v>
      </c>
      <c r="AK128" s="71"/>
      <c r="AL128" s="71"/>
      <c r="AM128" s="70"/>
      <c r="AN128" s="74"/>
      <c r="AO128" s="278"/>
      <c r="AP128" s="144" t="str">
        <f t="shared" ca="1" si="24"/>
        <v/>
      </c>
      <c r="AQ128" s="142" t="s">
        <v>2381</v>
      </c>
      <c r="AR128" s="142" t="s">
        <v>2374</v>
      </c>
      <c r="AS128" s="57" t="str">
        <f t="shared" si="17"/>
        <v>03</v>
      </c>
      <c r="AT128" s="141" t="str">
        <f t="shared" si="18"/>
        <v>PLAN CINCO CCPP (C) Nalón 5 - Presupuesto pendiente de adjudicación</v>
      </c>
      <c r="AU128" s="141" t="str">
        <f t="shared" ca="1" si="19"/>
        <v>Estimado/a Sr/Sra:
Desde Instalaciones Araujo nos ponemos en contacto con ud, en relación con el Presupuesto de individualización de contadores de agua que le facilitamos el pasado 00/01/1900 para la CCPP (C) Nalón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28" s="257" t="str">
        <f t="shared" ca="1" si="20"/>
        <v>Estimado/a Sr/Sra:
Desde Instalaciones Araujo nos ponemos en contacto con ud, en relación con el Presupuesto de individualización de contadores de agua que le facilitamos el pasado {FECHA_PTO} para la CCPP (C) Nalón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28" s="257" t="str">
        <f t="shared" si="21"/>
        <v>Estimado/a Sr/Sra:
Desde Instalaciones Araujo nos ponemos en contacto con ud, en relación con el Presupuesto de individualización de contadores de agua que le facilitamos el pasado {FECHA_PTO} para la CCPP (C) Nalón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28" s="141" t="s">
        <v>1410</v>
      </c>
      <c r="AY128" s="142"/>
    </row>
    <row r="129" spans="1:51" s="262" customFormat="1" x14ac:dyDescent="0.25">
      <c r="A129" s="64" t="s">
        <v>2162</v>
      </c>
      <c r="B129" s="64" t="s">
        <v>2311</v>
      </c>
      <c r="C129" s="61" t="s">
        <v>2129</v>
      </c>
      <c r="D129" s="43" t="s">
        <v>2110</v>
      </c>
      <c r="E129" s="201">
        <v>676417975</v>
      </c>
      <c r="F129" s="43" t="s">
        <v>1865</v>
      </c>
      <c r="G129" s="43" t="s">
        <v>0</v>
      </c>
      <c r="H129" s="201" t="s">
        <v>0</v>
      </c>
      <c r="I129" s="43" t="s">
        <v>0</v>
      </c>
      <c r="J129" s="44">
        <v>45904</v>
      </c>
      <c r="K129" s="44">
        <v>45923</v>
      </c>
      <c r="L129" s="44">
        <v>45929</v>
      </c>
      <c r="M129" s="44"/>
      <c r="N129" s="127">
        <v>46157</v>
      </c>
      <c r="O129" s="128" t="s">
        <v>2111</v>
      </c>
      <c r="P129" s="126" t="s">
        <v>2522</v>
      </c>
      <c r="Q129" s="65"/>
      <c r="R129" s="65"/>
      <c r="S129" s="65"/>
      <c r="T129" s="65"/>
      <c r="U129" s="65"/>
      <c r="V129" s="46">
        <f t="shared" ca="1" si="14"/>
        <v>0</v>
      </c>
      <c r="W129" s="47">
        <f t="shared" ca="1" si="15"/>
        <v>0</v>
      </c>
      <c r="X129" s="47" t="str">
        <f t="shared" ca="1" si="22"/>
        <v xml:space="preserve">PENDIENTE </v>
      </c>
      <c r="Y129" s="47">
        <f t="shared" ca="1" si="16"/>
        <v>0</v>
      </c>
      <c r="Z129" s="227" t="str">
        <f t="shared" ca="1" si="23"/>
        <v xml:space="preserve">PENDIENTE </v>
      </c>
      <c r="AA129" s="66"/>
      <c r="AB129" s="67">
        <v>10.4</v>
      </c>
      <c r="AC129" s="68"/>
      <c r="AD129" s="69"/>
      <c r="AE129" s="70">
        <v>11453.380317360281</v>
      </c>
      <c r="AF129" s="71">
        <v>4628.3649999999998</v>
      </c>
      <c r="AG129" s="71"/>
      <c r="AH129" s="72">
        <v>3251.29</v>
      </c>
      <c r="AI129" s="73"/>
      <c r="AJ129" s="71">
        <f t="shared" si="26"/>
        <v>3423.7253173602812</v>
      </c>
      <c r="AK129" s="71"/>
      <c r="AL129" s="71"/>
      <c r="AM129" s="70"/>
      <c r="AN129" s="74"/>
      <c r="AO129" s="278"/>
      <c r="AP129" s="144" t="str">
        <f t="shared" ca="1" si="24"/>
        <v/>
      </c>
      <c r="AQ129" s="142" t="s">
        <v>2381</v>
      </c>
      <c r="AR129" s="142" t="s">
        <v>2374</v>
      </c>
      <c r="AS129" s="57" t="str">
        <f t="shared" si="17"/>
        <v>03</v>
      </c>
      <c r="AT129" s="141" t="str">
        <f t="shared" si="18"/>
        <v>PLAN CINCO CCPP (C) Naranco 8 - Presupuesto pendiente de adjudicación</v>
      </c>
      <c r="AU129" s="141" t="str">
        <f t="shared" ca="1" si="19"/>
        <v>Estimado/a Sr/Sra:
Desde Instalaciones Araujo nos ponemos en contacto con ud, en relación con el Presupuesto de individualización de contadores de agua que le facilitamos el pasado 00/01/1900 para la CCPP (C) Naranco 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29" s="257" t="str">
        <f t="shared" ca="1" si="20"/>
        <v>Estimado/a Sr/Sra:
Desde Instalaciones Araujo nos ponemos en contacto con ud, en relación con el Presupuesto de individualización de contadores de agua que le facilitamos el pasado {FECHA_PTO} para la CCPP (C) Naranco 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29" s="257" t="str">
        <f t="shared" si="21"/>
        <v>Estimado/a Sr/Sra:
Desde Instalaciones Araujo nos ponemos en contacto con ud, en relación con el Presupuesto de individualización de contadores de agua que le facilitamos el pasado {FECHA_PTO} para la CCPP (C) Naranco 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29" s="141" t="s">
        <v>1410</v>
      </c>
      <c r="AY129" s="142"/>
    </row>
    <row r="130" spans="1:51" s="262" customFormat="1" x14ac:dyDescent="0.25">
      <c r="A130" s="64" t="s">
        <v>2162</v>
      </c>
      <c r="B130" s="64" t="s">
        <v>2312</v>
      </c>
      <c r="C130" s="61" t="s">
        <v>2129</v>
      </c>
      <c r="D130" s="43" t="s">
        <v>1866</v>
      </c>
      <c r="E130" s="201">
        <v>661592498</v>
      </c>
      <c r="F130" s="43" t="s">
        <v>1867</v>
      </c>
      <c r="G130" s="43" t="s">
        <v>1986</v>
      </c>
      <c r="H130" s="201">
        <v>653181842</v>
      </c>
      <c r="I130" s="43" t="s">
        <v>0</v>
      </c>
      <c r="J130" s="44">
        <v>46041</v>
      </c>
      <c r="K130" s="44">
        <v>46042</v>
      </c>
      <c r="L130" s="44">
        <v>46050</v>
      </c>
      <c r="M130" s="44"/>
      <c r="N130" s="127">
        <v>46157</v>
      </c>
      <c r="O130" s="128" t="s">
        <v>2155</v>
      </c>
      <c r="P130" s="126" t="s">
        <v>2522</v>
      </c>
      <c r="Q130" s="65"/>
      <c r="R130" s="65"/>
      <c r="S130" s="65"/>
      <c r="T130" s="65"/>
      <c r="U130" s="65"/>
      <c r="V130" s="46">
        <f t="shared" ca="1" si="14"/>
        <v>0</v>
      </c>
      <c r="W130" s="47">
        <f t="shared" ca="1" si="15"/>
        <v>0</v>
      </c>
      <c r="X130" s="47" t="str">
        <f t="shared" ca="1" si="22"/>
        <v xml:space="preserve">PENDIENTE </v>
      </c>
      <c r="Y130" s="47">
        <f t="shared" ca="1" si="16"/>
        <v>0</v>
      </c>
      <c r="Z130" s="227" t="str">
        <f t="shared" ca="1" si="23"/>
        <v xml:space="preserve">PENDIENTE </v>
      </c>
      <c r="AA130" s="66"/>
      <c r="AB130" s="67">
        <v>25</v>
      </c>
      <c r="AC130" s="68"/>
      <c r="AD130" s="69"/>
      <c r="AE130" s="70">
        <v>29505.773966352372</v>
      </c>
      <c r="AF130" s="71">
        <v>11127.7</v>
      </c>
      <c r="AG130" s="71"/>
      <c r="AH130" s="72">
        <v>7398.93</v>
      </c>
      <c r="AI130" s="73"/>
      <c r="AJ130" s="71">
        <f t="shared" si="26"/>
        <v>10829.143966352371</v>
      </c>
      <c r="AK130" s="71"/>
      <c r="AL130" s="71"/>
      <c r="AM130" s="70"/>
      <c r="AN130" s="74"/>
      <c r="AO130" s="278"/>
      <c r="AP130" s="144" t="str">
        <f t="shared" ca="1" si="24"/>
        <v/>
      </c>
      <c r="AQ130" s="142" t="s">
        <v>2381</v>
      </c>
      <c r="AR130" s="142" t="s">
        <v>2374</v>
      </c>
      <c r="AS130" s="57" t="str">
        <f t="shared" si="17"/>
        <v>03</v>
      </c>
      <c r="AT130" s="141" t="str">
        <f t="shared" si="18"/>
        <v>PLAN CINCO CCPP (C) Nescania 25 - Presupuesto pendiente de adjudicación</v>
      </c>
      <c r="AU130" s="141" t="str">
        <f t="shared" ca="1" si="19"/>
        <v>Estimado/a Sr/Sra:
Desde Instalaciones Araujo nos ponemos en contacto con ud, en relación con el Presupuesto de individualización de contadores de agua que le facilitamos el pasado 00/01/1900 para la CCPP (C) Nescania 25.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30" s="257" t="str">
        <f t="shared" ca="1" si="20"/>
        <v>Estimado/a Sr/Sra:
Desde Instalaciones Araujo nos ponemos en contacto con ud, en relación con el Presupuesto de individualización de contadores de agua que le facilitamos el pasado {FECHA_PTO} para la CCPP (C) Nescania 25.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30" s="257" t="str">
        <f t="shared" si="21"/>
        <v>Estimado/a Sr/Sra:
Desde Instalaciones Araujo nos ponemos en contacto con ud, en relación con el Presupuesto de individualización de contadores de agua que le facilitamos el pasado {FECHA_PTO} para la CCPP (C) Nescania 25.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30" s="141" t="s">
        <v>1410</v>
      </c>
      <c r="AY130" s="142"/>
    </row>
    <row r="131" spans="1:51" s="262" customFormat="1" x14ac:dyDescent="0.25">
      <c r="A131" s="64" t="s">
        <v>2162</v>
      </c>
      <c r="B131" s="64" t="s">
        <v>2302</v>
      </c>
      <c r="C131" s="61" t="s">
        <v>2129</v>
      </c>
      <c r="D131" s="43" t="s">
        <v>228</v>
      </c>
      <c r="E131" s="201">
        <v>646321077</v>
      </c>
      <c r="F131" s="43" t="s">
        <v>1780</v>
      </c>
      <c r="G131" s="43" t="s">
        <v>1987</v>
      </c>
      <c r="H131" s="201">
        <v>747753383</v>
      </c>
      <c r="I131" s="43" t="s">
        <v>0</v>
      </c>
      <c r="J131" s="44">
        <v>46008</v>
      </c>
      <c r="K131" s="44">
        <v>46009</v>
      </c>
      <c r="L131" s="44">
        <v>46011</v>
      </c>
      <c r="M131" s="44"/>
      <c r="N131" s="127" t="s">
        <v>0</v>
      </c>
      <c r="O131" s="128" t="s">
        <v>2105</v>
      </c>
      <c r="P131" s="126" t="s">
        <v>2107</v>
      </c>
      <c r="Q131" s="65"/>
      <c r="R131" s="65"/>
      <c r="S131" s="65"/>
      <c r="T131" s="65"/>
      <c r="U131" s="65"/>
      <c r="V131" s="46">
        <f t="shared" ref="V131:V194" ca="1" si="27">IFERROR(IF(B131="", "", INDIRECT("'" &amp; B131 &amp; "'!M3")),0)</f>
        <v>0</v>
      </c>
      <c r="W131" s="47">
        <f t="shared" ref="W131:W194" ca="1" si="28">IFERROR(IF(B131="", "", INDIRECT("'" &amp; B131 &amp; "'!F3")),0)</f>
        <v>0</v>
      </c>
      <c r="X131" s="47" t="str">
        <f t="shared" ca="1" si="22"/>
        <v xml:space="preserve">PENDIENTE </v>
      </c>
      <c r="Y131" s="47">
        <f t="shared" ref="Y131:Y194" ca="1" si="29">IFERROR(IF(B131="", "", INDIRECT("'" &amp; B131 &amp; "'!F4")),0)</f>
        <v>0</v>
      </c>
      <c r="Z131" s="227" t="str">
        <f t="shared" ca="1" si="23"/>
        <v xml:space="preserve">PENDIENTE </v>
      </c>
      <c r="AA131" s="66"/>
      <c r="AB131" s="67">
        <v>13.4</v>
      </c>
      <c r="AC131" s="68"/>
      <c r="AD131" s="69"/>
      <c r="AE131" s="70">
        <v>14203.56</v>
      </c>
      <c r="AF131" s="71">
        <v>5960.79</v>
      </c>
      <c r="AG131" s="71"/>
      <c r="AH131" s="72">
        <v>3886.28</v>
      </c>
      <c r="AI131" s="73"/>
      <c r="AJ131" s="71">
        <f t="shared" si="26"/>
        <v>4206.49</v>
      </c>
      <c r="AK131" s="71"/>
      <c r="AL131" s="71"/>
      <c r="AM131" s="70"/>
      <c r="AN131" s="74"/>
      <c r="AO131" s="278"/>
      <c r="AP131" s="144" t="str">
        <f t="shared" ca="1" si="24"/>
        <v/>
      </c>
      <c r="AQ131" s="142" t="s">
        <v>2381</v>
      </c>
      <c r="AR131" s="142" t="s">
        <v>2374</v>
      </c>
      <c r="AS131" s="57" t="str">
        <f t="shared" ref="AS131:AS194" si="30">IFERROR(INDEX(Tabla_02_Tipo,MATCH(P131,Tabla_01_Estado,0)),"")</f>
        <v>---</v>
      </c>
      <c r="AT131" s="141" t="str">
        <f t="shared" ref="AT131:AT194" si="31">"PLAN CINCO CCPP "
&amp; IF(A131&lt;&gt;"",A131,"")
&amp; IF(B131&lt;&gt;""," "&amp;B131,"")
&amp; IFERROR(" - "&amp;INDEX(Tabla_03_Asunto,MATCH(AS131,Tabla_02_Tipo,0)),"")</f>
        <v xml:space="preserve">PLAN CINCO CCPP (C) Nicasio Gallego 1 - </v>
      </c>
      <c r="AU131" s="141" t="str">
        <f t="shared" ref="AU131:AU194" ca="1" si="32">IFERROR(
    SUBSTITUTE(
        SUBSTITUTE(
            SUBSTITUTE(
                AV131,
                "{DOC_CCPP}", X131),
            "{DOC_PISOS}", Z131),
        "{FECHA_PTO}", TEXT(M131, "dd/mm/aaaa")),
    ""
)</f>
        <v/>
      </c>
      <c r="AV131" s="257" t="str">
        <f t="shared" ref="AV131:AV194" ca="1" si="33">IFERROR(
    SUBSTITUTE(
        SUBSTITUTE(
            SUBSTITUTE(
                SUBSTITUTE(
                    SUBSTITUTE(
                        AW131,
                        "{FECHA_ENVIO_CYCP}", TEXT(T131, "dd/mm/aaaa")),
                    "{FECHA_RECIBO_CYCP}", TEXT(U131, "dd/mm/aaaa")),
                "{FECHA+10}", TEXT(T131 + 10, "dd/mm/aaaa")),
            "%CCPP", TEXT(W131, "0%")),
        "%PISOS", TEXT(Y131, "0%")),
    ""
)</f>
        <v/>
      </c>
      <c r="AW131" s="257" t="str">
        <f t="shared" ref="AW131:AW194" si="34">IFERROR(
    SUBSTITUTE(
        SUBSTITUTE(
            SUBSTITUTE(
                SUBSTITUTE(
                    SUBSTITUTE(
                        INDEX(Tabla_04_Mensaje, MATCH(AS131, Tabla_02_Tipo, 0)),
                        "{C}", A131),
                    "{CCPP}", B131),
                "{FECHA_ENVIO_DOC}", TEXT(Q131, "dd/mm/aaaa")),
            "{FECHA_RECIBO_DOC}", TEXT(R131, "dd/mm/aaaa")),
        "{FECHA+20}", TEXT(Q131 + 20, "dd/mm/aaaa")
    ),
    ""
)</f>
        <v/>
      </c>
      <c r="AX131" s="141" t="s">
        <v>1410</v>
      </c>
      <c r="AY131" s="142"/>
    </row>
    <row r="132" spans="1:51" s="262" customFormat="1" x14ac:dyDescent="0.25">
      <c r="A132" s="64" t="s">
        <v>2174</v>
      </c>
      <c r="B132" s="64" t="s">
        <v>2303</v>
      </c>
      <c r="C132" s="61">
        <v>32</v>
      </c>
      <c r="D132" s="43" t="s">
        <v>1988</v>
      </c>
      <c r="E132" s="201">
        <v>954932206</v>
      </c>
      <c r="F132" s="43" t="s">
        <v>1952</v>
      </c>
      <c r="G132" s="43" t="s">
        <v>1989</v>
      </c>
      <c r="H132" s="201">
        <v>691374755</v>
      </c>
      <c r="I132" s="43" t="s">
        <v>0</v>
      </c>
      <c r="J132" s="44">
        <v>46050</v>
      </c>
      <c r="K132" s="44">
        <v>46086</v>
      </c>
      <c r="L132" s="44">
        <v>46094</v>
      </c>
      <c r="M132" s="44"/>
      <c r="N132" s="127" t="s">
        <v>0</v>
      </c>
      <c r="O132" s="130" t="s">
        <v>2106</v>
      </c>
      <c r="P132" s="129" t="s">
        <v>2107</v>
      </c>
      <c r="Q132" s="65"/>
      <c r="R132" s="65"/>
      <c r="S132" s="65"/>
      <c r="T132" s="65"/>
      <c r="U132" s="65"/>
      <c r="V132" s="46">
        <f t="shared" ca="1" si="27"/>
        <v>0</v>
      </c>
      <c r="W132" s="47">
        <f t="shared" ca="1" si="28"/>
        <v>0</v>
      </c>
      <c r="X132" s="47" t="str">
        <f t="shared" ref="X132:X194" ca="1" si="35">IF(W132=1,"COMPLETO","PENDIENTE "&amp;
IFERROR(
    IF(INDIRECT("'" &amp; B132 &amp; "'!M3")="F", "-" &amp; "PRESUPUESTO","")&amp;
    IF(INDIRECT("'" &amp; B132 &amp; "'!R3")="F", "-" &amp; "TOMA DE DATOS","")&amp;
    IF(INDIRECT("'" &amp; B132 &amp; "'!T3")="F", "-" &amp; "NIF","")&amp;
    IF(INDIRECT("'" &amp; B132 &amp; "'!I4")="F", "-" &amp; "ACTA NOMBRAMIENTO PRESIDENTE","")&amp;
    IF(INDIRECT("'" &amp; B132 &amp; "'!M4")="F", "-" &amp; "ACTA APROBACION PRESUPUESTO","")&amp;
    IF(INDIRECT("'" &amp; B132 &amp; "'!R4")="F", "-" &amp; "RENUNCIA GRUPO PRESION","")&amp;
    IF(INDIRECT("'" &amp; B132 &amp; "'!T4")="F", "-" &amp; "ULTIMA FACTURA EMASESA","")&amp;
    IF(INDIRECT("'" &amp; B132 &amp; "'!U3")="F", "-" &amp; "CONTRATO FIRMADO","")&amp;
    IF(INDIRECT("'" &amp; B132 &amp; "'!V3")="F", "-" &amp; "JUSTIFICANTE PAGO",""),
"")
)</f>
        <v xml:space="preserve">PENDIENTE </v>
      </c>
      <c r="Y132" s="47">
        <f t="shared" ca="1" si="29"/>
        <v>0</v>
      </c>
      <c r="Z132" s="227" t="str">
        <f t="shared" ref="Z132:Z194" ca="1" si="36">IF(Y132=1,"COMPLETO","PENDIENTE "&amp;
IFERROR(
    IF(INDIRECT("'"&amp;B132&amp;"'!A5")="FALTA","-"&amp;INDIRECT("'"&amp;B132&amp;"'!B5"),"")&amp;
    IF(INDIRECT("'"&amp;B132&amp;"'!A6")="FALTA","-"&amp;INDIRECT("'"&amp;B132&amp;"'!B6"),"")&amp;
    IF(INDIRECT("'"&amp;B132&amp;"'!A7")="FALTA","-"&amp;INDIRECT("'"&amp;B132&amp;"'!B7"),"")&amp;
    IF(INDIRECT("'"&amp;B132&amp;"'!A8")="FALTA","-"&amp;INDIRECT("'"&amp;B132&amp;"'!B8"),"")&amp;
    IF(INDIRECT("'"&amp;B132&amp;"'!A9")="FALTA","-"&amp;INDIRECT("'"&amp;B132&amp;"'!B9"),"")&amp;
    IF(INDIRECT("'"&amp;B132&amp;"'!A10")="FALTA","-"&amp;INDIRECT("'"&amp;B132&amp;"'!B10"),"")&amp;
    IF(INDIRECT("'"&amp;B132&amp;"'!A11")="FALTA","-"&amp;INDIRECT("'"&amp;B132&amp;"'!B11"),"")&amp;
    IF(INDIRECT("'"&amp;B132&amp;"'!A12")="FALTA","-"&amp;INDIRECT("'"&amp;B132&amp;"'!B12"),"")&amp;
    IF(INDIRECT("'"&amp;B132&amp;"'!A13")="FALTA","-"&amp;INDIRECT("'"&amp;B132&amp;"'!B13"),"")&amp;
    IF(INDIRECT("'"&amp;B132&amp;"'!A14")="FALTA","-"&amp;INDIRECT("'"&amp;B132&amp;"'!B14"),"")&amp;
    IF(INDIRECT("'"&amp;B132&amp;"'!A15")="FALTA","-"&amp;INDIRECT("'"&amp;B132&amp;"'!B15"),"")&amp;
    IF(INDIRECT("'"&amp;B132&amp;"'!A16")="FALTA","-"&amp;INDIRECT("'"&amp;B132&amp;"'!B16"),"")&amp;
    IF(INDIRECT("'"&amp;B132&amp;"'!A17")="FALTA","-"&amp;INDIRECT("'"&amp;B132&amp;"'!B17"),"")&amp;
    IF(INDIRECT("'"&amp;B132&amp;"'!A18")="FALTA","-"&amp;INDIRECT("'"&amp;B132&amp;"'!B18"),"")&amp;
    IF(INDIRECT("'"&amp;B132&amp;"'!A19")="FALTA","-"&amp;INDIRECT("'"&amp;B132&amp;"'!B19"),"")&amp;
    IF(INDIRECT("'"&amp;B132&amp;"'!A20")="FALTA","-"&amp;INDIRECT("'"&amp;B132&amp;"'!B20"),"")&amp;
    IF(INDIRECT("'"&amp;B132&amp;"'!A21")="FALTA","-"&amp;INDIRECT("'"&amp;B132&amp;"'!B21"),"")&amp;
    IF(INDIRECT("'"&amp;B132&amp;"'!A22")="FALTA","-"&amp;INDIRECT("'"&amp;B132&amp;"'!B22"),"")&amp;
    IF(INDIRECT("'"&amp;B132&amp;"'!A23")="FALTA","-"&amp;INDIRECT("'"&amp;B132&amp;"'!B23"),"")&amp;
    IF(INDIRECT("'"&amp;B132&amp;"'!A24")="FALTA","-"&amp;INDIRECT("'"&amp;B132&amp;"'!B24"),"")&amp;
    IF(INDIRECT("'"&amp;B132&amp;"'!A25")="FALTA","-"&amp;INDIRECT("'"&amp;B132&amp;"'!B25"),"")&amp;
    IF(INDIRECT("'"&amp;B132&amp;"'!A26")="FALTA","-"&amp;INDIRECT("'"&amp;B132&amp;"'!B26"),"")&amp;
    IF(INDIRECT("'"&amp;B132&amp;"'!A27")="FALTA","-"&amp;INDIRECT("'"&amp;B132&amp;"'!B27"),"")&amp;
    IF(INDIRECT("'"&amp;B132&amp;"'!A28")="FALTA","-"&amp;INDIRECT("'"&amp;B132&amp;"'!B28"),"")&amp;
    IF(INDIRECT("'"&amp;B132&amp;"'!A29")="FALTA","-"&amp;INDIRECT("'"&amp;B132&amp;"'!B29"),"")&amp;
    IF(INDIRECT("'"&amp;B132&amp;"'!A30")="FALTA","-"&amp;INDIRECT("'"&amp;B132&amp;"'!B30"),"")&amp;
    IF(INDIRECT("'"&amp;B132&amp;"'!A31")="FALTA","-"&amp;INDIRECT("'"&amp;B132&amp;"'!B31"),"")&amp;
    IF(INDIRECT("'"&amp;B132&amp;"'!A32")="FALTA","-"&amp;INDIRECT("'"&amp;B132&amp;"'!B32"),"")&amp;
    IF(INDIRECT("'"&amp;B132&amp;"'!A33")="FALTA","-"&amp;INDIRECT("'"&amp;B132&amp;"'!B33"),"")&amp;
    IF(INDIRECT("'"&amp;B132&amp;"'!A34")="FALTA","-"&amp;INDIRECT("'"&amp;B132&amp;"'!B34"),"")&amp;
    IF(INDIRECT("'"&amp;B132&amp;"'!A35")="FALTA","-"&amp;INDIRECT("'"&amp;B132&amp;"'!B35"),"")&amp;
    IF(INDIRECT("'"&amp;B132&amp;"'!A36")="FALTA","-"&amp;INDIRECT("'"&amp;B132&amp;"'!B36"),"")&amp;
    IF(INDIRECT("'"&amp;B132&amp;"'!A37")="FALTA","-"&amp;INDIRECT("'"&amp;B132&amp;"'!B37"),"")&amp;
    IF(INDIRECT("'"&amp;B132&amp;"'!A38")="FALTA","-"&amp;INDIRECT("'"&amp;B132&amp;"'!B38"),"")&amp;
    IF(INDIRECT("'"&amp;B132&amp;"'!A39")="FALTA","-"&amp;INDIRECT("'"&amp;B132&amp;"'!B39"),"")&amp;
    IF(INDIRECT("'"&amp;B132&amp;"'!A40")="FALTA","-"&amp;INDIRECT("'"&amp;B132&amp;"'!B40"),"")&amp;
    IF(INDIRECT("'"&amp;B132&amp;"'!A41")="FALTA","-"&amp;INDIRECT("'"&amp;B132&amp;"'!B41"),"")&amp;
    IF(INDIRECT("'"&amp;B132&amp;"'!A42")="FALTA","-"&amp;INDIRECT("'"&amp;B132&amp;"'!B42"),"")&amp;
    IF(INDIRECT("'"&amp;B132&amp;"'!A43")="FALTA","-"&amp;INDIRECT("'"&amp;B132&amp;"'!B43"),"")&amp;
    IF(INDIRECT("'"&amp;B132&amp;"'!A44")="FALTA","-"&amp;INDIRECT("'"&amp;B132&amp;"'!B44"),""),
""
))</f>
        <v xml:space="preserve">PENDIENTE </v>
      </c>
      <c r="AA132" s="66"/>
      <c r="AB132" s="67">
        <v>8</v>
      </c>
      <c r="AC132" s="68"/>
      <c r="AD132" s="69"/>
      <c r="AE132" s="70">
        <v>9781.32</v>
      </c>
      <c r="AF132" s="71">
        <v>3545.7</v>
      </c>
      <c r="AG132" s="71"/>
      <c r="AH132" s="72">
        <v>2669.38</v>
      </c>
      <c r="AI132" s="73"/>
      <c r="AJ132" s="71">
        <f>AE132-AF132-AH132-177</f>
        <v>3389.24</v>
      </c>
      <c r="AK132" s="71"/>
      <c r="AL132" s="71"/>
      <c r="AM132" s="70"/>
      <c r="AN132" s="74"/>
      <c r="AO132" s="278"/>
      <c r="AP132" s="144" t="str">
        <f t="shared" ref="AP132:AP194" ca="1" si="37">IF(AO132="🔒","NO",IF(AND(ISNUMBER(N132),N132&lt;=TODAY(),AS132&lt;&gt;"---"),"SI",""))</f>
        <v/>
      </c>
      <c r="AQ132" s="142" t="s">
        <v>2381</v>
      </c>
      <c r="AR132" s="142" t="s">
        <v>2374</v>
      </c>
      <c r="AS132" s="57" t="str">
        <f t="shared" si="30"/>
        <v>---</v>
      </c>
      <c r="AT132" s="141" t="str">
        <f t="shared" si="31"/>
        <v xml:space="preserve">PLAN CINCO CCPP (Bª) Nuestra Señora de la Oliva 081 - </v>
      </c>
      <c r="AU132" s="141" t="str">
        <f t="shared" ca="1" si="32"/>
        <v/>
      </c>
      <c r="AV132" s="257" t="str">
        <f t="shared" ca="1" si="33"/>
        <v/>
      </c>
      <c r="AW132" s="257" t="str">
        <f t="shared" si="34"/>
        <v/>
      </c>
      <c r="AX132" s="141" t="s">
        <v>1410</v>
      </c>
      <c r="AY132" s="142"/>
    </row>
    <row r="133" spans="1:51" s="262" customFormat="1" x14ac:dyDescent="0.25">
      <c r="A133" s="64" t="s">
        <v>2174</v>
      </c>
      <c r="B133" s="64" t="s">
        <v>2313</v>
      </c>
      <c r="C133" s="61">
        <v>46</v>
      </c>
      <c r="D133" s="43" t="s">
        <v>1990</v>
      </c>
      <c r="E133" s="201">
        <v>658665235</v>
      </c>
      <c r="F133" s="43" t="s">
        <v>0</v>
      </c>
      <c r="G133" s="203" t="s">
        <v>2156</v>
      </c>
      <c r="H133" s="203" t="s">
        <v>0</v>
      </c>
      <c r="I133" s="122" t="s">
        <v>0</v>
      </c>
      <c r="J133" s="44">
        <v>46085</v>
      </c>
      <c r="K133" s="44">
        <v>46086</v>
      </c>
      <c r="L133" s="44">
        <v>46094</v>
      </c>
      <c r="M133" s="44"/>
      <c r="N133" s="127">
        <v>46157</v>
      </c>
      <c r="O133" s="128" t="s">
        <v>2103</v>
      </c>
      <c r="P133" s="126" t="s">
        <v>2522</v>
      </c>
      <c r="Q133" s="65"/>
      <c r="R133" s="65"/>
      <c r="S133" s="65"/>
      <c r="T133" s="65"/>
      <c r="U133" s="65"/>
      <c r="V133" s="46">
        <f t="shared" ca="1" si="27"/>
        <v>0</v>
      </c>
      <c r="W133" s="47">
        <f t="shared" ca="1" si="28"/>
        <v>0</v>
      </c>
      <c r="X133" s="47" t="str">
        <f t="shared" ca="1" si="35"/>
        <v xml:space="preserve">PENDIENTE </v>
      </c>
      <c r="Y133" s="47">
        <f t="shared" ca="1" si="29"/>
        <v>0</v>
      </c>
      <c r="Z133" s="227" t="str">
        <f t="shared" ca="1" si="36"/>
        <v xml:space="preserve">PENDIENTE </v>
      </c>
      <c r="AA133" s="66"/>
      <c r="AB133" s="67">
        <v>11.3</v>
      </c>
      <c r="AC133" s="68"/>
      <c r="AD133" s="69"/>
      <c r="AE133" s="70">
        <v>12817.592035517608</v>
      </c>
      <c r="AF133" s="71">
        <v>5045.375</v>
      </c>
      <c r="AG133" s="71"/>
      <c r="AH133" s="72">
        <v>3458.38</v>
      </c>
      <c r="AI133" s="73"/>
      <c r="AJ133" s="71">
        <f>AE133-AF133-AH133-177</f>
        <v>4136.8370355176075</v>
      </c>
      <c r="AK133" s="71"/>
      <c r="AL133" s="71"/>
      <c r="AM133" s="70"/>
      <c r="AN133" s="74"/>
      <c r="AO133" s="278"/>
      <c r="AP133" s="144" t="str">
        <f t="shared" ca="1" si="37"/>
        <v/>
      </c>
      <c r="AQ133" s="142" t="s">
        <v>2381</v>
      </c>
      <c r="AR133" s="142" t="s">
        <v>2374</v>
      </c>
      <c r="AS133" s="57" t="str">
        <f t="shared" si="30"/>
        <v>03</v>
      </c>
      <c r="AT133" s="141" t="str">
        <f t="shared" si="31"/>
        <v>PLAN CINCO CCPP (Bª) Nuestra Señora de la Oliva 109 - Presupuesto pendiente de adjudicación</v>
      </c>
      <c r="AU133" s="141" t="str">
        <f t="shared" ca="1" si="32"/>
        <v>Estimado/a Sr/Sra:
Desde Instalaciones Araujo nos ponemos en contacto con ud, en relación con el Presupuesto de individualización de contadores de agua que le facilitamos el pasado 00/01/1900 para la CCPP (Bª) Nuestra Señora de la Oliva 109.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33" s="257" t="str">
        <f t="shared" ca="1" si="33"/>
        <v>Estimado/a Sr/Sra:
Desde Instalaciones Araujo nos ponemos en contacto con ud, en relación con el Presupuesto de individualización de contadores de agua que le facilitamos el pasado {FECHA_PTO} para la CCPP (Bª) Nuestra Señora de la Oliva 109.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33" s="257" t="str">
        <f t="shared" si="34"/>
        <v>Estimado/a Sr/Sra:
Desde Instalaciones Araujo nos ponemos en contacto con ud, en relación con el Presupuesto de individualización de contadores de agua que le facilitamos el pasado {FECHA_PTO} para la CCPP (Bª) Nuestra Señora de la Oliva 109.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33" s="141" t="s">
        <v>1410</v>
      </c>
      <c r="AY133" s="142"/>
    </row>
    <row r="134" spans="1:51" s="262" customFormat="1" x14ac:dyDescent="0.25">
      <c r="A134" s="75" t="s">
        <v>2174</v>
      </c>
      <c r="B134" s="75" t="s">
        <v>2314</v>
      </c>
      <c r="C134" s="61" t="s">
        <v>2129</v>
      </c>
      <c r="D134" s="43" t="s">
        <v>1991</v>
      </c>
      <c r="E134" s="201">
        <v>635970086</v>
      </c>
      <c r="F134" s="43" t="s">
        <v>1992</v>
      </c>
      <c r="G134" s="203" t="s">
        <v>2156</v>
      </c>
      <c r="H134" s="203" t="s">
        <v>0</v>
      </c>
      <c r="I134" s="122" t="s">
        <v>0</v>
      </c>
      <c r="J134" s="44">
        <v>45803</v>
      </c>
      <c r="K134" s="44">
        <v>45805</v>
      </c>
      <c r="L134" s="44">
        <v>45806</v>
      </c>
      <c r="M134" s="44"/>
      <c r="N134" s="149" t="s">
        <v>0</v>
      </c>
      <c r="O134" s="199" t="s">
        <v>2417</v>
      </c>
      <c r="P134" s="129" t="s">
        <v>2107</v>
      </c>
      <c r="Q134" s="65">
        <v>46013</v>
      </c>
      <c r="R134" s="65">
        <v>46076</v>
      </c>
      <c r="S134" s="65">
        <v>46092</v>
      </c>
      <c r="T134" s="65"/>
      <c r="U134" s="65"/>
      <c r="V134" s="46" t="str">
        <f t="shared" ca="1" si="27"/>
        <v>OK</v>
      </c>
      <c r="W134" s="47">
        <f t="shared" ca="1" si="28"/>
        <v>1</v>
      </c>
      <c r="X134" s="47" t="str">
        <f t="shared" ca="1" si="35"/>
        <v>COMPLETO</v>
      </c>
      <c r="Y134" s="47">
        <f t="shared" ca="1" si="29"/>
        <v>1</v>
      </c>
      <c r="Z134" s="227" t="str">
        <f t="shared" ca="1" si="36"/>
        <v>COMPLETO</v>
      </c>
      <c r="AA134" s="66" t="s">
        <v>53</v>
      </c>
      <c r="AB134" s="67"/>
      <c r="AC134" s="68"/>
      <c r="AD134" s="69"/>
      <c r="AE134" s="70">
        <v>13768.467682982944</v>
      </c>
      <c r="AF134" s="71">
        <v>6037.7250000000004</v>
      </c>
      <c r="AG134" s="71"/>
      <c r="AH134" s="72">
        <v>3672.44</v>
      </c>
      <c r="AI134" s="73"/>
      <c r="AJ134" s="71">
        <v>3878.3076829829442</v>
      </c>
      <c r="AK134" s="71"/>
      <c r="AL134" s="71"/>
      <c r="AM134" s="70"/>
      <c r="AN134" s="74"/>
      <c r="AO134" s="278"/>
      <c r="AP134" s="144" t="str">
        <f t="shared" ca="1" si="37"/>
        <v/>
      </c>
      <c r="AQ134" s="142" t="s">
        <v>2381</v>
      </c>
      <c r="AR134" s="142" t="s">
        <v>2374</v>
      </c>
      <c r="AS134" s="57" t="str">
        <f t="shared" si="30"/>
        <v>---</v>
      </c>
      <c r="AT134" s="141" t="str">
        <f t="shared" si="31"/>
        <v xml:space="preserve">PLAN CINCO CCPP (Bª) Nuestra Señora de la Oliva 110 - </v>
      </c>
      <c r="AU134" s="141" t="str">
        <f t="shared" ca="1" si="32"/>
        <v/>
      </c>
      <c r="AV134" s="257" t="str">
        <f t="shared" ca="1" si="33"/>
        <v/>
      </c>
      <c r="AW134" s="257" t="str">
        <f t="shared" si="34"/>
        <v/>
      </c>
      <c r="AX134" s="141" t="s">
        <v>1410</v>
      </c>
      <c r="AY134" s="142"/>
    </row>
    <row r="135" spans="1:51" s="262" customFormat="1" x14ac:dyDescent="0.25">
      <c r="A135" s="64" t="s">
        <v>2174</v>
      </c>
      <c r="B135" s="64" t="s">
        <v>2306</v>
      </c>
      <c r="C135" s="61">
        <v>31</v>
      </c>
      <c r="D135" s="43" t="s">
        <v>1988</v>
      </c>
      <c r="E135" s="201">
        <v>954932206</v>
      </c>
      <c r="F135" s="43" t="s">
        <v>1952</v>
      </c>
      <c r="G135" s="43" t="s">
        <v>1993</v>
      </c>
      <c r="H135" s="201">
        <v>670633686</v>
      </c>
      <c r="I135" s="43" t="s">
        <v>0</v>
      </c>
      <c r="J135" s="44">
        <v>46050</v>
      </c>
      <c r="K135" s="44">
        <v>46086</v>
      </c>
      <c r="L135" s="44">
        <v>46094</v>
      </c>
      <c r="M135" s="44"/>
      <c r="N135" s="127" t="s">
        <v>0</v>
      </c>
      <c r="O135" s="128" t="s">
        <v>2106</v>
      </c>
      <c r="P135" s="126" t="s">
        <v>2107</v>
      </c>
      <c r="Q135" s="65"/>
      <c r="R135" s="65"/>
      <c r="S135" s="65"/>
      <c r="T135" s="65"/>
      <c r="U135" s="65"/>
      <c r="V135" s="46">
        <f t="shared" ca="1" si="27"/>
        <v>0</v>
      </c>
      <c r="W135" s="47">
        <f t="shared" ca="1" si="28"/>
        <v>0</v>
      </c>
      <c r="X135" s="47" t="str">
        <f t="shared" ca="1" si="35"/>
        <v xml:space="preserve">PENDIENTE </v>
      </c>
      <c r="Y135" s="47">
        <f t="shared" ca="1" si="29"/>
        <v>0</v>
      </c>
      <c r="Z135" s="227" t="str">
        <f t="shared" ca="1" si="36"/>
        <v xml:space="preserve">PENDIENTE </v>
      </c>
      <c r="AA135" s="66"/>
      <c r="AB135" s="67">
        <v>9</v>
      </c>
      <c r="AC135" s="68"/>
      <c r="AD135" s="69"/>
      <c r="AE135" s="70">
        <v>10403.540000000001</v>
      </c>
      <c r="AF135" s="71">
        <v>4019.58</v>
      </c>
      <c r="AG135" s="71"/>
      <c r="AH135" s="72">
        <v>2669.38</v>
      </c>
      <c r="AI135" s="73"/>
      <c r="AJ135" s="71">
        <f>AE135-AF135-AH135-177</f>
        <v>3537.5800000000008</v>
      </c>
      <c r="AK135" s="71"/>
      <c r="AL135" s="71"/>
      <c r="AM135" s="70"/>
      <c r="AN135" s="74"/>
      <c r="AO135" s="278"/>
      <c r="AP135" s="144" t="str">
        <f t="shared" ca="1" si="37"/>
        <v/>
      </c>
      <c r="AQ135" s="142" t="s">
        <v>2381</v>
      </c>
      <c r="AR135" s="142" t="s">
        <v>2374</v>
      </c>
      <c r="AS135" s="57" t="str">
        <f t="shared" si="30"/>
        <v>---</v>
      </c>
      <c r="AT135" s="141" t="str">
        <f t="shared" si="31"/>
        <v xml:space="preserve">PLAN CINCO CCPP (Bª) Nuestra Señora de la Oliva 134 - </v>
      </c>
      <c r="AU135" s="141" t="str">
        <f t="shared" ca="1" si="32"/>
        <v/>
      </c>
      <c r="AV135" s="257" t="str">
        <f t="shared" ca="1" si="33"/>
        <v/>
      </c>
      <c r="AW135" s="257" t="str">
        <f t="shared" si="34"/>
        <v/>
      </c>
      <c r="AX135" s="141" t="s">
        <v>1410</v>
      </c>
      <c r="AY135" s="142"/>
    </row>
    <row r="136" spans="1:51" s="262" customFormat="1" x14ac:dyDescent="0.25">
      <c r="A136" s="64" t="s">
        <v>2174</v>
      </c>
      <c r="B136" s="64" t="s">
        <v>2315</v>
      </c>
      <c r="C136" s="61">
        <v>39</v>
      </c>
      <c r="D136" s="43" t="s">
        <v>1988</v>
      </c>
      <c r="E136" s="201">
        <v>954932206</v>
      </c>
      <c r="F136" s="43" t="s">
        <v>1952</v>
      </c>
      <c r="G136" s="43" t="s">
        <v>1994</v>
      </c>
      <c r="H136" s="201">
        <v>659240229</v>
      </c>
      <c r="I136" s="43" t="s">
        <v>0</v>
      </c>
      <c r="J136" s="44">
        <v>46063</v>
      </c>
      <c r="K136" s="44">
        <v>46086</v>
      </c>
      <c r="L136" s="44">
        <v>46094</v>
      </c>
      <c r="M136" s="44"/>
      <c r="N136" s="127">
        <v>46157</v>
      </c>
      <c r="O136" s="128" t="s">
        <v>2108</v>
      </c>
      <c r="P136" s="129" t="s">
        <v>2522</v>
      </c>
      <c r="Q136" s="65"/>
      <c r="R136" s="65"/>
      <c r="S136" s="65"/>
      <c r="T136" s="65"/>
      <c r="U136" s="65"/>
      <c r="V136" s="46">
        <f t="shared" ca="1" si="27"/>
        <v>0</v>
      </c>
      <c r="W136" s="47">
        <f t="shared" ca="1" si="28"/>
        <v>0</v>
      </c>
      <c r="X136" s="47" t="str">
        <f t="shared" ca="1" si="35"/>
        <v xml:space="preserve">PENDIENTE </v>
      </c>
      <c r="Y136" s="47">
        <f t="shared" ca="1" si="29"/>
        <v>0</v>
      </c>
      <c r="Z136" s="227" t="str">
        <f t="shared" ca="1" si="36"/>
        <v xml:space="preserve">PENDIENTE </v>
      </c>
      <c r="AA136" s="66"/>
      <c r="AB136" s="67">
        <v>10</v>
      </c>
      <c r="AC136" s="68"/>
      <c r="AD136" s="69"/>
      <c r="AE136" s="70">
        <v>10867.141070899706</v>
      </c>
      <c r="AF136" s="71">
        <v>4465.5749999999998</v>
      </c>
      <c r="AG136" s="71"/>
      <c r="AH136" s="72">
        <v>2571.1799999999998</v>
      </c>
      <c r="AI136" s="73"/>
      <c r="AJ136" s="71">
        <f>AE136-AF136-AH136-177</f>
        <v>3653.3860708997067</v>
      </c>
      <c r="AK136" s="71"/>
      <c r="AL136" s="71"/>
      <c r="AM136" s="70"/>
      <c r="AN136" s="74"/>
      <c r="AO136" s="278"/>
      <c r="AP136" s="144" t="str">
        <f t="shared" ca="1" si="37"/>
        <v/>
      </c>
      <c r="AQ136" s="142" t="s">
        <v>2381</v>
      </c>
      <c r="AR136" s="142" t="s">
        <v>2374</v>
      </c>
      <c r="AS136" s="57" t="str">
        <f t="shared" si="30"/>
        <v>03</v>
      </c>
      <c r="AT136" s="141" t="str">
        <f t="shared" si="31"/>
        <v>PLAN CINCO CCPP (Bª) Nuestra Señora de la Oliva 137 - Presupuesto pendiente de adjudicación</v>
      </c>
      <c r="AU136" s="141" t="str">
        <f t="shared" ca="1" si="32"/>
        <v>Estimado/a Sr/Sra:
Desde Instalaciones Araujo nos ponemos en contacto con ud, en relación con el Presupuesto de individualización de contadores de agua que le facilitamos el pasado 00/01/1900 para la CCPP (Bª) Nuestra Señora de la Oliva 137.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36" s="257" t="str">
        <f t="shared" ca="1" si="33"/>
        <v>Estimado/a Sr/Sra:
Desde Instalaciones Araujo nos ponemos en contacto con ud, en relación con el Presupuesto de individualización de contadores de agua que le facilitamos el pasado {FECHA_PTO} para la CCPP (Bª) Nuestra Señora de la Oliva 137.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36" s="257" t="str">
        <f t="shared" si="34"/>
        <v>Estimado/a Sr/Sra:
Desde Instalaciones Araujo nos ponemos en contacto con ud, en relación con el Presupuesto de individualización de contadores de agua que le facilitamos el pasado {FECHA_PTO} para la CCPP (Bª) Nuestra Señora de la Oliva 137.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36" s="141" t="s">
        <v>1410</v>
      </c>
      <c r="AY136" s="142"/>
    </row>
    <row r="137" spans="1:51" s="262" customFormat="1" x14ac:dyDescent="0.25">
      <c r="A137" s="75" t="s">
        <v>2174</v>
      </c>
      <c r="B137" s="75" t="s">
        <v>2316</v>
      </c>
      <c r="C137" s="61" t="s">
        <v>2129</v>
      </c>
      <c r="D137" s="43" t="s">
        <v>1995</v>
      </c>
      <c r="E137" s="201">
        <v>607941072</v>
      </c>
      <c r="F137" s="43" t="s">
        <v>1996</v>
      </c>
      <c r="G137" s="43" t="s">
        <v>1997</v>
      </c>
      <c r="H137" s="201">
        <v>615104999</v>
      </c>
      <c r="I137" s="43" t="s">
        <v>0</v>
      </c>
      <c r="J137" s="44">
        <v>45758</v>
      </c>
      <c r="K137" s="44">
        <v>45758</v>
      </c>
      <c r="L137" s="44">
        <v>45776</v>
      </c>
      <c r="M137" s="44"/>
      <c r="N137" s="127" t="s">
        <v>0</v>
      </c>
      <c r="O137" s="128" t="s">
        <v>0</v>
      </c>
      <c r="P137" s="129" t="s">
        <v>2100</v>
      </c>
      <c r="Q137" s="65">
        <v>45853</v>
      </c>
      <c r="R137" s="65">
        <v>46003</v>
      </c>
      <c r="S137" s="65">
        <v>46021</v>
      </c>
      <c r="T137" s="65">
        <v>46059</v>
      </c>
      <c r="U137" s="65">
        <v>38772</v>
      </c>
      <c r="V137" s="46" t="str">
        <f t="shared" ca="1" si="27"/>
        <v>OK</v>
      </c>
      <c r="W137" s="47">
        <f t="shared" ca="1" si="28"/>
        <v>1</v>
      </c>
      <c r="X137" s="47" t="str">
        <f t="shared" ca="1" si="35"/>
        <v>COMPLETO</v>
      </c>
      <c r="Y137" s="47">
        <f t="shared" ca="1" si="29"/>
        <v>1</v>
      </c>
      <c r="Z137" s="227" t="str">
        <f t="shared" ca="1" si="36"/>
        <v>COMPLETO</v>
      </c>
      <c r="AA137" s="66" t="s">
        <v>53</v>
      </c>
      <c r="AB137" s="67">
        <v>7.8</v>
      </c>
      <c r="AC137" s="68">
        <f>12.3/2</f>
        <v>6.15</v>
      </c>
      <c r="AD137" s="69">
        <f>1-(AC137/AB137)</f>
        <v>0.21153846153846145</v>
      </c>
      <c r="AE137" s="88">
        <v>9398.93</v>
      </c>
      <c r="AF137" s="89">
        <v>3484.38</v>
      </c>
      <c r="AG137" s="71">
        <v>2782.52</v>
      </c>
      <c r="AH137" s="72">
        <v>2531.13</v>
      </c>
      <c r="AI137" s="73">
        <f>887.28+465</f>
        <v>1352.28</v>
      </c>
      <c r="AJ137" s="71">
        <f>AE137-AF137-AH137-150</f>
        <v>3233.42</v>
      </c>
      <c r="AK137" s="71">
        <f>AE137-AG137-AI137</f>
        <v>5264.13</v>
      </c>
      <c r="AL137" s="71">
        <f>AK137-AJ137</f>
        <v>2030.71</v>
      </c>
      <c r="AM137" s="70">
        <f>AK137*0.2</f>
        <v>1052.826</v>
      </c>
      <c r="AN137" s="74" t="s">
        <v>609</v>
      </c>
      <c r="AO137" s="278"/>
      <c r="AP137" s="144" t="str">
        <f t="shared" ca="1" si="37"/>
        <v/>
      </c>
      <c r="AQ137" s="142" t="s">
        <v>2381</v>
      </c>
      <c r="AR137" s="142" t="s">
        <v>2374</v>
      </c>
      <c r="AS137" s="57" t="str">
        <f t="shared" si="30"/>
        <v>---</v>
      </c>
      <c r="AT137" s="141" t="str">
        <f t="shared" si="31"/>
        <v xml:space="preserve">PLAN CINCO CCPP (Bª) Nuestra Señora de la Oliva 2 - </v>
      </c>
      <c r="AU137" s="141" t="str">
        <f t="shared" ca="1" si="32"/>
        <v/>
      </c>
      <c r="AV137" s="257" t="str">
        <f t="shared" ca="1" si="33"/>
        <v/>
      </c>
      <c r="AW137" s="257" t="str">
        <f t="shared" si="34"/>
        <v/>
      </c>
      <c r="AX137" s="141" t="s">
        <v>1410</v>
      </c>
      <c r="AY137" s="142"/>
    </row>
    <row r="138" spans="1:51" s="262" customFormat="1" x14ac:dyDescent="0.25">
      <c r="A138" s="64" t="s">
        <v>2175</v>
      </c>
      <c r="B138" s="64" t="s">
        <v>2317</v>
      </c>
      <c r="C138" s="61">
        <v>26</v>
      </c>
      <c r="D138" s="43" t="s">
        <v>1995</v>
      </c>
      <c r="E138" s="201">
        <v>607941072</v>
      </c>
      <c r="F138" s="43" t="s">
        <v>1996</v>
      </c>
      <c r="G138" s="43" t="s">
        <v>1998</v>
      </c>
      <c r="H138" s="201">
        <v>654812430</v>
      </c>
      <c r="I138" s="43" t="s">
        <v>0</v>
      </c>
      <c r="J138" s="44">
        <v>46024</v>
      </c>
      <c r="K138" s="44">
        <v>46086</v>
      </c>
      <c r="L138" s="44">
        <v>46094</v>
      </c>
      <c r="M138" s="44"/>
      <c r="N138" s="127">
        <v>46157</v>
      </c>
      <c r="O138" s="128" t="s">
        <v>2103</v>
      </c>
      <c r="P138" s="129" t="s">
        <v>2522</v>
      </c>
      <c r="Q138" s="65"/>
      <c r="R138" s="65"/>
      <c r="S138" s="65"/>
      <c r="T138" s="65"/>
      <c r="U138" s="65"/>
      <c r="V138" s="46">
        <f t="shared" ca="1" si="27"/>
        <v>0</v>
      </c>
      <c r="W138" s="47">
        <f t="shared" ca="1" si="28"/>
        <v>0</v>
      </c>
      <c r="X138" s="47" t="str">
        <f t="shared" ca="1" si="35"/>
        <v xml:space="preserve">PENDIENTE </v>
      </c>
      <c r="Y138" s="47">
        <f t="shared" ca="1" si="29"/>
        <v>0</v>
      </c>
      <c r="Z138" s="227" t="str">
        <f t="shared" ca="1" si="36"/>
        <v xml:space="preserve">PENDIENTE </v>
      </c>
      <c r="AA138" s="66"/>
      <c r="AB138" s="67">
        <v>26</v>
      </c>
      <c r="AC138" s="68"/>
      <c r="AD138" s="69"/>
      <c r="AE138" s="70">
        <v>30896.06</v>
      </c>
      <c r="AF138" s="71">
        <v>11584.85</v>
      </c>
      <c r="AG138" s="71"/>
      <c r="AH138" s="72">
        <v>8793.59</v>
      </c>
      <c r="AI138" s="73"/>
      <c r="AJ138" s="71">
        <f>AE138-AF138-AH138-222</f>
        <v>10295.619999999999</v>
      </c>
      <c r="AK138" s="71"/>
      <c r="AL138" s="71"/>
      <c r="AM138" s="70"/>
      <c r="AN138" s="74"/>
      <c r="AO138" s="278"/>
      <c r="AP138" s="144" t="str">
        <f t="shared" ca="1" si="37"/>
        <v/>
      </c>
      <c r="AQ138" s="142" t="s">
        <v>2381</v>
      </c>
      <c r="AR138" s="142" t="s">
        <v>2374</v>
      </c>
      <c r="AS138" s="57" t="str">
        <f t="shared" si="30"/>
        <v>03</v>
      </c>
      <c r="AT138" s="141" t="str">
        <f t="shared" si="31"/>
        <v>PLAN CINCO CCPP (Rª) Nuestra Señora de la Oliva 2-3 - Presupuesto pendiente de adjudicación</v>
      </c>
      <c r="AU138" s="141" t="str">
        <f t="shared" ca="1" si="32"/>
        <v>Estimado/a Sr/Sra:
Desde Instalaciones Araujo nos ponemos en contacto con ud, en relación con el Presupuesto de individualización de contadores de agua que le facilitamos el pasado 00/01/1900 para la CCPP (Rª) Nuestra Señora de la Oliva 2-3.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38" s="257" t="str">
        <f t="shared" ca="1" si="33"/>
        <v>Estimado/a Sr/Sra:
Desde Instalaciones Araujo nos ponemos en contacto con ud, en relación con el Presupuesto de individualización de contadores de agua que le facilitamos el pasado {FECHA_PTO} para la CCPP (Rª) Nuestra Señora de la Oliva 2-3.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38" s="257" t="str">
        <f t="shared" si="34"/>
        <v>Estimado/a Sr/Sra:
Desde Instalaciones Araujo nos ponemos en contacto con ud, en relación con el Presupuesto de individualización de contadores de agua que le facilitamos el pasado {FECHA_PTO} para la CCPP (Rª) Nuestra Señora de la Oliva 2-3.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38" s="141" t="s">
        <v>1410</v>
      </c>
      <c r="AY138" s="142"/>
    </row>
    <row r="139" spans="1:51" s="262" customFormat="1" x14ac:dyDescent="0.25">
      <c r="A139" s="64" t="s">
        <v>2175</v>
      </c>
      <c r="B139" s="64" t="s">
        <v>2310</v>
      </c>
      <c r="C139" s="61" t="s">
        <v>2129</v>
      </c>
      <c r="D139" s="43" t="s">
        <v>1999</v>
      </c>
      <c r="E139" s="201">
        <v>622098911</v>
      </c>
      <c r="F139" s="43" t="s">
        <v>2000</v>
      </c>
      <c r="G139" s="203" t="s">
        <v>2156</v>
      </c>
      <c r="H139" s="203" t="s">
        <v>0</v>
      </c>
      <c r="I139" s="122" t="s">
        <v>0</v>
      </c>
      <c r="J139" s="44">
        <v>45804</v>
      </c>
      <c r="K139" s="44">
        <v>45805</v>
      </c>
      <c r="L139" s="44">
        <v>45806</v>
      </c>
      <c r="M139" s="44"/>
      <c r="N139" s="127" t="s">
        <v>0</v>
      </c>
      <c r="O139" s="128" t="s">
        <v>2105</v>
      </c>
      <c r="P139" s="129" t="s">
        <v>2107</v>
      </c>
      <c r="Q139" s="65"/>
      <c r="R139" s="65"/>
      <c r="S139" s="65"/>
      <c r="T139" s="65"/>
      <c r="U139" s="65"/>
      <c r="V139" s="46">
        <f t="shared" ca="1" si="27"/>
        <v>0</v>
      </c>
      <c r="W139" s="47">
        <f t="shared" ca="1" si="28"/>
        <v>0</v>
      </c>
      <c r="X139" s="47" t="str">
        <f t="shared" ca="1" si="35"/>
        <v xml:space="preserve">PENDIENTE </v>
      </c>
      <c r="Y139" s="47">
        <f t="shared" ca="1" si="29"/>
        <v>0</v>
      </c>
      <c r="Z139" s="227" t="str">
        <f t="shared" ca="1" si="36"/>
        <v xml:space="preserve">PENDIENTE </v>
      </c>
      <c r="AA139" s="66"/>
      <c r="AB139" s="67">
        <v>42.8</v>
      </c>
      <c r="AC139" s="68"/>
      <c r="AD139" s="69"/>
      <c r="AE139" s="70">
        <v>29616.99</v>
      </c>
      <c r="AF139" s="71">
        <v>19094.38</v>
      </c>
      <c r="AG139" s="71"/>
      <c r="AH139" s="72">
        <v>3253.11</v>
      </c>
      <c r="AI139" s="73"/>
      <c r="AJ139" s="71">
        <f>AE139-AF139-AH139-150</f>
        <v>7119.5</v>
      </c>
      <c r="AK139" s="71"/>
      <c r="AL139" s="71"/>
      <c r="AM139" s="70"/>
      <c r="AN139" s="74"/>
      <c r="AO139" s="278"/>
      <c r="AP139" s="144" t="str">
        <f t="shared" ca="1" si="37"/>
        <v/>
      </c>
      <c r="AQ139" s="142" t="s">
        <v>2381</v>
      </c>
      <c r="AR139" s="142" t="s">
        <v>2374</v>
      </c>
      <c r="AS139" s="57" t="str">
        <f t="shared" si="30"/>
        <v>---</v>
      </c>
      <c r="AT139" s="141" t="str">
        <f t="shared" si="31"/>
        <v xml:space="preserve">PLAN CINCO CCPP (Rª) Nuestra Señora de la Oliva 2-6 - </v>
      </c>
      <c r="AU139" s="141" t="str">
        <f t="shared" ca="1" si="32"/>
        <v/>
      </c>
      <c r="AV139" s="257" t="str">
        <f t="shared" ca="1" si="33"/>
        <v/>
      </c>
      <c r="AW139" s="257" t="str">
        <f t="shared" si="34"/>
        <v/>
      </c>
      <c r="AX139" s="141" t="s">
        <v>1410</v>
      </c>
      <c r="AY139" s="142"/>
    </row>
    <row r="140" spans="1:51" s="262" customFormat="1" x14ac:dyDescent="0.25">
      <c r="A140" s="75" t="s">
        <v>2174</v>
      </c>
      <c r="B140" s="75" t="s">
        <v>2318</v>
      </c>
      <c r="C140" s="61" t="s">
        <v>2129</v>
      </c>
      <c r="D140" s="43" t="s">
        <v>2001</v>
      </c>
      <c r="E140" s="201">
        <v>627908412</v>
      </c>
      <c r="F140" s="43" t="s">
        <v>2002</v>
      </c>
      <c r="G140" s="203" t="s">
        <v>2156</v>
      </c>
      <c r="H140" s="203" t="s">
        <v>0</v>
      </c>
      <c r="I140" s="122" t="s">
        <v>0</v>
      </c>
      <c r="J140" s="44">
        <v>45722</v>
      </c>
      <c r="K140" s="44">
        <v>45876</v>
      </c>
      <c r="L140" s="44">
        <v>45880</v>
      </c>
      <c r="M140" s="44"/>
      <c r="N140" s="127" t="s">
        <v>0</v>
      </c>
      <c r="O140" s="128" t="s">
        <v>0</v>
      </c>
      <c r="P140" s="126" t="s">
        <v>2100</v>
      </c>
      <c r="Q140" s="65">
        <v>45954</v>
      </c>
      <c r="R140" s="65">
        <v>46030</v>
      </c>
      <c r="S140" s="65">
        <v>46409</v>
      </c>
      <c r="T140" s="65">
        <v>46057</v>
      </c>
      <c r="U140" s="65">
        <v>46066</v>
      </c>
      <c r="V140" s="46" t="str">
        <f t="shared" ca="1" si="27"/>
        <v>OK</v>
      </c>
      <c r="W140" s="47">
        <f t="shared" ca="1" si="28"/>
        <v>1</v>
      </c>
      <c r="X140" s="47" t="str">
        <f t="shared" ca="1" si="35"/>
        <v>COMPLETO</v>
      </c>
      <c r="Y140" s="47">
        <f t="shared" ca="1" si="29"/>
        <v>1</v>
      </c>
      <c r="Z140" s="227" t="str">
        <f t="shared" ca="1" si="36"/>
        <v>COMPLETO</v>
      </c>
      <c r="AA140" s="66" t="s">
        <v>53</v>
      </c>
      <c r="AB140" s="67">
        <v>7</v>
      </c>
      <c r="AC140" s="68">
        <f>AB140</f>
        <v>7</v>
      </c>
      <c r="AD140" s="69">
        <f>1-(AC140/AB140)</f>
        <v>0</v>
      </c>
      <c r="AE140" s="70">
        <v>8437.64</v>
      </c>
      <c r="AF140" s="71">
        <v>3122</v>
      </c>
      <c r="AG140" s="71">
        <f>AF140</f>
        <v>3122</v>
      </c>
      <c r="AH140" s="72">
        <v>2462.58</v>
      </c>
      <c r="AI140" s="73">
        <f>AH140</f>
        <v>2462.58</v>
      </c>
      <c r="AJ140" s="71">
        <f>AE140-AF140-AH140-150</f>
        <v>2703.0599999999995</v>
      </c>
      <c r="AK140" s="71">
        <f>AE140-AG140-AI140</f>
        <v>2853.0599999999995</v>
      </c>
      <c r="AL140" s="71">
        <f>AK140-AJ140</f>
        <v>150</v>
      </c>
      <c r="AM140" s="70">
        <f>AK140*0.2</f>
        <v>570.61199999999997</v>
      </c>
      <c r="AN140" s="74" t="s">
        <v>609</v>
      </c>
      <c r="AO140" s="278"/>
      <c r="AP140" s="144" t="str">
        <f t="shared" ca="1" si="37"/>
        <v/>
      </c>
      <c r="AQ140" s="142" t="s">
        <v>2381</v>
      </c>
      <c r="AR140" s="142" t="s">
        <v>2374</v>
      </c>
      <c r="AS140" s="57" t="str">
        <f t="shared" si="30"/>
        <v>---</v>
      </c>
      <c r="AT140" s="141" t="str">
        <f t="shared" si="31"/>
        <v xml:space="preserve">PLAN CINCO CCPP (Bª) Nuestra Señora de la Oliva 67 - </v>
      </c>
      <c r="AU140" s="141" t="str">
        <f t="shared" ca="1" si="32"/>
        <v/>
      </c>
      <c r="AV140" s="257" t="str">
        <f t="shared" ca="1" si="33"/>
        <v/>
      </c>
      <c r="AW140" s="257" t="str">
        <f t="shared" si="34"/>
        <v/>
      </c>
      <c r="AX140" s="141" t="s">
        <v>1410</v>
      </c>
      <c r="AY140" s="142"/>
    </row>
    <row r="141" spans="1:51" s="262" customFormat="1" x14ac:dyDescent="0.25">
      <c r="A141" s="75" t="s">
        <v>2174</v>
      </c>
      <c r="B141" s="75" t="s">
        <v>2320</v>
      </c>
      <c r="C141" s="61" t="s">
        <v>2129</v>
      </c>
      <c r="D141" s="43" t="s">
        <v>1638</v>
      </c>
      <c r="E141" s="201">
        <v>633558763</v>
      </c>
      <c r="F141" s="43" t="s">
        <v>2003</v>
      </c>
      <c r="G141" s="43" t="s">
        <v>1639</v>
      </c>
      <c r="H141" s="201">
        <v>727764166</v>
      </c>
      <c r="I141" s="43" t="s">
        <v>2004</v>
      </c>
      <c r="J141" s="44">
        <v>45758</v>
      </c>
      <c r="K141" s="44">
        <v>45758</v>
      </c>
      <c r="L141" s="44">
        <v>45772</v>
      </c>
      <c r="M141" s="44"/>
      <c r="N141" s="127" t="s">
        <v>0</v>
      </c>
      <c r="O141" s="128" t="s">
        <v>0</v>
      </c>
      <c r="P141" s="126" t="s">
        <v>2100</v>
      </c>
      <c r="Q141" s="65">
        <v>45808</v>
      </c>
      <c r="R141" s="65">
        <v>45839</v>
      </c>
      <c r="S141" s="65">
        <v>45870</v>
      </c>
      <c r="T141" s="65">
        <v>45916</v>
      </c>
      <c r="U141" s="65">
        <v>45959</v>
      </c>
      <c r="V141" s="46" t="str">
        <f t="shared" ca="1" si="27"/>
        <v>OK</v>
      </c>
      <c r="W141" s="47">
        <f t="shared" ca="1" si="28"/>
        <v>1</v>
      </c>
      <c r="X141" s="47" t="str">
        <f t="shared" ca="1" si="35"/>
        <v>COMPLETO</v>
      </c>
      <c r="Y141" s="47">
        <f t="shared" ca="1" si="29"/>
        <v>1</v>
      </c>
      <c r="Z141" s="227" t="str">
        <f t="shared" ca="1" si="36"/>
        <v>COMPLETO</v>
      </c>
      <c r="AA141" s="66" t="s">
        <v>53</v>
      </c>
      <c r="AB141" s="85">
        <v>8</v>
      </c>
      <c r="AC141" s="86">
        <f>18.4/2</f>
        <v>9.1999999999999993</v>
      </c>
      <c r="AD141" s="87">
        <f>1-(AC141/AB141)</f>
        <v>-0.14999999999999991</v>
      </c>
      <c r="AE141" s="88">
        <v>7807.95</v>
      </c>
      <c r="AF141" s="89">
        <v>3571.57</v>
      </c>
      <c r="AG141" s="71">
        <v>4286.0200000000004</v>
      </c>
      <c r="AH141" s="90">
        <v>2773.93</v>
      </c>
      <c r="AI141" s="73">
        <f>1941.12+465</f>
        <v>2406.12</v>
      </c>
      <c r="AJ141" s="80">
        <f>AE141-AF141-AH141-150</f>
        <v>1312.4499999999994</v>
      </c>
      <c r="AK141" s="80">
        <f>AE141-AG141-AI141</f>
        <v>1115.8099999999995</v>
      </c>
      <c r="AL141" s="80">
        <f>AK141-AJ141</f>
        <v>-196.63999999999987</v>
      </c>
      <c r="AM141" s="79">
        <f>AK141*0.2</f>
        <v>223.16199999999992</v>
      </c>
      <c r="AN141" s="83" t="s">
        <v>609</v>
      </c>
      <c r="AO141" s="278"/>
      <c r="AP141" s="144" t="str">
        <f t="shared" ca="1" si="37"/>
        <v/>
      </c>
      <c r="AQ141" s="142" t="s">
        <v>2381</v>
      </c>
      <c r="AR141" s="142" t="s">
        <v>2374</v>
      </c>
      <c r="AS141" s="57" t="str">
        <f t="shared" si="30"/>
        <v>---</v>
      </c>
      <c r="AT141" s="141" t="str">
        <f t="shared" si="31"/>
        <v xml:space="preserve">PLAN CINCO CCPP (Bª) Nuestra Señora de la Oliva 94 - </v>
      </c>
      <c r="AU141" s="141" t="str">
        <f t="shared" ca="1" si="32"/>
        <v/>
      </c>
      <c r="AV141" s="257" t="str">
        <f t="shared" ca="1" si="33"/>
        <v/>
      </c>
      <c r="AW141" s="257" t="str">
        <f t="shared" si="34"/>
        <v/>
      </c>
      <c r="AX141" s="141" t="s">
        <v>1410</v>
      </c>
      <c r="AY141" s="142"/>
    </row>
    <row r="142" spans="1:51" s="262" customFormat="1" x14ac:dyDescent="0.25">
      <c r="A142" s="64" t="s">
        <v>2174</v>
      </c>
      <c r="B142" s="64" t="s">
        <v>2322</v>
      </c>
      <c r="C142" s="61" t="s">
        <v>2129</v>
      </c>
      <c r="D142" s="43" t="s">
        <v>2149</v>
      </c>
      <c r="E142" s="201">
        <v>636675903</v>
      </c>
      <c r="F142" s="43" t="s">
        <v>2005</v>
      </c>
      <c r="G142" s="43" t="s">
        <v>2006</v>
      </c>
      <c r="H142" s="201">
        <v>666611804</v>
      </c>
      <c r="I142" s="43" t="s">
        <v>2007</v>
      </c>
      <c r="J142" s="44">
        <v>45803</v>
      </c>
      <c r="K142" s="44">
        <v>45805</v>
      </c>
      <c r="L142" s="44">
        <v>45806</v>
      </c>
      <c r="M142" s="44"/>
      <c r="N142" s="127">
        <v>46157</v>
      </c>
      <c r="O142" s="128" t="s">
        <v>2113</v>
      </c>
      <c r="P142" s="126" t="s">
        <v>2522</v>
      </c>
      <c r="Q142" s="65"/>
      <c r="R142" s="65"/>
      <c r="S142" s="65"/>
      <c r="T142" s="65"/>
      <c r="U142" s="65"/>
      <c r="V142" s="46">
        <f t="shared" ca="1" si="27"/>
        <v>0</v>
      </c>
      <c r="W142" s="47">
        <f t="shared" ca="1" si="28"/>
        <v>0</v>
      </c>
      <c r="X142" s="47" t="str">
        <f t="shared" ca="1" si="35"/>
        <v xml:space="preserve">PENDIENTE </v>
      </c>
      <c r="Y142" s="47">
        <f t="shared" ca="1" si="29"/>
        <v>0</v>
      </c>
      <c r="Z142" s="227" t="str">
        <f t="shared" ca="1" si="36"/>
        <v xml:space="preserve">PENDIENTE </v>
      </c>
      <c r="AA142" s="66"/>
      <c r="AB142" s="67">
        <v>7.8</v>
      </c>
      <c r="AC142" s="68"/>
      <c r="AD142" s="69"/>
      <c r="AE142" s="70">
        <v>8977.5491237843853</v>
      </c>
      <c r="AF142" s="71">
        <v>3484.375</v>
      </c>
      <c r="AG142" s="71"/>
      <c r="AH142" s="72">
        <v>2531.13</v>
      </c>
      <c r="AI142" s="73"/>
      <c r="AJ142" s="71">
        <f>AE142-AF142-AH142-150</f>
        <v>2812.0441237843852</v>
      </c>
      <c r="AK142" s="71"/>
      <c r="AL142" s="71"/>
      <c r="AM142" s="70"/>
      <c r="AN142" s="74"/>
      <c r="AO142" s="278"/>
      <c r="AP142" s="144" t="str">
        <f t="shared" ca="1" si="37"/>
        <v/>
      </c>
      <c r="AQ142" s="142" t="s">
        <v>2381</v>
      </c>
      <c r="AR142" s="142" t="s">
        <v>2374</v>
      </c>
      <c r="AS142" s="57" t="str">
        <f t="shared" si="30"/>
        <v>03</v>
      </c>
      <c r="AT142" s="141" t="str">
        <f t="shared" si="31"/>
        <v>PLAN CINCO CCPP (Bª) Nuestra Señora de la Oliva 98 - Presupuesto pendiente de adjudicación</v>
      </c>
      <c r="AU142" s="141" t="str">
        <f t="shared" ca="1" si="32"/>
        <v>Estimado/a Sr/Sra:
Desde Instalaciones Araujo nos ponemos en contacto con ud, en relación con el Presupuesto de individualización de contadores de agua que le facilitamos el pasado 00/01/1900 para la CCPP (Bª) Nuestra Señora de la Oliva 98.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42" s="257" t="str">
        <f t="shared" ca="1" si="33"/>
        <v>Estimado/a Sr/Sra:
Desde Instalaciones Araujo nos ponemos en contacto con ud, en relación con el Presupuesto de individualización de contadores de agua que le facilitamos el pasado {FECHA_PTO} para la CCPP (Bª) Nuestra Señora de la Oliva 98.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42" s="257" t="str">
        <f t="shared" si="34"/>
        <v>Estimado/a Sr/Sra:
Desde Instalaciones Araujo nos ponemos en contacto con ud, en relación con el Presupuesto de individualización de contadores de agua que le facilitamos el pasado {FECHA_PTO} para la CCPP (Bª) Nuestra Señora de la Oliva 98.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42" s="141" t="s">
        <v>1410</v>
      </c>
      <c r="AY142" s="142"/>
    </row>
    <row r="143" spans="1:51" s="262" customFormat="1" x14ac:dyDescent="0.25">
      <c r="A143" s="64" t="s">
        <v>2183</v>
      </c>
      <c r="B143" s="64" t="s">
        <v>2323</v>
      </c>
      <c r="C143" s="61" t="s">
        <v>2129</v>
      </c>
      <c r="D143" s="43" t="s">
        <v>2143</v>
      </c>
      <c r="E143" s="203" t="s">
        <v>0</v>
      </c>
      <c r="F143" s="263" t="s">
        <v>2144</v>
      </c>
      <c r="G143" s="203" t="s">
        <v>2156</v>
      </c>
      <c r="H143" s="203" t="s">
        <v>0</v>
      </c>
      <c r="I143" s="122" t="s">
        <v>0</v>
      </c>
      <c r="J143" s="44">
        <v>46104</v>
      </c>
      <c r="K143" s="44"/>
      <c r="L143" s="44"/>
      <c r="M143" s="44"/>
      <c r="N143" s="127">
        <v>46157</v>
      </c>
      <c r="O143" s="128" t="s">
        <v>2127</v>
      </c>
      <c r="P143" s="129" t="s">
        <v>2514</v>
      </c>
      <c r="Q143" s="65"/>
      <c r="R143" s="65"/>
      <c r="S143" s="65"/>
      <c r="T143" s="65"/>
      <c r="U143" s="65"/>
      <c r="V143" s="46">
        <f t="shared" ca="1" si="27"/>
        <v>0</v>
      </c>
      <c r="W143" s="47">
        <f t="shared" ca="1" si="28"/>
        <v>0</v>
      </c>
      <c r="X143" s="47" t="str">
        <f t="shared" ca="1" si="35"/>
        <v xml:space="preserve">PENDIENTE </v>
      </c>
      <c r="Y143" s="47">
        <f t="shared" ca="1" si="29"/>
        <v>0</v>
      </c>
      <c r="Z143" s="227" t="str">
        <f t="shared" ca="1" si="36"/>
        <v xml:space="preserve">PENDIENTE </v>
      </c>
      <c r="AA143" s="124"/>
      <c r="AB143" s="67"/>
      <c r="AC143" s="68"/>
      <c r="AD143" s="69"/>
      <c r="AE143" s="70"/>
      <c r="AF143" s="71"/>
      <c r="AG143" s="71"/>
      <c r="AH143" s="72"/>
      <c r="AI143" s="73"/>
      <c r="AJ143" s="71"/>
      <c r="AK143" s="71"/>
      <c r="AL143" s="71"/>
      <c r="AM143" s="70"/>
      <c r="AN143" s="74"/>
      <c r="AO143" s="278"/>
      <c r="AP143" s="144" t="str">
        <f t="shared" ca="1" si="37"/>
        <v/>
      </c>
      <c r="AQ143" s="142" t="s">
        <v>2381</v>
      </c>
      <c r="AR143" s="142" t="s">
        <v>2374</v>
      </c>
      <c r="AS143" s="57" t="str">
        <f t="shared" si="30"/>
        <v>01</v>
      </c>
      <c r="AT143" s="141" t="str">
        <f t="shared" si="31"/>
        <v>PLAN CINCO CCPP (C)(Dos Hermanas) Nuestro Padre Jesús Cautivo 1 - Solicitud de documentación para presupuestar</v>
      </c>
      <c r="AU143" s="141" t="str">
        <f t="shared" ca="1" si="32"/>
        <v>Estimado/a Sr/Sra:
Gracias por contactar con Instalaciones Araujo para valorar la individualización de contadores de agua en la CCPP (C)(Dos Hermanas) Nuestro Padre Jesús Cautivo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43" s="257" t="str">
        <f t="shared" ca="1" si="33"/>
        <v>Estimado/a Sr/Sra:
Gracias por contactar con Instalaciones Araujo para valorar la individualización de contadores de agua en la CCPP (C)(Dos Hermanas) Nuestro Padre Jesús Cautivo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43" s="257" t="str">
        <f t="shared" si="34"/>
        <v>Estimado/a Sr/Sra:
Gracias por contactar con Instalaciones Araujo para valorar la individualización de contadores de agua en la CCPP (C)(Dos Hermanas) Nuestro Padre Jesús Cautivo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43" s="141" t="s">
        <v>1410</v>
      </c>
      <c r="AY143" s="142"/>
    </row>
    <row r="144" spans="1:51" s="262" customFormat="1" x14ac:dyDescent="0.25">
      <c r="A144" s="64" t="s">
        <v>2176</v>
      </c>
      <c r="B144" s="64" t="s">
        <v>2324</v>
      </c>
      <c r="C144" s="61" t="s">
        <v>2129</v>
      </c>
      <c r="D144" s="43" t="s">
        <v>768</v>
      </c>
      <c r="E144" s="201">
        <v>954226728</v>
      </c>
      <c r="F144" s="43" t="s">
        <v>1777</v>
      </c>
      <c r="G144" s="43" t="s">
        <v>2008</v>
      </c>
      <c r="H144" s="201">
        <v>659497561</v>
      </c>
      <c r="I144" s="43" t="s">
        <v>0</v>
      </c>
      <c r="J144" s="44">
        <v>45819</v>
      </c>
      <c r="K144" s="44">
        <v>45846</v>
      </c>
      <c r="L144" s="44">
        <v>46056</v>
      </c>
      <c r="M144" s="44"/>
      <c r="N144" s="149" t="s">
        <v>0</v>
      </c>
      <c r="O144" s="128" t="s">
        <v>1356</v>
      </c>
      <c r="P144" s="126" t="s">
        <v>2107</v>
      </c>
      <c r="Q144" s="65"/>
      <c r="R144" s="65"/>
      <c r="S144" s="65"/>
      <c r="T144" s="65"/>
      <c r="U144" s="65"/>
      <c r="V144" s="46">
        <f t="shared" ca="1" si="27"/>
        <v>0</v>
      </c>
      <c r="W144" s="47">
        <f t="shared" ca="1" si="28"/>
        <v>0</v>
      </c>
      <c r="X144" s="47" t="str">
        <f t="shared" ca="1" si="35"/>
        <v xml:space="preserve">PENDIENTE </v>
      </c>
      <c r="Y144" s="47">
        <f t="shared" ca="1" si="29"/>
        <v>0</v>
      </c>
      <c r="Z144" s="227" t="str">
        <f t="shared" ca="1" si="36"/>
        <v xml:space="preserve">PENDIENTE </v>
      </c>
      <c r="AA144" s="66"/>
      <c r="AB144" s="67">
        <v>7.1</v>
      </c>
      <c r="AC144" s="68"/>
      <c r="AD144" s="69"/>
      <c r="AE144" s="70">
        <v>8031.2241694907216</v>
      </c>
      <c r="AF144" s="71">
        <v>3149.875</v>
      </c>
      <c r="AG144" s="71"/>
      <c r="AH144" s="72">
        <v>2106.96</v>
      </c>
      <c r="AI144" s="73"/>
      <c r="AJ144" s="71">
        <f>AE144-AF144-AH144-150</f>
        <v>2624.3891694907215</v>
      </c>
      <c r="AK144" s="71"/>
      <c r="AL144" s="71"/>
      <c r="AM144" s="70"/>
      <c r="AN144" s="74"/>
      <c r="AO144" s="278"/>
      <c r="AP144" s="144" t="str">
        <f t="shared" ca="1" si="37"/>
        <v/>
      </c>
      <c r="AQ144" s="142" t="s">
        <v>2381</v>
      </c>
      <c r="AR144" s="142" t="s">
        <v>2374</v>
      </c>
      <c r="AS144" s="57" t="str">
        <f t="shared" si="30"/>
        <v>---</v>
      </c>
      <c r="AT144" s="141" t="str">
        <f t="shared" si="31"/>
        <v xml:space="preserve">PLAN CINCO CCPP (Pz de) Otelo 4 - </v>
      </c>
      <c r="AU144" s="141" t="str">
        <f t="shared" ca="1" si="32"/>
        <v/>
      </c>
      <c r="AV144" s="257" t="str">
        <f t="shared" ca="1" si="33"/>
        <v/>
      </c>
      <c r="AW144" s="257" t="str">
        <f t="shared" si="34"/>
        <v/>
      </c>
      <c r="AX144" s="141" t="s">
        <v>1410</v>
      </c>
      <c r="AY144" s="142"/>
    </row>
    <row r="145" spans="1:51" s="262" customFormat="1" x14ac:dyDescent="0.25">
      <c r="A145" s="64" t="s">
        <v>2176</v>
      </c>
      <c r="B145" s="64" t="s">
        <v>2325</v>
      </c>
      <c r="C145" s="61" t="s">
        <v>2129</v>
      </c>
      <c r="D145" s="43" t="s">
        <v>2009</v>
      </c>
      <c r="E145" s="201">
        <v>645588377</v>
      </c>
      <c r="F145" s="43" t="s">
        <v>1983</v>
      </c>
      <c r="G145" s="203" t="s">
        <v>2156</v>
      </c>
      <c r="H145" s="203" t="s">
        <v>0</v>
      </c>
      <c r="I145" s="122" t="s">
        <v>0</v>
      </c>
      <c r="J145" s="44">
        <v>45938</v>
      </c>
      <c r="K145" s="44">
        <v>45940</v>
      </c>
      <c r="L145" s="44">
        <v>46087</v>
      </c>
      <c r="M145" s="44"/>
      <c r="N145" s="127">
        <v>46157</v>
      </c>
      <c r="O145" s="128" t="s">
        <v>2103</v>
      </c>
      <c r="P145" s="129" t="s">
        <v>2522</v>
      </c>
      <c r="Q145" s="65"/>
      <c r="R145" s="65"/>
      <c r="S145" s="65"/>
      <c r="T145" s="65"/>
      <c r="U145" s="65"/>
      <c r="V145" s="46">
        <f t="shared" ca="1" si="27"/>
        <v>0</v>
      </c>
      <c r="W145" s="47">
        <f t="shared" ca="1" si="28"/>
        <v>0</v>
      </c>
      <c r="X145" s="47" t="str">
        <f t="shared" ca="1" si="35"/>
        <v xml:space="preserve">PENDIENTE </v>
      </c>
      <c r="Y145" s="47">
        <f t="shared" ca="1" si="29"/>
        <v>0</v>
      </c>
      <c r="Z145" s="227" t="str">
        <f t="shared" ca="1" si="36"/>
        <v xml:space="preserve">PENDIENTE </v>
      </c>
      <c r="AA145" s="66"/>
      <c r="AB145" s="67">
        <v>8.1</v>
      </c>
      <c r="AC145" s="68"/>
      <c r="AD145" s="69"/>
      <c r="AE145" s="70">
        <v>9223.6460809488017</v>
      </c>
      <c r="AF145" s="71">
        <v>3595.875</v>
      </c>
      <c r="AG145" s="71"/>
      <c r="AH145" s="72">
        <v>2318.7800000000002</v>
      </c>
      <c r="AI145" s="73"/>
      <c r="AJ145" s="71">
        <f>AE145-AF145-AH145-174</f>
        <v>3134.9910809488015</v>
      </c>
      <c r="AK145" s="71"/>
      <c r="AL145" s="71"/>
      <c r="AM145" s="70"/>
      <c r="AN145" s="74"/>
      <c r="AO145" s="278"/>
      <c r="AP145" s="144" t="str">
        <f t="shared" ca="1" si="37"/>
        <v/>
      </c>
      <c r="AQ145" s="142" t="s">
        <v>2381</v>
      </c>
      <c r="AR145" s="142" t="s">
        <v>2374</v>
      </c>
      <c r="AS145" s="57" t="str">
        <f t="shared" si="30"/>
        <v>03</v>
      </c>
      <c r="AT145" s="141" t="str">
        <f t="shared" si="31"/>
        <v>PLAN CINCO CCPP (Pz de) Otelo 8 - Presupuesto pendiente de adjudicación</v>
      </c>
      <c r="AU145" s="141" t="str">
        <f t="shared" ca="1" si="32"/>
        <v>Estimado/a Sr/Sra:
Desde Instalaciones Araujo nos ponemos en contacto con ud, en relación con el Presupuesto de individualización de contadores de agua que le facilitamos el pasado 00/01/1900 para la CCPP (Pz de) Otelo 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45" s="257" t="str">
        <f t="shared" ca="1" si="33"/>
        <v>Estimado/a Sr/Sra:
Desde Instalaciones Araujo nos ponemos en contacto con ud, en relación con el Presupuesto de individualización de contadores de agua que le facilitamos el pasado {FECHA_PTO} para la CCPP (Pz de) Otelo 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45" s="257" t="str">
        <f t="shared" si="34"/>
        <v>Estimado/a Sr/Sra:
Desde Instalaciones Araujo nos ponemos en contacto con ud, en relación con el Presupuesto de individualización de contadores de agua que le facilitamos el pasado {FECHA_PTO} para la CCPP (Pz de) Otelo 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45" s="141" t="s">
        <v>1410</v>
      </c>
      <c r="AY145" s="142"/>
    </row>
    <row r="146" spans="1:51" s="262" customFormat="1" x14ac:dyDescent="0.25">
      <c r="A146" s="64" t="s">
        <v>2162</v>
      </c>
      <c r="B146" s="64" t="s">
        <v>2326</v>
      </c>
      <c r="C146" s="61" t="s">
        <v>1354</v>
      </c>
      <c r="D146" s="43" t="s">
        <v>1866</v>
      </c>
      <c r="E146" s="201">
        <v>661592498</v>
      </c>
      <c r="F146" s="43" t="s">
        <v>1867</v>
      </c>
      <c r="G146" s="43" t="s">
        <v>0</v>
      </c>
      <c r="H146" s="201" t="s">
        <v>0</v>
      </c>
      <c r="I146" s="43" t="s">
        <v>0</v>
      </c>
      <c r="J146" s="44">
        <v>45824</v>
      </c>
      <c r="K146" s="44">
        <v>45825</v>
      </c>
      <c r="L146" s="44">
        <v>45826</v>
      </c>
      <c r="M146" s="44"/>
      <c r="N146" s="127">
        <v>46157</v>
      </c>
      <c r="O146" s="128" t="s">
        <v>2103</v>
      </c>
      <c r="P146" s="129" t="s">
        <v>2522</v>
      </c>
      <c r="Q146" s="65"/>
      <c r="R146" s="65"/>
      <c r="S146" s="65"/>
      <c r="T146" s="65"/>
      <c r="U146" s="65"/>
      <c r="V146" s="46">
        <f t="shared" ca="1" si="27"/>
        <v>0</v>
      </c>
      <c r="W146" s="47">
        <f t="shared" ca="1" si="28"/>
        <v>0</v>
      </c>
      <c r="X146" s="47" t="str">
        <f t="shared" ca="1" si="35"/>
        <v xml:space="preserve">PENDIENTE </v>
      </c>
      <c r="Y146" s="47">
        <f t="shared" ca="1" si="29"/>
        <v>0</v>
      </c>
      <c r="Z146" s="227" t="str">
        <f t="shared" ca="1" si="36"/>
        <v xml:space="preserve">PENDIENTE </v>
      </c>
      <c r="AA146" s="66"/>
      <c r="AB146" s="67">
        <v>13.9</v>
      </c>
      <c r="AC146" s="68"/>
      <c r="AD146" s="69"/>
      <c r="AE146" s="70">
        <v>15264.060573169258</v>
      </c>
      <c r="AF146" s="71">
        <v>6216.125</v>
      </c>
      <c r="AG146" s="71"/>
      <c r="AH146" s="72">
        <v>4363.7299999999996</v>
      </c>
      <c r="AI146" s="73"/>
      <c r="AJ146" s="71">
        <f>AE146-AF146-AH146-150</f>
        <v>4534.2055731692581</v>
      </c>
      <c r="AK146" s="71"/>
      <c r="AL146" s="71"/>
      <c r="AM146" s="70"/>
      <c r="AN146" s="74"/>
      <c r="AO146" s="278"/>
      <c r="AP146" s="144" t="str">
        <f t="shared" ca="1" si="37"/>
        <v/>
      </c>
      <c r="AQ146" s="142" t="s">
        <v>2381</v>
      </c>
      <c r="AR146" s="142" t="s">
        <v>2374</v>
      </c>
      <c r="AS146" s="57" t="str">
        <f t="shared" si="30"/>
        <v>03</v>
      </c>
      <c r="AT146" s="141" t="str">
        <f t="shared" si="31"/>
        <v>PLAN CINCO CCPP (C) Palacio Valdés 2 - Presupuesto pendiente de adjudicación</v>
      </c>
      <c r="AU146" s="141" t="str">
        <f t="shared" ca="1" si="32"/>
        <v>Estimado/a Sr/Sra:
Desde Instalaciones Araujo nos ponemos en contacto con ud, en relación con el Presupuesto de individualización de contadores de agua que le facilitamos el pasado 00/01/1900 para la CCPP (C) Palacio Valdés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46" s="257" t="str">
        <f t="shared" ca="1" si="33"/>
        <v>Estimado/a Sr/Sra:
Desde Instalaciones Araujo nos ponemos en contacto con ud, en relación con el Presupuesto de individualización de contadores de agua que le facilitamos el pasado {FECHA_PTO} para la CCPP (C) Palacio Valdés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46" s="257" t="str">
        <f t="shared" si="34"/>
        <v>Estimado/a Sr/Sra:
Desde Instalaciones Araujo nos ponemos en contacto con ud, en relación con el Presupuesto de individualización de contadores de agua que le facilitamos el pasado {FECHA_PTO} para la CCPP (C) Palacio Valdés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46" s="141" t="s">
        <v>1410</v>
      </c>
      <c r="AY146" s="142"/>
    </row>
    <row r="147" spans="1:51" s="262" customFormat="1" x14ac:dyDescent="0.25">
      <c r="A147" s="75" t="s">
        <v>2162</v>
      </c>
      <c r="B147" s="75" t="s">
        <v>2327</v>
      </c>
      <c r="C147" s="61" t="s">
        <v>2129</v>
      </c>
      <c r="D147" s="43" t="s">
        <v>1059</v>
      </c>
      <c r="E147" s="201">
        <v>677594520</v>
      </c>
      <c r="F147" s="43" t="s">
        <v>1805</v>
      </c>
      <c r="G147" s="43" t="s">
        <v>2010</v>
      </c>
      <c r="H147" s="201">
        <v>637881088</v>
      </c>
      <c r="I147" s="43" t="s">
        <v>2011</v>
      </c>
      <c r="J147" s="44">
        <v>45863</v>
      </c>
      <c r="K147" s="44">
        <v>45883</v>
      </c>
      <c r="L147" s="44">
        <v>45889</v>
      </c>
      <c r="M147" s="44"/>
      <c r="N147" s="127" t="s">
        <v>0</v>
      </c>
      <c r="O147" s="128" t="s">
        <v>0</v>
      </c>
      <c r="P147" s="126" t="s">
        <v>2099</v>
      </c>
      <c r="Q147" s="65">
        <v>45937</v>
      </c>
      <c r="R147" s="65">
        <v>46030</v>
      </c>
      <c r="S147" s="65">
        <v>45992</v>
      </c>
      <c r="T147" s="65">
        <v>46034</v>
      </c>
      <c r="U147" s="65">
        <v>46074</v>
      </c>
      <c r="V147" s="46" t="str">
        <f t="shared" ca="1" si="27"/>
        <v>OK</v>
      </c>
      <c r="W147" s="47">
        <f t="shared" ca="1" si="28"/>
        <v>1</v>
      </c>
      <c r="X147" s="47" t="str">
        <f t="shared" ca="1" si="35"/>
        <v>COMPLETO</v>
      </c>
      <c r="Y147" s="47">
        <f t="shared" ca="1" si="29"/>
        <v>1</v>
      </c>
      <c r="Z147" s="227" t="str">
        <f t="shared" ca="1" si="36"/>
        <v>COMPLETO</v>
      </c>
      <c r="AA147" s="66" t="s">
        <v>53</v>
      </c>
      <c r="AB147" s="67">
        <v>9</v>
      </c>
      <c r="AC147" s="68">
        <f>AB147</f>
        <v>9</v>
      </c>
      <c r="AD147" s="78">
        <f>1-(AC147/AB147)</f>
        <v>0</v>
      </c>
      <c r="AE147" s="70">
        <v>10182.44</v>
      </c>
      <c r="AF147" s="71">
        <v>4022.25</v>
      </c>
      <c r="AG147" s="71">
        <f>AF147</f>
        <v>4022.25</v>
      </c>
      <c r="AH147" s="72">
        <v>3072.96</v>
      </c>
      <c r="AI147" s="73">
        <f>AH147</f>
        <v>3072.96</v>
      </c>
      <c r="AJ147" s="80">
        <f>AE147-AF147-AH147-150</f>
        <v>2937.2300000000005</v>
      </c>
      <c r="AK147" s="80">
        <f>AE147-AG147-AI147</f>
        <v>3087.2300000000005</v>
      </c>
      <c r="AL147" s="80">
        <f>AK147-AJ147</f>
        <v>150</v>
      </c>
      <c r="AM147" s="79">
        <f>AK147*0.2</f>
        <v>617.44600000000014</v>
      </c>
      <c r="AN147" s="74"/>
      <c r="AO147" s="278"/>
      <c r="AP147" s="144" t="str">
        <f t="shared" ca="1" si="37"/>
        <v/>
      </c>
      <c r="AQ147" s="142" t="s">
        <v>2381</v>
      </c>
      <c r="AR147" s="142" t="s">
        <v>2374</v>
      </c>
      <c r="AS147" s="57" t="str">
        <f t="shared" si="30"/>
        <v>---</v>
      </c>
      <c r="AT147" s="141" t="str">
        <f t="shared" si="31"/>
        <v xml:space="preserve">PLAN CINCO CCPP (C) Palma del Río 12 - </v>
      </c>
      <c r="AU147" s="141" t="str">
        <f t="shared" ca="1" si="32"/>
        <v/>
      </c>
      <c r="AV147" s="257" t="str">
        <f t="shared" ca="1" si="33"/>
        <v/>
      </c>
      <c r="AW147" s="257" t="str">
        <f t="shared" si="34"/>
        <v/>
      </c>
      <c r="AX147" s="141" t="s">
        <v>1410</v>
      </c>
      <c r="AY147" s="142"/>
    </row>
    <row r="148" spans="1:51" s="262" customFormat="1" x14ac:dyDescent="0.25">
      <c r="A148" s="64" t="s">
        <v>2177</v>
      </c>
      <c r="B148" s="64" t="s">
        <v>2328</v>
      </c>
      <c r="C148" s="61" t="s">
        <v>1798</v>
      </c>
      <c r="D148" s="43" t="s">
        <v>1961</v>
      </c>
      <c r="E148" s="201">
        <v>640971105</v>
      </c>
      <c r="F148" s="263" t="s">
        <v>1962</v>
      </c>
      <c r="G148" s="43" t="s">
        <v>0</v>
      </c>
      <c r="H148" s="201" t="s">
        <v>0</v>
      </c>
      <c r="I148" s="43" t="s">
        <v>0</v>
      </c>
      <c r="J148" s="44">
        <v>46086</v>
      </c>
      <c r="K148" s="44"/>
      <c r="L148" s="44"/>
      <c r="M148" s="44"/>
      <c r="N148" s="127">
        <v>46157</v>
      </c>
      <c r="O148" s="128" t="s">
        <v>2127</v>
      </c>
      <c r="P148" s="129" t="s">
        <v>2514</v>
      </c>
      <c r="Q148" s="65"/>
      <c r="R148" s="65"/>
      <c r="S148" s="65"/>
      <c r="T148" s="65"/>
      <c r="U148" s="65"/>
      <c r="V148" s="46">
        <f t="shared" ca="1" si="27"/>
        <v>0</v>
      </c>
      <c r="W148" s="47">
        <f t="shared" ca="1" si="28"/>
        <v>0</v>
      </c>
      <c r="X148" s="47" t="str">
        <f t="shared" ca="1" si="35"/>
        <v xml:space="preserve">PENDIENTE </v>
      </c>
      <c r="Y148" s="47">
        <f t="shared" ca="1" si="29"/>
        <v>0</v>
      </c>
      <c r="Z148" s="227" t="str">
        <f t="shared" ca="1" si="36"/>
        <v xml:space="preserve">PENDIENTE </v>
      </c>
      <c r="AA148" s="124"/>
      <c r="AB148" s="67"/>
      <c r="AC148" s="68"/>
      <c r="AD148" s="69"/>
      <c r="AE148" s="70"/>
      <c r="AF148" s="71"/>
      <c r="AG148" s="71"/>
      <c r="AH148" s="72"/>
      <c r="AI148" s="73"/>
      <c r="AJ148" s="71"/>
      <c r="AK148" s="71"/>
      <c r="AL148" s="71"/>
      <c r="AM148" s="70"/>
      <c r="AN148" s="74"/>
      <c r="AO148" s="278"/>
      <c r="AP148" s="144" t="str">
        <f t="shared" ca="1" si="37"/>
        <v/>
      </c>
      <c r="AQ148" s="142" t="s">
        <v>2381</v>
      </c>
      <c r="AR148" s="142" t="s">
        <v>2374</v>
      </c>
      <c r="AS148" s="57" t="str">
        <f t="shared" si="30"/>
        <v>01</v>
      </c>
      <c r="AT148" s="141" t="str">
        <f t="shared" si="31"/>
        <v>PLAN CINCO CCPP (La)(Bª) Palmilla - Solicitud de documentación para presupuestar</v>
      </c>
      <c r="AU148" s="141" t="str">
        <f t="shared" ca="1" si="32"/>
        <v>Estimado/a Sr/Sra:
Gracias por contactar con Instalaciones Araujo para valorar la individualización de contadores de agua en la CCPP (La)(Bª) Palmilla.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48" s="257" t="str">
        <f t="shared" ca="1" si="33"/>
        <v>Estimado/a Sr/Sra:
Gracias por contactar con Instalaciones Araujo para valorar la individualización de contadores de agua en la CCPP (La)(Bª) Palmilla.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48" s="257" t="str">
        <f t="shared" si="34"/>
        <v>Estimado/a Sr/Sra:
Gracias por contactar con Instalaciones Araujo para valorar la individualización de contadores de agua en la CCPP (La)(Bª) Palmilla.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48" s="141" t="s">
        <v>1410</v>
      </c>
      <c r="AY148" s="142"/>
    </row>
    <row r="149" spans="1:51" s="262" customFormat="1" x14ac:dyDescent="0.25">
      <c r="A149" s="64" t="s">
        <v>2178</v>
      </c>
      <c r="B149" s="64" t="s">
        <v>2319</v>
      </c>
      <c r="C149" s="61" t="s">
        <v>2129</v>
      </c>
      <c r="D149" s="43" t="s">
        <v>1857</v>
      </c>
      <c r="E149" s="201">
        <v>677546543</v>
      </c>
      <c r="F149" s="43" t="s">
        <v>1858</v>
      </c>
      <c r="G149" s="43" t="s">
        <v>2012</v>
      </c>
      <c r="H149" s="201">
        <v>608205844</v>
      </c>
      <c r="I149" s="43" t="s">
        <v>0</v>
      </c>
      <c r="J149" s="44">
        <v>45975</v>
      </c>
      <c r="K149" s="44">
        <v>45980</v>
      </c>
      <c r="L149" s="44">
        <v>45987</v>
      </c>
      <c r="M149" s="44"/>
      <c r="N149" s="127" t="s">
        <v>0</v>
      </c>
      <c r="O149" s="128" t="s">
        <v>2106</v>
      </c>
      <c r="P149" s="129" t="s">
        <v>2107</v>
      </c>
      <c r="Q149" s="65"/>
      <c r="R149" s="65"/>
      <c r="S149" s="65"/>
      <c r="T149" s="65"/>
      <c r="U149" s="65"/>
      <c r="V149" s="46">
        <f t="shared" ca="1" si="27"/>
        <v>0</v>
      </c>
      <c r="W149" s="47">
        <f t="shared" ca="1" si="28"/>
        <v>0</v>
      </c>
      <c r="X149" s="47" t="str">
        <f t="shared" ca="1" si="35"/>
        <v xml:space="preserve">PENDIENTE </v>
      </c>
      <c r="Y149" s="47">
        <f t="shared" ca="1" si="29"/>
        <v>0</v>
      </c>
      <c r="Z149" s="227" t="str">
        <f t="shared" ca="1" si="36"/>
        <v xml:space="preserve">PENDIENTE </v>
      </c>
      <c r="AA149" s="66"/>
      <c r="AB149" s="67">
        <v>25.4</v>
      </c>
      <c r="AC149" s="68"/>
      <c r="AD149" s="69"/>
      <c r="AE149" s="70">
        <v>29943.01</v>
      </c>
      <c r="AF149" s="71">
        <v>11322.83</v>
      </c>
      <c r="AG149" s="71"/>
      <c r="AH149" s="72">
        <v>8752.23</v>
      </c>
      <c r="AI149" s="73"/>
      <c r="AJ149" s="71">
        <f>AE149-AF149-AH149-150</f>
        <v>9717.9500000000007</v>
      </c>
      <c r="AK149" s="71"/>
      <c r="AL149" s="71"/>
      <c r="AM149" s="70"/>
      <c r="AN149" s="74"/>
      <c r="AO149" s="278"/>
      <c r="AP149" s="144" t="str">
        <f t="shared" ca="1" si="37"/>
        <v/>
      </c>
      <c r="AQ149" s="142" t="s">
        <v>2381</v>
      </c>
      <c r="AR149" s="142" t="s">
        <v>2374</v>
      </c>
      <c r="AS149" s="57" t="str">
        <f t="shared" si="30"/>
        <v>---</v>
      </c>
      <c r="AT149" s="141" t="str">
        <f t="shared" si="31"/>
        <v xml:space="preserve">PLAN CINCO CCPP (Av)(S.Juan) Palomares 2, Portal 4 - </v>
      </c>
      <c r="AU149" s="141" t="str">
        <f t="shared" ca="1" si="32"/>
        <v/>
      </c>
      <c r="AV149" s="257" t="str">
        <f t="shared" ca="1" si="33"/>
        <v/>
      </c>
      <c r="AW149" s="257" t="str">
        <f t="shared" si="34"/>
        <v/>
      </c>
      <c r="AX149" s="141" t="s">
        <v>1410</v>
      </c>
      <c r="AY149" s="142"/>
    </row>
    <row r="150" spans="1:51" s="262" customFormat="1" x14ac:dyDescent="0.25">
      <c r="A150" s="64" t="s">
        <v>2165</v>
      </c>
      <c r="B150" s="64" t="s">
        <v>2331</v>
      </c>
      <c r="C150" s="61" t="s">
        <v>2129</v>
      </c>
      <c r="D150" s="43" t="s">
        <v>2013</v>
      </c>
      <c r="E150" s="201">
        <v>626204408</v>
      </c>
      <c r="F150" s="43" t="s">
        <v>2014</v>
      </c>
      <c r="G150" s="203" t="s">
        <v>2156</v>
      </c>
      <c r="H150" s="203" t="s">
        <v>0</v>
      </c>
      <c r="I150" s="122" t="s">
        <v>0</v>
      </c>
      <c r="J150" s="44">
        <v>45791</v>
      </c>
      <c r="K150" s="44">
        <v>45861</v>
      </c>
      <c r="L150" s="44">
        <v>46133</v>
      </c>
      <c r="M150" s="44"/>
      <c r="N150" s="127">
        <v>46157</v>
      </c>
      <c r="O150" s="128" t="s">
        <v>2484</v>
      </c>
      <c r="P150" s="129" t="s">
        <v>2522</v>
      </c>
      <c r="Q150" s="65"/>
      <c r="R150" s="65"/>
      <c r="S150" s="65"/>
      <c r="T150" s="65"/>
      <c r="U150" s="65"/>
      <c r="V150" s="46">
        <f t="shared" ca="1" si="27"/>
        <v>0</v>
      </c>
      <c r="W150" s="47">
        <f t="shared" ca="1" si="28"/>
        <v>0</v>
      </c>
      <c r="X150" s="47" t="str">
        <f t="shared" ca="1" si="35"/>
        <v xml:space="preserve">PENDIENTE </v>
      </c>
      <c r="Y150" s="47">
        <f t="shared" ca="1" si="29"/>
        <v>0</v>
      </c>
      <c r="Z150" s="227" t="str">
        <f t="shared" ca="1" si="36"/>
        <v xml:space="preserve">PENDIENTE </v>
      </c>
      <c r="AA150" s="66"/>
      <c r="AB150" s="67">
        <v>18</v>
      </c>
      <c r="AC150" s="68"/>
      <c r="AD150" s="69"/>
      <c r="AE150" s="70">
        <v>24950.47</v>
      </c>
      <c r="AF150" s="71">
        <v>8028</v>
      </c>
      <c r="AG150" s="71"/>
      <c r="AH150" s="72">
        <f>5724.56+1089.5+420</f>
        <v>7234.06</v>
      </c>
      <c r="AI150" s="73"/>
      <c r="AJ150" s="71">
        <f>AE150-AF150-AH150-240</f>
        <v>9448.41</v>
      </c>
      <c r="AK150" s="71"/>
      <c r="AL150" s="71"/>
      <c r="AM150" s="70"/>
      <c r="AN150" s="74"/>
      <c r="AO150" s="278"/>
      <c r="AP150" s="144" t="str">
        <f t="shared" ca="1" si="37"/>
        <v/>
      </c>
      <c r="AQ150" s="142" t="s">
        <v>2381</v>
      </c>
      <c r="AR150" s="142" t="s">
        <v>2374</v>
      </c>
      <c r="AS150" s="57" t="str">
        <f t="shared" si="30"/>
        <v>03</v>
      </c>
      <c r="AT150" s="141" t="str">
        <f t="shared" si="31"/>
        <v>PLAN CINCO CCPP (Av) Parque Amate 12 - Presupuesto pendiente de adjudicación</v>
      </c>
      <c r="AU150" s="141" t="str">
        <f t="shared" ca="1" si="32"/>
        <v>Estimado/a Sr/Sra:
Desde Instalaciones Araujo nos ponemos en contacto con ud, en relación con el Presupuesto de individualización de contadores de agua que le facilitamos el pasado 00/01/1900 para la CCPP (Av) Parque Amate 12.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50" s="257" t="str">
        <f t="shared" ca="1" si="33"/>
        <v>Estimado/a Sr/Sra:
Desde Instalaciones Araujo nos ponemos en contacto con ud, en relación con el Presupuesto de individualización de contadores de agua que le facilitamos el pasado {FECHA_PTO} para la CCPP (Av) Parque Amate 12.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50" s="257" t="str">
        <f t="shared" si="34"/>
        <v>Estimado/a Sr/Sra:
Desde Instalaciones Araujo nos ponemos en contacto con ud, en relación con el Presupuesto de individualización de contadores de agua que le facilitamos el pasado {FECHA_PTO} para la CCPP (Av) Parque Amate 12.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50" s="141" t="s">
        <v>1410</v>
      </c>
      <c r="AY150" s="142"/>
    </row>
    <row r="151" spans="1:51" s="262" customFormat="1" x14ac:dyDescent="0.25">
      <c r="A151" s="64" t="s">
        <v>2162</v>
      </c>
      <c r="B151" s="64" t="s">
        <v>2321</v>
      </c>
      <c r="C151" s="61" t="s">
        <v>2129</v>
      </c>
      <c r="D151" s="43" t="s">
        <v>2015</v>
      </c>
      <c r="E151" s="201">
        <v>673216172</v>
      </c>
      <c r="F151" s="43" t="s">
        <v>0</v>
      </c>
      <c r="G151" s="203" t="s">
        <v>2156</v>
      </c>
      <c r="H151" s="203" t="s">
        <v>0</v>
      </c>
      <c r="I151" s="122" t="s">
        <v>0</v>
      </c>
      <c r="J151" s="44">
        <v>45889</v>
      </c>
      <c r="K151" s="44">
        <v>45910</v>
      </c>
      <c r="L151" s="44">
        <v>45919</v>
      </c>
      <c r="M151" s="44"/>
      <c r="N151" s="127" t="s">
        <v>0</v>
      </c>
      <c r="O151" s="128" t="s">
        <v>2106</v>
      </c>
      <c r="P151" s="129" t="s">
        <v>2107</v>
      </c>
      <c r="Q151" s="65"/>
      <c r="R151" s="65"/>
      <c r="S151" s="65"/>
      <c r="T151" s="65"/>
      <c r="U151" s="65"/>
      <c r="V151" s="46">
        <f t="shared" ca="1" si="27"/>
        <v>0</v>
      </c>
      <c r="W151" s="47">
        <f t="shared" ca="1" si="28"/>
        <v>0</v>
      </c>
      <c r="X151" s="47" t="str">
        <f t="shared" ca="1" si="35"/>
        <v xml:space="preserve">PENDIENTE </v>
      </c>
      <c r="Y151" s="47">
        <f t="shared" ca="1" si="29"/>
        <v>0</v>
      </c>
      <c r="Z151" s="227" t="str">
        <f t="shared" ca="1" si="36"/>
        <v xml:space="preserve">PENDIENTE </v>
      </c>
      <c r="AA151" s="66"/>
      <c r="AB151" s="67">
        <v>11.3</v>
      </c>
      <c r="AC151" s="68"/>
      <c r="AD151" s="69"/>
      <c r="AE151" s="70">
        <v>10904.61</v>
      </c>
      <c r="AF151" s="71">
        <v>5045.38</v>
      </c>
      <c r="AG151" s="71"/>
      <c r="AH151" s="72">
        <v>2628.38</v>
      </c>
      <c r="AI151" s="73"/>
      <c r="AJ151" s="71">
        <f t="shared" ref="AJ151:AJ157" si="38">AE151-AF151-AH151-150</f>
        <v>3080.8500000000004</v>
      </c>
      <c r="AK151" s="71"/>
      <c r="AL151" s="71"/>
      <c r="AM151" s="70"/>
      <c r="AN151" s="74"/>
      <c r="AO151" s="278"/>
      <c r="AP151" s="144" t="str">
        <f t="shared" ca="1" si="37"/>
        <v/>
      </c>
      <c r="AQ151" s="142" t="s">
        <v>2381</v>
      </c>
      <c r="AR151" s="142" t="s">
        <v>2374</v>
      </c>
      <c r="AS151" s="57" t="str">
        <f t="shared" si="30"/>
        <v>---</v>
      </c>
      <c r="AT151" s="141" t="str">
        <f t="shared" si="31"/>
        <v xml:space="preserve">PLAN CINCO CCPP (C) Paulo Orosio 9 - </v>
      </c>
      <c r="AU151" s="141" t="str">
        <f t="shared" ca="1" si="32"/>
        <v/>
      </c>
      <c r="AV151" s="257" t="str">
        <f t="shared" ca="1" si="33"/>
        <v/>
      </c>
      <c r="AW151" s="257" t="str">
        <f t="shared" si="34"/>
        <v/>
      </c>
      <c r="AX151" s="141" t="s">
        <v>1410</v>
      </c>
      <c r="AY151" s="142"/>
    </row>
    <row r="152" spans="1:51" s="262" customFormat="1" x14ac:dyDescent="0.25">
      <c r="A152" s="75" t="s">
        <v>2179</v>
      </c>
      <c r="B152" s="75" t="s">
        <v>2332</v>
      </c>
      <c r="C152" s="42" t="s">
        <v>2129</v>
      </c>
      <c r="D152" s="43" t="s">
        <v>1744</v>
      </c>
      <c r="E152" s="201">
        <v>627384156</v>
      </c>
      <c r="F152" s="43" t="s">
        <v>1980</v>
      </c>
      <c r="G152" s="43" t="s">
        <v>2016</v>
      </c>
      <c r="H152" s="201">
        <v>639713708</v>
      </c>
      <c r="I152" s="43" t="s">
        <v>2017</v>
      </c>
      <c r="J152" s="44">
        <v>45861</v>
      </c>
      <c r="K152" s="44">
        <v>45876</v>
      </c>
      <c r="L152" s="44">
        <v>45880</v>
      </c>
      <c r="M152" s="44"/>
      <c r="N152" s="149" t="s">
        <v>0</v>
      </c>
      <c r="O152" s="199" t="s">
        <v>2158</v>
      </c>
      <c r="P152" s="126" t="s">
        <v>2527</v>
      </c>
      <c r="Q152" s="65">
        <v>46057</v>
      </c>
      <c r="R152" s="65">
        <v>46126</v>
      </c>
      <c r="S152" s="65" t="s">
        <v>609</v>
      </c>
      <c r="T152" s="65"/>
      <c r="U152" s="65"/>
      <c r="V152" s="46" t="str">
        <f t="shared" ca="1" si="27"/>
        <v>OK</v>
      </c>
      <c r="W152" s="47">
        <f t="shared" ca="1" si="28"/>
        <v>1</v>
      </c>
      <c r="X152" s="47" t="str">
        <f t="shared" ca="1" si="35"/>
        <v>COMPLETO</v>
      </c>
      <c r="Y152" s="47">
        <f t="shared" ca="1" si="29"/>
        <v>1</v>
      </c>
      <c r="Z152" s="227" t="str">
        <f t="shared" ca="1" si="36"/>
        <v>COMPLETO</v>
      </c>
      <c r="AA152" s="66" t="s">
        <v>53</v>
      </c>
      <c r="AB152" s="67">
        <v>12</v>
      </c>
      <c r="AC152" s="68">
        <f>AB152</f>
        <v>12</v>
      </c>
      <c r="AD152" s="78">
        <f>1-(AC152/AB152)</f>
        <v>0</v>
      </c>
      <c r="AE152" s="70">
        <v>14514.78</v>
      </c>
      <c r="AF152" s="71">
        <v>5357.58</v>
      </c>
      <c r="AG152" s="71">
        <f>AF152</f>
        <v>5357.58</v>
      </c>
      <c r="AH152" s="72">
        <v>4040.81</v>
      </c>
      <c r="AI152" s="73">
        <f>AH152</f>
        <v>4040.81</v>
      </c>
      <c r="AJ152" s="80">
        <f t="shared" si="38"/>
        <v>4966.3900000000012</v>
      </c>
      <c r="AK152" s="80">
        <f>AE152-AG152-AI152</f>
        <v>5116.3900000000012</v>
      </c>
      <c r="AL152" s="80">
        <f>AK152-AJ152</f>
        <v>150</v>
      </c>
      <c r="AM152" s="79">
        <f>AK152*0.2</f>
        <v>1023.2780000000002</v>
      </c>
      <c r="AN152" s="74"/>
      <c r="AO152" s="278"/>
      <c r="AP152" s="144" t="str">
        <f t="shared" ca="1" si="37"/>
        <v/>
      </c>
      <c r="AQ152" s="142" t="s">
        <v>2381</v>
      </c>
      <c r="AR152" s="142" t="s">
        <v>2374</v>
      </c>
      <c r="AS152" s="57" t="str">
        <f t="shared" si="30"/>
        <v>---</v>
      </c>
      <c r="AT152" s="141" t="str">
        <f t="shared" si="31"/>
        <v xml:space="preserve">PLAN CINCO CCPP (Av de la) Paz 29 - </v>
      </c>
      <c r="AU152" s="141" t="str">
        <f t="shared" ca="1" si="32"/>
        <v/>
      </c>
      <c r="AV152" s="257" t="str">
        <f t="shared" ca="1" si="33"/>
        <v/>
      </c>
      <c r="AW152" s="257" t="str">
        <f t="shared" si="34"/>
        <v/>
      </c>
      <c r="AX152" s="141" t="s">
        <v>1410</v>
      </c>
      <c r="AY152" s="142"/>
    </row>
    <row r="153" spans="1:51" s="262" customFormat="1" x14ac:dyDescent="0.25">
      <c r="A153" s="64" t="s">
        <v>2165</v>
      </c>
      <c r="B153" s="64" t="s">
        <v>2334</v>
      </c>
      <c r="C153" s="61" t="s">
        <v>2129</v>
      </c>
      <c r="D153" s="43" t="s">
        <v>1910</v>
      </c>
      <c r="E153" s="201">
        <v>744615257</v>
      </c>
      <c r="F153" s="43" t="s">
        <v>1911</v>
      </c>
      <c r="G153" s="43" t="s">
        <v>2018</v>
      </c>
      <c r="H153" s="201">
        <v>629304630</v>
      </c>
      <c r="I153" s="43" t="s">
        <v>0</v>
      </c>
      <c r="J153" s="44">
        <v>45820</v>
      </c>
      <c r="K153" s="44">
        <v>45881</v>
      </c>
      <c r="L153" s="44">
        <v>45882</v>
      </c>
      <c r="M153" s="44"/>
      <c r="N153" s="127">
        <v>46157</v>
      </c>
      <c r="O153" s="128" t="s">
        <v>2113</v>
      </c>
      <c r="P153" s="126" t="s">
        <v>2522</v>
      </c>
      <c r="Q153" s="65"/>
      <c r="R153" s="65"/>
      <c r="S153" s="65"/>
      <c r="T153" s="65"/>
      <c r="U153" s="65"/>
      <c r="V153" s="46">
        <f t="shared" ca="1" si="27"/>
        <v>0</v>
      </c>
      <c r="W153" s="47">
        <f t="shared" ca="1" si="28"/>
        <v>0</v>
      </c>
      <c r="X153" s="47" t="str">
        <f t="shared" ca="1" si="35"/>
        <v xml:space="preserve">PENDIENTE </v>
      </c>
      <c r="Y153" s="47">
        <f t="shared" ca="1" si="29"/>
        <v>0</v>
      </c>
      <c r="Z153" s="227" t="str">
        <f t="shared" ca="1" si="36"/>
        <v xml:space="preserve">PENDIENTE </v>
      </c>
      <c r="AA153" s="66"/>
      <c r="AB153" s="67">
        <v>26.6</v>
      </c>
      <c r="AC153" s="68"/>
      <c r="AD153" s="69"/>
      <c r="AE153" s="70">
        <v>38911.628398311223</v>
      </c>
      <c r="AF153" s="71">
        <v>11846.875</v>
      </c>
      <c r="AG153" s="71"/>
      <c r="AH153" s="72">
        <v>13580.03</v>
      </c>
      <c r="AI153" s="73"/>
      <c r="AJ153" s="71">
        <f t="shared" si="38"/>
        <v>13334.723398311222</v>
      </c>
      <c r="AK153" s="71"/>
      <c r="AL153" s="71"/>
      <c r="AM153" s="70"/>
      <c r="AN153" s="74"/>
      <c r="AO153" s="278"/>
      <c r="AP153" s="144" t="str">
        <f t="shared" ca="1" si="37"/>
        <v/>
      </c>
      <c r="AQ153" s="142" t="s">
        <v>2381</v>
      </c>
      <c r="AR153" s="142" t="s">
        <v>2374</v>
      </c>
      <c r="AS153" s="57" t="str">
        <f t="shared" si="30"/>
        <v>03</v>
      </c>
      <c r="AT153" s="141" t="str">
        <f t="shared" si="31"/>
        <v>PLAN CINCO CCPP (Av) Pedro Romero 1 - Presupuesto pendiente de adjudicación</v>
      </c>
      <c r="AU153" s="141" t="str">
        <f t="shared" ca="1" si="32"/>
        <v>Estimado/a Sr/Sra:
Desde Instalaciones Araujo nos ponemos en contacto con ud, en relación con el Presupuesto de individualización de contadores de agua que le facilitamos el pasado 00/01/1900 para la CCPP (Av) Pedro Romero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53" s="257" t="str">
        <f t="shared" ca="1" si="33"/>
        <v>Estimado/a Sr/Sra:
Desde Instalaciones Araujo nos ponemos en contacto con ud, en relación con el Presupuesto de individualización de contadores de agua que le facilitamos el pasado {FECHA_PTO} para la CCPP (Av) Pedro Romero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53" s="257" t="str">
        <f t="shared" si="34"/>
        <v>Estimado/a Sr/Sra:
Desde Instalaciones Araujo nos ponemos en contacto con ud, en relación con el Presupuesto de individualización de contadores de agua que le facilitamos el pasado {FECHA_PTO} para la CCPP (Av) Pedro Romero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53" s="141" t="s">
        <v>1410</v>
      </c>
      <c r="AY153" s="142"/>
    </row>
    <row r="154" spans="1:51" s="262" customFormat="1" x14ac:dyDescent="0.25">
      <c r="A154" s="64" t="s">
        <v>2162</v>
      </c>
      <c r="B154" s="64" t="s">
        <v>2335</v>
      </c>
      <c r="C154" s="61" t="s">
        <v>2129</v>
      </c>
      <c r="D154" s="43" t="s">
        <v>2019</v>
      </c>
      <c r="E154" s="201">
        <v>627384156</v>
      </c>
      <c r="F154" s="43" t="s">
        <v>1980</v>
      </c>
      <c r="G154" s="43" t="s">
        <v>2020</v>
      </c>
      <c r="H154" s="201">
        <v>605605783</v>
      </c>
      <c r="I154" s="43" t="s">
        <v>0</v>
      </c>
      <c r="J154" s="44">
        <v>45974</v>
      </c>
      <c r="K154" s="44">
        <v>46050</v>
      </c>
      <c r="L154" s="44">
        <v>46053</v>
      </c>
      <c r="M154" s="44"/>
      <c r="N154" s="127">
        <v>46157</v>
      </c>
      <c r="O154" s="128" t="s">
        <v>2113</v>
      </c>
      <c r="P154" s="126" t="s">
        <v>2522</v>
      </c>
      <c r="Q154" s="65"/>
      <c r="R154" s="65"/>
      <c r="S154" s="65"/>
      <c r="T154" s="65"/>
      <c r="U154" s="65"/>
      <c r="V154" s="46">
        <f t="shared" ca="1" si="27"/>
        <v>0</v>
      </c>
      <c r="W154" s="47">
        <f t="shared" ca="1" si="28"/>
        <v>0</v>
      </c>
      <c r="X154" s="47" t="str">
        <f t="shared" ca="1" si="35"/>
        <v xml:space="preserve">PENDIENTE </v>
      </c>
      <c r="Y154" s="47">
        <f t="shared" ca="1" si="29"/>
        <v>0</v>
      </c>
      <c r="Z154" s="227" t="str">
        <f t="shared" ca="1" si="36"/>
        <v xml:space="preserve">PENDIENTE </v>
      </c>
      <c r="AA154" s="66"/>
      <c r="AB154" s="67">
        <v>19</v>
      </c>
      <c r="AC154" s="68"/>
      <c r="AD154" s="69"/>
      <c r="AE154" s="70">
        <v>17839.022673781637</v>
      </c>
      <c r="AF154" s="71">
        <v>8474</v>
      </c>
      <c r="AG154" s="71"/>
      <c r="AH154" s="72">
        <v>3376.33</v>
      </c>
      <c r="AI154" s="73"/>
      <c r="AJ154" s="71">
        <f t="shared" si="38"/>
        <v>5838.6926737816375</v>
      </c>
      <c r="AK154" s="71"/>
      <c r="AL154" s="71"/>
      <c r="AM154" s="70"/>
      <c r="AN154" s="74"/>
      <c r="AO154" s="278"/>
      <c r="AP154" s="144" t="str">
        <f t="shared" ca="1" si="37"/>
        <v/>
      </c>
      <c r="AQ154" s="142" t="s">
        <v>2381</v>
      </c>
      <c r="AR154" s="142" t="s">
        <v>2374</v>
      </c>
      <c r="AS154" s="57" t="str">
        <f t="shared" si="30"/>
        <v>03</v>
      </c>
      <c r="AT154" s="141" t="str">
        <f t="shared" si="31"/>
        <v>PLAN CINCO CCPP (C) Peñaflor 5 - Presupuesto pendiente de adjudicación</v>
      </c>
      <c r="AU154" s="141" t="str">
        <f t="shared" ca="1" si="32"/>
        <v>Estimado/a Sr/Sra:
Desde Instalaciones Araujo nos ponemos en contacto con ud, en relación con el Presupuesto de individualización de contadores de agua que le facilitamos el pasado 00/01/1900 para la CCPP (C) Peñaflor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54" s="257" t="str">
        <f t="shared" ca="1" si="33"/>
        <v>Estimado/a Sr/Sra:
Desde Instalaciones Araujo nos ponemos en contacto con ud, en relación con el Presupuesto de individualización de contadores de agua que le facilitamos el pasado {FECHA_PTO} para la CCPP (C) Peñaflor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54" s="257" t="str">
        <f t="shared" si="34"/>
        <v>Estimado/a Sr/Sra:
Desde Instalaciones Araujo nos ponemos en contacto con ud, en relación con el Presupuesto de individualización de contadores de agua que le facilitamos el pasado {FECHA_PTO} para la CCPP (C) Peñaflor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54" s="141" t="s">
        <v>1410</v>
      </c>
      <c r="AY154" s="142"/>
    </row>
    <row r="155" spans="1:51" s="262" customFormat="1" x14ac:dyDescent="0.25">
      <c r="A155" s="64" t="s">
        <v>2162</v>
      </c>
      <c r="B155" s="64" t="s">
        <v>2336</v>
      </c>
      <c r="C155" s="61" t="s">
        <v>2129</v>
      </c>
      <c r="D155" s="43" t="s">
        <v>1059</v>
      </c>
      <c r="E155" s="201">
        <v>677594520</v>
      </c>
      <c r="F155" s="43" t="s">
        <v>1805</v>
      </c>
      <c r="G155" s="43" t="s">
        <v>0</v>
      </c>
      <c r="H155" s="201" t="s">
        <v>0</v>
      </c>
      <c r="I155" s="43" t="s">
        <v>0</v>
      </c>
      <c r="J155" s="44">
        <v>45861</v>
      </c>
      <c r="K155" s="44">
        <v>45902</v>
      </c>
      <c r="L155" s="44">
        <v>45902</v>
      </c>
      <c r="M155" s="44"/>
      <c r="N155" s="127" t="s">
        <v>0</v>
      </c>
      <c r="O155" s="128" t="s">
        <v>2105</v>
      </c>
      <c r="P155" s="126" t="s">
        <v>2107</v>
      </c>
      <c r="Q155" s="65"/>
      <c r="R155" s="65"/>
      <c r="S155" s="65"/>
      <c r="T155" s="65"/>
      <c r="U155" s="65"/>
      <c r="V155" s="46">
        <f t="shared" ca="1" si="27"/>
        <v>0</v>
      </c>
      <c r="W155" s="47">
        <f t="shared" ca="1" si="28"/>
        <v>0</v>
      </c>
      <c r="X155" s="47" t="str">
        <f t="shared" ca="1" si="35"/>
        <v xml:space="preserve">PENDIENTE </v>
      </c>
      <c r="Y155" s="47">
        <f t="shared" ca="1" si="29"/>
        <v>0</v>
      </c>
      <c r="Z155" s="227" t="str">
        <f t="shared" ca="1" si="36"/>
        <v xml:space="preserve">PENDIENTE </v>
      </c>
      <c r="AA155" s="66"/>
      <c r="AB155" s="67">
        <v>2</v>
      </c>
      <c r="AC155" s="68"/>
      <c r="AD155" s="69"/>
      <c r="AE155" s="70">
        <v>3701.32</v>
      </c>
      <c r="AF155" s="71">
        <v>892</v>
      </c>
      <c r="AG155" s="71"/>
      <c r="AH155" s="72">
        <v>1483.9</v>
      </c>
      <c r="AI155" s="73"/>
      <c r="AJ155" s="71">
        <f t="shared" si="38"/>
        <v>1175.42</v>
      </c>
      <c r="AK155" s="71"/>
      <c r="AL155" s="71"/>
      <c r="AM155" s="70"/>
      <c r="AN155" s="74"/>
      <c r="AO155" s="278"/>
      <c r="AP155" s="144" t="str">
        <f t="shared" ca="1" si="37"/>
        <v/>
      </c>
      <c r="AQ155" s="142" t="s">
        <v>2381</v>
      </c>
      <c r="AR155" s="142" t="s">
        <v>2374</v>
      </c>
      <c r="AS155" s="57" t="str">
        <f t="shared" si="30"/>
        <v>---</v>
      </c>
      <c r="AT155" s="141" t="str">
        <f t="shared" si="31"/>
        <v xml:space="preserve">PLAN CINCO CCPP (C) Peñuelas 13 - </v>
      </c>
      <c r="AU155" s="141" t="str">
        <f t="shared" ca="1" si="32"/>
        <v/>
      </c>
      <c r="AV155" s="257" t="str">
        <f t="shared" ca="1" si="33"/>
        <v/>
      </c>
      <c r="AW155" s="257" t="str">
        <f t="shared" si="34"/>
        <v/>
      </c>
      <c r="AX155" s="141" t="s">
        <v>1410</v>
      </c>
      <c r="AY155" s="142"/>
    </row>
    <row r="156" spans="1:51" s="262" customFormat="1" ht="63" x14ac:dyDescent="0.25">
      <c r="A156" s="75" t="s">
        <v>2162</v>
      </c>
      <c r="B156" s="75" t="s">
        <v>2337</v>
      </c>
      <c r="C156" s="61" t="s">
        <v>2129</v>
      </c>
      <c r="D156" s="43" t="s">
        <v>1131</v>
      </c>
      <c r="E156" s="201">
        <v>663600432</v>
      </c>
      <c r="F156" s="43" t="s">
        <v>2021</v>
      </c>
      <c r="G156" s="43" t="s">
        <v>2022</v>
      </c>
      <c r="H156" s="201" t="s">
        <v>0</v>
      </c>
      <c r="I156" s="43" t="s">
        <v>0</v>
      </c>
      <c r="J156" s="44">
        <v>45918</v>
      </c>
      <c r="K156" s="44">
        <v>45965</v>
      </c>
      <c r="L156" s="44">
        <v>45973</v>
      </c>
      <c r="M156" s="44"/>
      <c r="N156" s="127">
        <v>46128</v>
      </c>
      <c r="O156" s="199" t="s">
        <v>2459</v>
      </c>
      <c r="P156" s="126" t="s">
        <v>2521</v>
      </c>
      <c r="Q156" s="65">
        <v>46035</v>
      </c>
      <c r="R156" s="65" t="s">
        <v>609</v>
      </c>
      <c r="S156" s="65"/>
      <c r="T156" s="65"/>
      <c r="U156" s="65"/>
      <c r="V156" s="46" t="str">
        <f t="shared" ca="1" si="27"/>
        <v>OK</v>
      </c>
      <c r="W156" s="47">
        <f t="shared" ca="1" si="28"/>
        <v>1</v>
      </c>
      <c r="X156" s="47" t="str">
        <f t="shared" ca="1" si="35"/>
        <v>COMPLETO</v>
      </c>
      <c r="Y156" s="47">
        <f t="shared" ca="1" si="29"/>
        <v>0.625</v>
      </c>
      <c r="Z156" s="227" t="str">
        <f t="shared" ca="1" si="36"/>
        <v>PENDIENTE -(1IZDA)-(2IZDA)-(3IZDA)</v>
      </c>
      <c r="AA156" s="66" t="s">
        <v>2443</v>
      </c>
      <c r="AB156" s="67">
        <v>7.5</v>
      </c>
      <c r="AC156" s="68">
        <f>AB156</f>
        <v>7.5</v>
      </c>
      <c r="AD156" s="69">
        <f>1-(AC156/AB156)</f>
        <v>0</v>
      </c>
      <c r="AE156" s="70">
        <v>8319.6</v>
      </c>
      <c r="AF156" s="71">
        <v>3345</v>
      </c>
      <c r="AG156" s="71">
        <f>AF156</f>
        <v>3345</v>
      </c>
      <c r="AH156" s="72">
        <v>2259.9899999999998</v>
      </c>
      <c r="AI156" s="73">
        <f>AH156</f>
        <v>2259.9899999999998</v>
      </c>
      <c r="AJ156" s="71">
        <f t="shared" si="38"/>
        <v>2564.6100000000006</v>
      </c>
      <c r="AK156" s="71">
        <f>AE156-AG156-AI156</f>
        <v>2714.6100000000006</v>
      </c>
      <c r="AL156" s="71">
        <f>AK156-AJ156</f>
        <v>150</v>
      </c>
      <c r="AM156" s="70">
        <f>AK156*0.2</f>
        <v>542.92200000000014</v>
      </c>
      <c r="AN156" s="74"/>
      <c r="AO156" s="278"/>
      <c r="AP156" s="144" t="str">
        <f t="shared" ca="1" si="37"/>
        <v>SI</v>
      </c>
      <c r="AQ156" s="142" t="s">
        <v>2381</v>
      </c>
      <c r="AR156" s="142" t="s">
        <v>2374</v>
      </c>
      <c r="AS156" s="57" t="str">
        <f t="shared" si="30"/>
        <v>05</v>
      </c>
      <c r="AT156" s="141" t="str">
        <f t="shared" si="31"/>
        <v>PLAN CINCO CCPP (C) Perdiz 5 - Proceso de Documentación</v>
      </c>
      <c r="AU156" s="141" t="str">
        <f t="shared" ca="1" si="32"/>
        <v>Estimado/a Sr/Sra:
Nos ponemos en contacto desde Instalaciones Araujo, la empresa encargada para la individualización de contadores de agua en la CCPP (C) Perdiz 5, agradeciéndole la confianza depositada en nosotros.
Le comunicamos que con fecha 13/01/2026 solicitamos a la CCPP la entrega de la documentación necesaria para iniciar la tramitación del expediente con EMASESA.
Para su conocimiento, le informamos que, hasta la fecha, hemos recibido el {63%} de la documentación.
DOCUMENTACION DE LA CCPP:  COMPLETO
DOCUMENTACION DE LAS VIVIENDAS: PENDIENTE -(1IZDA)-(2IZDA)-(3IZDA)
Le mantendremos informado, rogándole que igualmente informe de este particular a los propietarios con la fecha limite de envío 02/02/2026.
Comunicación confidencial conforme al RGPD y la LOPDGDD, en el marco del contrato suscrito con la CCPP.
***ROGAMOS CONFIRMACION DE RECEPCION***
Quedamos a su disposición para resolver cualquier duda
Atentamente, Instalaciones Araujo</v>
      </c>
      <c r="AV156" s="257" t="str">
        <f t="shared" ca="1" si="33"/>
        <v>Estimado/a Sr/Sra:
Nos ponemos en contacto desde Instalaciones Araujo, la empresa encargada para la individualización de contadores de agua en la CCPP (C) Perdiz 5, agradeciéndole la confianza depositada en nosotros.
Le comunicamos que con fecha 13/01/2026 solicitamos a la CCPP la entrega de la documentación necesaria para iniciar la tramitación del expediente con EMASESA.
Para su conocimiento, le informamos que, hasta la fecha, hemos recibido el {63%} de la documentación.
DOCUMENTACION DE LA CCPP:  {DOC_CCPP}
DOCUMENTACION DE LAS VIVIENDAS: {DOC_PISOS}
Le mantendremos informado, rogándole que igualmente informe de este particular a los propietarios con la fecha limite de envío 02/02/2026.
Comunicación confidencial conforme al RGPD y la LOPDGDD, en el marco del contrato suscrito con la CCPP.
***ROGAMOS CONFIRMACION DE RECEPCION***
Quedamos a su disposición para resolver cualquier duda
Atentamente, Instalaciones Araujo</v>
      </c>
      <c r="AW156" s="257" t="str">
        <f t="shared" si="34"/>
        <v>Estimado/a Sr/Sra:
Nos ponemos en contacto desde Instalaciones Araujo, la empresa encargada para la individualización de contadores de agua en la CCPP (C) Perdiz 5, agradeciéndole la confianza depositada en nosotros.
Le comunicamos que con fecha 13/01/2026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02/02/2026.
Comunicación confidencial conforme al RGPD y la LOPDGDD, en el marco del contrato suscrito con la CCPP.
***ROGAMOS CONFIRMACION DE RECEPCION***
Quedamos a su disposición para resolver cualquier duda
Atentamente, Instalaciones Araujo</v>
      </c>
      <c r="AX156" s="141" t="s">
        <v>1410</v>
      </c>
      <c r="AY156" s="142"/>
    </row>
    <row r="157" spans="1:51" s="262" customFormat="1" x14ac:dyDescent="0.25">
      <c r="A157" s="64" t="s">
        <v>2162</v>
      </c>
      <c r="B157" s="64" t="s">
        <v>2338</v>
      </c>
      <c r="C157" s="61" t="s">
        <v>2129</v>
      </c>
      <c r="D157" s="43" t="s">
        <v>2023</v>
      </c>
      <c r="E157" s="201">
        <v>606596161</v>
      </c>
      <c r="F157" s="43" t="s">
        <v>2024</v>
      </c>
      <c r="G157" s="203" t="s">
        <v>2156</v>
      </c>
      <c r="H157" s="203" t="s">
        <v>0</v>
      </c>
      <c r="I157" s="122" t="s">
        <v>0</v>
      </c>
      <c r="J157" s="44">
        <v>45905</v>
      </c>
      <c r="K157" s="44">
        <v>45946</v>
      </c>
      <c r="L157" s="44">
        <v>45951</v>
      </c>
      <c r="M157" s="44"/>
      <c r="N157" s="127">
        <v>46157</v>
      </c>
      <c r="O157" s="128" t="s">
        <v>2103</v>
      </c>
      <c r="P157" s="126" t="s">
        <v>2522</v>
      </c>
      <c r="Q157" s="65"/>
      <c r="R157" s="65"/>
      <c r="S157" s="65"/>
      <c r="T157" s="65"/>
      <c r="U157" s="65"/>
      <c r="V157" s="46">
        <f t="shared" ca="1" si="27"/>
        <v>0</v>
      </c>
      <c r="W157" s="47">
        <f t="shared" ca="1" si="28"/>
        <v>0</v>
      </c>
      <c r="X157" s="47" t="str">
        <f t="shared" ca="1" si="35"/>
        <v xml:space="preserve">PENDIENTE </v>
      </c>
      <c r="Y157" s="47">
        <f t="shared" ca="1" si="29"/>
        <v>0</v>
      </c>
      <c r="Z157" s="227" t="str">
        <f t="shared" ca="1" si="36"/>
        <v xml:space="preserve">PENDIENTE </v>
      </c>
      <c r="AA157" s="66"/>
      <c r="AB157" s="67">
        <v>8</v>
      </c>
      <c r="AC157" s="68"/>
      <c r="AD157" s="69"/>
      <c r="AE157" s="70">
        <v>8356.3509478216638</v>
      </c>
      <c r="AF157" s="71">
        <v>3573.5749999999998</v>
      </c>
      <c r="AG157" s="71"/>
      <c r="AH157" s="72">
        <v>2257.2199999999998</v>
      </c>
      <c r="AI157" s="73"/>
      <c r="AJ157" s="71">
        <f t="shared" si="38"/>
        <v>2375.5559478216642</v>
      </c>
      <c r="AK157" s="71"/>
      <c r="AL157" s="71"/>
      <c r="AM157" s="70"/>
      <c r="AN157" s="74"/>
      <c r="AO157" s="278"/>
      <c r="AP157" s="144" t="str">
        <f t="shared" ca="1" si="37"/>
        <v/>
      </c>
      <c r="AQ157" s="142" t="s">
        <v>2381</v>
      </c>
      <c r="AR157" s="142" t="s">
        <v>2374</v>
      </c>
      <c r="AS157" s="57" t="str">
        <f t="shared" si="30"/>
        <v>03</v>
      </c>
      <c r="AT157" s="141" t="str">
        <f t="shared" si="31"/>
        <v>PLAN CINCO CCPP (C) Pérez Galdós 1 - Presupuesto pendiente de adjudicación</v>
      </c>
      <c r="AU157" s="141" t="str">
        <f t="shared" ca="1" si="32"/>
        <v>Estimado/a Sr/Sra:
Desde Instalaciones Araujo nos ponemos en contacto con ud, en relación con el Presupuesto de individualización de contadores de agua que le facilitamos el pasado 00/01/1900 para la CCPP (C) Pérez Galdós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57" s="257" t="str">
        <f t="shared" ca="1" si="33"/>
        <v>Estimado/a Sr/Sra:
Desde Instalaciones Araujo nos ponemos en contacto con ud, en relación con el Presupuesto de individualización de contadores de agua que le facilitamos el pasado {FECHA_PTO} para la CCPP (C) Pérez Galdós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57" s="257" t="str">
        <f t="shared" si="34"/>
        <v>Estimado/a Sr/Sra:
Desde Instalaciones Araujo nos ponemos en contacto con ud, en relación con el Presupuesto de individualización de contadores de agua que le facilitamos el pasado {FECHA_PTO} para la CCPP (C) Pérez Galdós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57" s="141" t="s">
        <v>1410</v>
      </c>
      <c r="AY157" s="142"/>
    </row>
    <row r="158" spans="1:51" s="262" customFormat="1" x14ac:dyDescent="0.25">
      <c r="A158" s="64" t="s">
        <v>2163</v>
      </c>
      <c r="B158" s="64" t="s">
        <v>2339</v>
      </c>
      <c r="C158" s="61" t="s">
        <v>2129</v>
      </c>
      <c r="D158" s="43" t="s">
        <v>2025</v>
      </c>
      <c r="E158" s="201">
        <v>954658582</v>
      </c>
      <c r="F158" s="263" t="s">
        <v>1970</v>
      </c>
      <c r="G158" s="43" t="s">
        <v>2026</v>
      </c>
      <c r="H158" s="201">
        <v>670672183</v>
      </c>
      <c r="I158" s="43" t="s">
        <v>0</v>
      </c>
      <c r="J158" s="44">
        <v>45922</v>
      </c>
      <c r="K158" s="44"/>
      <c r="L158" s="44"/>
      <c r="M158" s="44"/>
      <c r="N158" s="127">
        <v>46157</v>
      </c>
      <c r="O158" s="128" t="s">
        <v>2133</v>
      </c>
      <c r="P158" s="126" t="s">
        <v>2514</v>
      </c>
      <c r="Q158" s="65"/>
      <c r="R158" s="65"/>
      <c r="S158" s="65"/>
      <c r="T158" s="65"/>
      <c r="U158" s="65"/>
      <c r="V158" s="46">
        <f t="shared" ca="1" si="27"/>
        <v>0</v>
      </c>
      <c r="W158" s="47">
        <f t="shared" ca="1" si="28"/>
        <v>0</v>
      </c>
      <c r="X158" s="47" t="str">
        <f t="shared" ca="1" si="35"/>
        <v xml:space="preserve">PENDIENTE </v>
      </c>
      <c r="Y158" s="47">
        <f t="shared" ca="1" si="29"/>
        <v>0</v>
      </c>
      <c r="Z158" s="227" t="str">
        <f t="shared" ca="1" si="36"/>
        <v xml:space="preserve">PENDIENTE </v>
      </c>
      <c r="AA158" s="124"/>
      <c r="AB158" s="67"/>
      <c r="AC158" s="68"/>
      <c r="AD158" s="69"/>
      <c r="AE158" s="70"/>
      <c r="AF158" s="71"/>
      <c r="AG158" s="71"/>
      <c r="AH158" s="72"/>
      <c r="AI158" s="73"/>
      <c r="AJ158" s="71"/>
      <c r="AK158" s="71"/>
      <c r="AL158" s="71"/>
      <c r="AM158" s="70"/>
      <c r="AN158" s="74"/>
      <c r="AO158" s="278"/>
      <c r="AP158" s="144" t="str">
        <f t="shared" ca="1" si="37"/>
        <v/>
      </c>
      <c r="AQ158" s="142" t="s">
        <v>2381</v>
      </c>
      <c r="AR158" s="142" t="s">
        <v>2374</v>
      </c>
      <c r="AS158" s="57" t="str">
        <f t="shared" si="30"/>
        <v>01</v>
      </c>
      <c r="AT158" s="141" t="str">
        <f t="shared" si="31"/>
        <v>PLAN CINCO CCPP (Pz) Pintor Amalio García del Moral 8 - Solicitud de documentación para presupuestar</v>
      </c>
      <c r="AU158" s="141" t="str">
        <f t="shared" ca="1" si="32"/>
        <v>Estimado/a Sr/Sra:
Gracias por contactar con Instalaciones Araujo para valorar la individualización de contadores de agua en la CCPP (Pz) Pintor Amalio García del Moral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58" s="257" t="str">
        <f t="shared" ca="1" si="33"/>
        <v>Estimado/a Sr/Sra:
Gracias por contactar con Instalaciones Araujo para valorar la individualización de contadores de agua en la CCPP (Pz) Pintor Amalio García del Moral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58" s="257" t="str">
        <f t="shared" si="34"/>
        <v>Estimado/a Sr/Sra:
Gracias por contactar con Instalaciones Araujo para valorar la individualización de contadores de agua en la CCPP (Pz) Pintor Amalio García del Moral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58" s="141" t="s">
        <v>1410</v>
      </c>
      <c r="AY158" s="142"/>
    </row>
    <row r="159" spans="1:51" s="262" customFormat="1" x14ac:dyDescent="0.25">
      <c r="A159" s="64" t="s">
        <v>2162</v>
      </c>
      <c r="B159" s="64" t="s">
        <v>2329</v>
      </c>
      <c r="C159" s="61" t="s">
        <v>2129</v>
      </c>
      <c r="D159" s="43" t="s">
        <v>1870</v>
      </c>
      <c r="E159" s="201">
        <v>609444602</v>
      </c>
      <c r="F159" s="43" t="s">
        <v>1871</v>
      </c>
      <c r="G159" s="43" t="s">
        <v>0</v>
      </c>
      <c r="H159" s="201" t="s">
        <v>0</v>
      </c>
      <c r="I159" s="43" t="s">
        <v>0</v>
      </c>
      <c r="J159" s="44">
        <v>45769</v>
      </c>
      <c r="K159" s="44">
        <v>45770</v>
      </c>
      <c r="L159" s="44">
        <v>45772</v>
      </c>
      <c r="M159" s="44"/>
      <c r="N159" s="127" t="s">
        <v>0</v>
      </c>
      <c r="O159" s="128" t="s">
        <v>2105</v>
      </c>
      <c r="P159" s="126" t="s">
        <v>2107</v>
      </c>
      <c r="Q159" s="65"/>
      <c r="R159" s="65"/>
      <c r="S159" s="65"/>
      <c r="T159" s="65"/>
      <c r="U159" s="65"/>
      <c r="V159" s="46">
        <f t="shared" ca="1" si="27"/>
        <v>0</v>
      </c>
      <c r="W159" s="47">
        <f t="shared" ca="1" si="28"/>
        <v>0</v>
      </c>
      <c r="X159" s="47" t="str">
        <f t="shared" ca="1" si="35"/>
        <v xml:space="preserve">PENDIENTE </v>
      </c>
      <c r="Y159" s="47">
        <f t="shared" ca="1" si="29"/>
        <v>0</v>
      </c>
      <c r="Z159" s="227" t="str">
        <f t="shared" ca="1" si="36"/>
        <v xml:space="preserve">PENDIENTE </v>
      </c>
      <c r="AA159" s="66"/>
      <c r="AB159" s="67">
        <v>19.399999999999999</v>
      </c>
      <c r="AC159" s="68"/>
      <c r="AD159" s="69"/>
      <c r="AE159" s="70">
        <v>19745.39</v>
      </c>
      <c r="AF159" s="71">
        <v>8631.2199999999993</v>
      </c>
      <c r="AG159" s="71"/>
      <c r="AH159" s="72">
        <v>4835.8</v>
      </c>
      <c r="AI159" s="73"/>
      <c r="AJ159" s="71">
        <f>AE159-AF159-AH159-150</f>
        <v>6128.37</v>
      </c>
      <c r="AK159" s="71"/>
      <c r="AL159" s="71"/>
      <c r="AM159" s="70"/>
      <c r="AN159" s="74"/>
      <c r="AO159" s="278"/>
      <c r="AP159" s="144" t="str">
        <f t="shared" ca="1" si="37"/>
        <v/>
      </c>
      <c r="AQ159" s="142" t="s">
        <v>2381</v>
      </c>
      <c r="AR159" s="142" t="s">
        <v>2374</v>
      </c>
      <c r="AS159" s="57" t="str">
        <f t="shared" si="30"/>
        <v>---</v>
      </c>
      <c r="AT159" s="141" t="str">
        <f t="shared" si="31"/>
        <v xml:space="preserve">PLAN CINCO CCPP (C) Playa de Chipiona 2 - </v>
      </c>
      <c r="AU159" s="141" t="str">
        <f t="shared" ca="1" si="32"/>
        <v/>
      </c>
      <c r="AV159" s="257" t="str">
        <f t="shared" ca="1" si="33"/>
        <v/>
      </c>
      <c r="AW159" s="257" t="str">
        <f t="shared" si="34"/>
        <v/>
      </c>
      <c r="AX159" s="141" t="s">
        <v>1410</v>
      </c>
      <c r="AY159" s="142"/>
    </row>
    <row r="160" spans="1:51" s="262" customFormat="1" x14ac:dyDescent="0.25">
      <c r="A160" s="64" t="s">
        <v>2162</v>
      </c>
      <c r="B160" s="64" t="s">
        <v>2330</v>
      </c>
      <c r="C160" s="61" t="s">
        <v>2129</v>
      </c>
      <c r="D160" s="43" t="s">
        <v>1870</v>
      </c>
      <c r="E160" s="201">
        <v>609444602</v>
      </c>
      <c r="F160" s="43" t="s">
        <v>1871</v>
      </c>
      <c r="G160" s="43" t="s">
        <v>0</v>
      </c>
      <c r="H160" s="201" t="s">
        <v>0</v>
      </c>
      <c r="I160" s="43" t="s">
        <v>0</v>
      </c>
      <c r="J160" s="44">
        <v>45769</v>
      </c>
      <c r="K160" s="44">
        <v>45770</v>
      </c>
      <c r="L160" s="44">
        <v>45772</v>
      </c>
      <c r="M160" s="44"/>
      <c r="N160" s="127" t="s">
        <v>0</v>
      </c>
      <c r="O160" s="128" t="s">
        <v>2105</v>
      </c>
      <c r="P160" s="126" t="s">
        <v>2107</v>
      </c>
      <c r="Q160" s="65"/>
      <c r="R160" s="65"/>
      <c r="S160" s="65"/>
      <c r="T160" s="65"/>
      <c r="U160" s="65"/>
      <c r="V160" s="46">
        <f t="shared" ca="1" si="27"/>
        <v>0</v>
      </c>
      <c r="W160" s="47">
        <f t="shared" ca="1" si="28"/>
        <v>0</v>
      </c>
      <c r="X160" s="47" t="str">
        <f t="shared" ca="1" si="35"/>
        <v xml:space="preserve">PENDIENTE </v>
      </c>
      <c r="Y160" s="47">
        <f t="shared" ca="1" si="29"/>
        <v>0</v>
      </c>
      <c r="Z160" s="227" t="str">
        <f t="shared" ca="1" si="36"/>
        <v xml:space="preserve">PENDIENTE </v>
      </c>
      <c r="AA160" s="66"/>
      <c r="AB160" s="67">
        <v>24.5</v>
      </c>
      <c r="AC160" s="68"/>
      <c r="AD160" s="69"/>
      <c r="AE160" s="70">
        <v>25452.34</v>
      </c>
      <c r="AF160" s="71">
        <v>10915.85</v>
      </c>
      <c r="AG160" s="71"/>
      <c r="AH160" s="72">
        <v>6997.62</v>
      </c>
      <c r="AI160" s="73"/>
      <c r="AJ160" s="71">
        <f>AE160-AF160-AH160-150</f>
        <v>7388.87</v>
      </c>
      <c r="AK160" s="71"/>
      <c r="AL160" s="71"/>
      <c r="AM160" s="70"/>
      <c r="AN160" s="74"/>
      <c r="AO160" s="278"/>
      <c r="AP160" s="144" t="str">
        <f t="shared" ca="1" si="37"/>
        <v/>
      </c>
      <c r="AQ160" s="142" t="s">
        <v>2381</v>
      </c>
      <c r="AR160" s="142" t="s">
        <v>2374</v>
      </c>
      <c r="AS160" s="57" t="str">
        <f t="shared" si="30"/>
        <v>---</v>
      </c>
      <c r="AT160" s="141" t="str">
        <f t="shared" si="31"/>
        <v xml:space="preserve">PLAN CINCO CCPP (C) Playa de Estepona 3 - </v>
      </c>
      <c r="AU160" s="141" t="str">
        <f t="shared" ca="1" si="32"/>
        <v/>
      </c>
      <c r="AV160" s="257" t="str">
        <f t="shared" ca="1" si="33"/>
        <v/>
      </c>
      <c r="AW160" s="257" t="str">
        <f t="shared" si="34"/>
        <v/>
      </c>
      <c r="AX160" s="141" t="s">
        <v>1410</v>
      </c>
      <c r="AY160" s="142"/>
    </row>
    <row r="161" spans="1:51" s="262" customFormat="1" x14ac:dyDescent="0.25">
      <c r="A161" s="64" t="s">
        <v>2162</v>
      </c>
      <c r="B161" s="64" t="s">
        <v>2340</v>
      </c>
      <c r="C161" s="61" t="s">
        <v>2129</v>
      </c>
      <c r="D161" s="43" t="s">
        <v>1866</v>
      </c>
      <c r="E161" s="201">
        <v>661592498</v>
      </c>
      <c r="F161" s="263" t="s">
        <v>1867</v>
      </c>
      <c r="G161" s="43" t="s">
        <v>2402</v>
      </c>
      <c r="H161" s="201">
        <v>626063794</v>
      </c>
      <c r="I161" s="43" t="s">
        <v>0</v>
      </c>
      <c r="J161" s="136">
        <v>46122</v>
      </c>
      <c r="K161" s="136"/>
      <c r="L161" s="136"/>
      <c r="M161" s="136"/>
      <c r="N161" s="127"/>
      <c r="O161" s="128" t="s">
        <v>2425</v>
      </c>
      <c r="P161" s="129" t="s">
        <v>2098</v>
      </c>
      <c r="Q161" s="65"/>
      <c r="R161" s="65"/>
      <c r="S161" s="65"/>
      <c r="T161" s="65"/>
      <c r="U161" s="65"/>
      <c r="V161" s="46">
        <f t="shared" ca="1" si="27"/>
        <v>0</v>
      </c>
      <c r="W161" s="47">
        <f t="shared" ca="1" si="28"/>
        <v>0</v>
      </c>
      <c r="X161" s="47" t="str">
        <f t="shared" ca="1" si="35"/>
        <v xml:space="preserve">PENDIENTE </v>
      </c>
      <c r="Y161" s="47">
        <f t="shared" ca="1" si="29"/>
        <v>0</v>
      </c>
      <c r="Z161" s="227" t="str">
        <f t="shared" ca="1" si="36"/>
        <v xml:space="preserve">PENDIENTE </v>
      </c>
      <c r="AA161" s="124"/>
      <c r="AB161" s="67"/>
      <c r="AC161" s="68"/>
      <c r="AD161" s="69"/>
      <c r="AE161" s="70"/>
      <c r="AF161" s="71"/>
      <c r="AG161" s="71"/>
      <c r="AH161" s="72"/>
      <c r="AI161" s="73"/>
      <c r="AJ161" s="71"/>
      <c r="AK161" s="71"/>
      <c r="AL161" s="71"/>
      <c r="AM161" s="70"/>
      <c r="AN161" s="74"/>
      <c r="AO161" s="278"/>
      <c r="AP161" s="144" t="str">
        <f t="shared" ca="1" si="37"/>
        <v/>
      </c>
      <c r="AQ161" s="142" t="s">
        <v>2381</v>
      </c>
      <c r="AR161" s="142" t="s">
        <v>2374</v>
      </c>
      <c r="AS161" s="57" t="str">
        <f t="shared" si="30"/>
        <v>---</v>
      </c>
      <c r="AT161" s="141" t="str">
        <f t="shared" si="31"/>
        <v xml:space="preserve">PLAN CINCO CCPP (C) Puerto de Viella 5 - </v>
      </c>
      <c r="AU161" s="141" t="str">
        <f t="shared" ca="1" si="32"/>
        <v/>
      </c>
      <c r="AV161" s="257" t="str">
        <f t="shared" ca="1" si="33"/>
        <v/>
      </c>
      <c r="AW161" s="257" t="str">
        <f t="shared" si="34"/>
        <v/>
      </c>
      <c r="AX161" s="141" t="s">
        <v>1410</v>
      </c>
      <c r="AY161" s="142"/>
    </row>
    <row r="162" spans="1:51" s="262" customFormat="1" x14ac:dyDescent="0.25">
      <c r="A162" s="75" t="s">
        <v>2162</v>
      </c>
      <c r="B162" s="75" t="s">
        <v>2341</v>
      </c>
      <c r="C162" s="42" t="s">
        <v>2129</v>
      </c>
      <c r="D162" s="43" t="s">
        <v>1059</v>
      </c>
      <c r="E162" s="201">
        <v>677594520</v>
      </c>
      <c r="F162" s="43" t="s">
        <v>1805</v>
      </c>
      <c r="G162" s="43" t="s">
        <v>0</v>
      </c>
      <c r="H162" s="201" t="s">
        <v>0</v>
      </c>
      <c r="I162" s="43" t="s">
        <v>0</v>
      </c>
      <c r="J162" s="44">
        <v>45859</v>
      </c>
      <c r="K162" s="44">
        <v>45863</v>
      </c>
      <c r="L162" s="44">
        <v>46133</v>
      </c>
      <c r="M162" s="44"/>
      <c r="N162" s="149" t="s">
        <v>0</v>
      </c>
      <c r="O162" s="128" t="s">
        <v>2483</v>
      </c>
      <c r="P162" s="129" t="s">
        <v>2528</v>
      </c>
      <c r="Q162" s="65">
        <v>45974</v>
      </c>
      <c r="R162" s="65">
        <v>46108</v>
      </c>
      <c r="S162" s="65">
        <v>46132</v>
      </c>
      <c r="T162" s="65" t="s">
        <v>609</v>
      </c>
      <c r="U162" s="65"/>
      <c r="V162" s="46" t="str">
        <f t="shared" ca="1" si="27"/>
        <v>OK</v>
      </c>
      <c r="W162" s="47">
        <f t="shared" ca="1" si="28"/>
        <v>1</v>
      </c>
      <c r="X162" s="47" t="str">
        <f t="shared" ca="1" si="35"/>
        <v>COMPLETO</v>
      </c>
      <c r="Y162" s="47">
        <f t="shared" ca="1" si="29"/>
        <v>1</v>
      </c>
      <c r="Z162" s="227" t="str">
        <f t="shared" ca="1" si="36"/>
        <v>COMPLETO</v>
      </c>
      <c r="AA162" s="66" t="s">
        <v>53</v>
      </c>
      <c r="AB162" s="67">
        <v>8.9</v>
      </c>
      <c r="AC162" s="68">
        <f>AB162</f>
        <v>8.9</v>
      </c>
      <c r="AD162" s="69">
        <f>1-(AC162/AB162)</f>
        <v>0</v>
      </c>
      <c r="AE162" s="70">
        <v>8980.93</v>
      </c>
      <c r="AF162" s="71">
        <v>3986.13</v>
      </c>
      <c r="AG162" s="71">
        <f>AF162</f>
        <v>3986.13</v>
      </c>
      <c r="AH162" s="72">
        <v>2369.42</v>
      </c>
      <c r="AI162" s="73">
        <f>AH162</f>
        <v>2369.42</v>
      </c>
      <c r="AJ162" s="71">
        <f>AE162-AF162-AH162-150</f>
        <v>2475.38</v>
      </c>
      <c r="AK162" s="71">
        <f>AE162-AG162-AI162</f>
        <v>2625.38</v>
      </c>
      <c r="AL162" s="71">
        <f>AK162-AJ162</f>
        <v>150</v>
      </c>
      <c r="AM162" s="70">
        <f>AK162*0.2</f>
        <v>525.07600000000002</v>
      </c>
      <c r="AN162" s="74"/>
      <c r="AO162" s="278"/>
      <c r="AP162" s="144" t="str">
        <f t="shared" ca="1" si="37"/>
        <v/>
      </c>
      <c r="AQ162" s="142" t="s">
        <v>2381</v>
      </c>
      <c r="AR162" s="142" t="s">
        <v>2374</v>
      </c>
      <c r="AS162" s="57" t="str">
        <f t="shared" si="30"/>
        <v>---</v>
      </c>
      <c r="AT162" s="141" t="str">
        <f t="shared" si="31"/>
        <v xml:space="preserve">PLAN CINCO CCPP (C) Rafael Laffón 7 - </v>
      </c>
      <c r="AU162" s="141" t="str">
        <f t="shared" ca="1" si="32"/>
        <v/>
      </c>
      <c r="AV162" s="257" t="str">
        <f t="shared" ca="1" si="33"/>
        <v/>
      </c>
      <c r="AW162" s="257" t="str">
        <f t="shared" si="34"/>
        <v/>
      </c>
      <c r="AX162" s="141" t="s">
        <v>1410</v>
      </c>
      <c r="AY162" s="142"/>
    </row>
    <row r="163" spans="1:51" s="262" customFormat="1" x14ac:dyDescent="0.25">
      <c r="A163" s="75" t="s">
        <v>2162</v>
      </c>
      <c r="B163" s="75" t="s">
        <v>2342</v>
      </c>
      <c r="C163" s="61" t="s">
        <v>2129</v>
      </c>
      <c r="D163" s="43" t="s">
        <v>1679</v>
      </c>
      <c r="E163" s="201">
        <v>677487952</v>
      </c>
      <c r="F163" s="43" t="s">
        <v>2027</v>
      </c>
      <c r="G163" s="203" t="s">
        <v>2156</v>
      </c>
      <c r="H163" s="203" t="s">
        <v>0</v>
      </c>
      <c r="I163" s="122" t="s">
        <v>0</v>
      </c>
      <c r="J163" s="44">
        <v>45756</v>
      </c>
      <c r="K163" s="44">
        <v>45771</v>
      </c>
      <c r="L163" s="44">
        <v>45772</v>
      </c>
      <c r="M163" s="44"/>
      <c r="N163" s="127" t="s">
        <v>0</v>
      </c>
      <c r="O163" s="128" t="s">
        <v>0</v>
      </c>
      <c r="P163" s="126" t="s">
        <v>2100</v>
      </c>
      <c r="Q163" s="65">
        <v>45829</v>
      </c>
      <c r="R163" s="65">
        <v>45863</v>
      </c>
      <c r="S163" s="65">
        <v>45883</v>
      </c>
      <c r="T163" s="65">
        <v>45937</v>
      </c>
      <c r="U163" s="65">
        <v>45951</v>
      </c>
      <c r="V163" s="46" t="str">
        <f t="shared" ca="1" si="27"/>
        <v>OK</v>
      </c>
      <c r="W163" s="47">
        <f t="shared" ca="1" si="28"/>
        <v>1</v>
      </c>
      <c r="X163" s="47" t="str">
        <f t="shared" ca="1" si="35"/>
        <v>COMPLETO</v>
      </c>
      <c r="Y163" s="47">
        <f t="shared" ca="1" si="29"/>
        <v>1</v>
      </c>
      <c r="Z163" s="227" t="str">
        <f t="shared" ca="1" si="36"/>
        <v>COMPLETO</v>
      </c>
      <c r="AA163" s="66" t="s">
        <v>53</v>
      </c>
      <c r="AB163" s="97">
        <v>13.8</v>
      </c>
      <c r="AC163" s="98">
        <f>63.5/2</f>
        <v>31.75</v>
      </c>
      <c r="AD163" s="99">
        <f>1-(AC163/AB163)</f>
        <v>-1.3007246376811592</v>
      </c>
      <c r="AE163" s="88">
        <v>15773.58</v>
      </c>
      <c r="AF163" s="89">
        <v>6134.73</v>
      </c>
      <c r="AG163" s="89">
        <v>14654.4</v>
      </c>
      <c r="AH163" s="90">
        <v>5051.7700000000004</v>
      </c>
      <c r="AI163" s="91">
        <v>2747.62</v>
      </c>
      <c r="AJ163" s="92">
        <f>AE163-AF163-AH163-150</f>
        <v>4437.08</v>
      </c>
      <c r="AK163" s="92">
        <f>AE163-AG163-AI163</f>
        <v>-1628.4399999999996</v>
      </c>
      <c r="AL163" s="92">
        <f>AK163-AJ163</f>
        <v>-6065.5199999999995</v>
      </c>
      <c r="AM163" s="93" t="s">
        <v>0</v>
      </c>
      <c r="AN163" s="83" t="s">
        <v>0</v>
      </c>
      <c r="AO163" s="278"/>
      <c r="AP163" s="144" t="str">
        <f t="shared" ca="1" si="37"/>
        <v/>
      </c>
      <c r="AQ163" s="142" t="s">
        <v>2381</v>
      </c>
      <c r="AR163" s="142" t="s">
        <v>2374</v>
      </c>
      <c r="AS163" s="57" t="str">
        <f t="shared" si="30"/>
        <v>---</v>
      </c>
      <c r="AT163" s="141" t="str">
        <f t="shared" si="31"/>
        <v xml:space="preserve">PLAN CINCO CCPP (C) Regimiento de Soria 9 2 - </v>
      </c>
      <c r="AU163" s="141" t="str">
        <f t="shared" ca="1" si="32"/>
        <v/>
      </c>
      <c r="AV163" s="257" t="str">
        <f t="shared" ca="1" si="33"/>
        <v/>
      </c>
      <c r="AW163" s="257" t="str">
        <f t="shared" si="34"/>
        <v/>
      </c>
      <c r="AX163" s="141" t="s">
        <v>1410</v>
      </c>
      <c r="AY163" s="142"/>
    </row>
    <row r="164" spans="1:51" s="262" customFormat="1" x14ac:dyDescent="0.25">
      <c r="A164" s="64" t="s">
        <v>2162</v>
      </c>
      <c r="B164" s="64" t="s">
        <v>2333</v>
      </c>
      <c r="C164" s="61" t="s">
        <v>2129</v>
      </c>
      <c r="D164" s="43" t="s">
        <v>2028</v>
      </c>
      <c r="E164" s="201">
        <v>622121953</v>
      </c>
      <c r="F164" s="43" t="s">
        <v>2029</v>
      </c>
      <c r="G164" s="203" t="s">
        <v>2156</v>
      </c>
      <c r="H164" s="203" t="s">
        <v>0</v>
      </c>
      <c r="I164" s="122" t="s">
        <v>0</v>
      </c>
      <c r="J164" s="44">
        <v>45853</v>
      </c>
      <c r="K164" s="44">
        <v>45854</v>
      </c>
      <c r="L164" s="44">
        <v>45855</v>
      </c>
      <c r="M164" s="44"/>
      <c r="N164" s="127" t="s">
        <v>0</v>
      </c>
      <c r="O164" s="128" t="s">
        <v>2105</v>
      </c>
      <c r="P164" s="129" t="s">
        <v>2107</v>
      </c>
      <c r="Q164" s="65"/>
      <c r="R164" s="65"/>
      <c r="S164" s="65"/>
      <c r="T164" s="65"/>
      <c r="U164" s="65"/>
      <c r="V164" s="46">
        <f t="shared" ca="1" si="27"/>
        <v>0</v>
      </c>
      <c r="W164" s="47">
        <f t="shared" ca="1" si="28"/>
        <v>0</v>
      </c>
      <c r="X164" s="47" t="str">
        <f t="shared" ca="1" si="35"/>
        <v xml:space="preserve">PENDIENTE </v>
      </c>
      <c r="Y164" s="47">
        <f t="shared" ca="1" si="29"/>
        <v>0</v>
      </c>
      <c r="Z164" s="227" t="str">
        <f t="shared" ca="1" si="36"/>
        <v xml:space="preserve">PENDIENTE </v>
      </c>
      <c r="AA164" s="66"/>
      <c r="AB164" s="67">
        <v>13.3</v>
      </c>
      <c r="AC164" s="68"/>
      <c r="AD164" s="69"/>
      <c r="AE164" s="70">
        <v>16943.669999999998</v>
      </c>
      <c r="AF164" s="71">
        <v>5937.38</v>
      </c>
      <c r="AG164" s="71"/>
      <c r="AH164" s="72">
        <v>5181.84</v>
      </c>
      <c r="AI164" s="73"/>
      <c r="AJ164" s="71">
        <f>AE164-AF164-AH164-150</f>
        <v>5674.4499999999971</v>
      </c>
      <c r="AK164" s="71"/>
      <c r="AL164" s="71"/>
      <c r="AM164" s="70"/>
      <c r="AN164" s="74"/>
      <c r="AO164" s="278"/>
      <c r="AP164" s="144" t="str">
        <f t="shared" ca="1" si="37"/>
        <v/>
      </c>
      <c r="AQ164" s="142" t="s">
        <v>2381</v>
      </c>
      <c r="AR164" s="142" t="s">
        <v>2374</v>
      </c>
      <c r="AS164" s="57" t="str">
        <f t="shared" si="30"/>
        <v>---</v>
      </c>
      <c r="AT164" s="141" t="str">
        <f t="shared" si="31"/>
        <v xml:space="preserve">PLAN CINCO CCPP (C) Regimiento de Soria 9 4 - </v>
      </c>
      <c r="AU164" s="141" t="str">
        <f t="shared" ca="1" si="32"/>
        <v/>
      </c>
      <c r="AV164" s="257" t="str">
        <f t="shared" ca="1" si="33"/>
        <v/>
      </c>
      <c r="AW164" s="257" t="str">
        <f t="shared" si="34"/>
        <v/>
      </c>
      <c r="AX164" s="141" t="s">
        <v>1410</v>
      </c>
      <c r="AY164" s="142"/>
    </row>
    <row r="165" spans="1:51" s="262" customFormat="1" x14ac:dyDescent="0.25">
      <c r="A165" s="75" t="s">
        <v>2162</v>
      </c>
      <c r="B165" s="75" t="s">
        <v>2343</v>
      </c>
      <c r="C165" s="61" t="s">
        <v>2129</v>
      </c>
      <c r="D165" s="43" t="s">
        <v>2030</v>
      </c>
      <c r="E165" s="201">
        <v>661844000</v>
      </c>
      <c r="F165" s="43" t="s">
        <v>2031</v>
      </c>
      <c r="G165" s="43" t="s">
        <v>1719</v>
      </c>
      <c r="H165" s="201">
        <v>665013241</v>
      </c>
      <c r="I165" s="43" t="s">
        <v>2032</v>
      </c>
      <c r="J165" s="44">
        <v>45819</v>
      </c>
      <c r="K165" s="44">
        <v>45820</v>
      </c>
      <c r="L165" s="44">
        <v>45820</v>
      </c>
      <c r="M165" s="44"/>
      <c r="N165" s="127" t="s">
        <v>0</v>
      </c>
      <c r="O165" s="128" t="s">
        <v>0</v>
      </c>
      <c r="P165" s="129" t="s">
        <v>2100</v>
      </c>
      <c r="Q165" s="65">
        <v>45944</v>
      </c>
      <c r="R165" s="65">
        <v>45951</v>
      </c>
      <c r="S165" s="65">
        <v>45974</v>
      </c>
      <c r="T165" s="65">
        <v>46031</v>
      </c>
      <c r="U165" s="65">
        <v>46038</v>
      </c>
      <c r="V165" s="46" t="str">
        <f t="shared" ca="1" si="27"/>
        <v>OK</v>
      </c>
      <c r="W165" s="47">
        <f t="shared" ca="1" si="28"/>
        <v>1</v>
      </c>
      <c r="X165" s="47" t="str">
        <f t="shared" ca="1" si="35"/>
        <v>COMPLETO</v>
      </c>
      <c r="Y165" s="47">
        <f t="shared" ca="1" si="29"/>
        <v>1</v>
      </c>
      <c r="Z165" s="227" t="str">
        <f t="shared" ca="1" si="36"/>
        <v>COMPLETO</v>
      </c>
      <c r="AA165" s="66" t="s">
        <v>53</v>
      </c>
      <c r="AB165" s="85">
        <v>8.1</v>
      </c>
      <c r="AC165" s="86">
        <f>19/2</f>
        <v>9.5</v>
      </c>
      <c r="AD165" s="96">
        <f>1-(AC165/AB165)</f>
        <v>-0.17283950617283961</v>
      </c>
      <c r="AE165" s="88">
        <v>8969.48</v>
      </c>
      <c r="AF165" s="89">
        <v>3595.88</v>
      </c>
      <c r="AG165" s="89">
        <v>4284</v>
      </c>
      <c r="AH165" s="90">
        <v>2407.42</v>
      </c>
      <c r="AI165" s="91">
        <v>2238.98</v>
      </c>
      <c r="AJ165" s="89">
        <f>AE165-AF165-AH165-150</f>
        <v>2816.1799999999994</v>
      </c>
      <c r="AK165" s="89">
        <f>AE165-AG165-AI165</f>
        <v>2446.4999999999995</v>
      </c>
      <c r="AL165" s="89">
        <f>AK165-AJ165</f>
        <v>-369.67999999999984</v>
      </c>
      <c r="AM165" s="88">
        <f>AK165*0.2</f>
        <v>489.29999999999995</v>
      </c>
      <c r="AN165" s="74" t="s">
        <v>609</v>
      </c>
      <c r="AO165" s="278"/>
      <c r="AP165" s="144" t="str">
        <f t="shared" ca="1" si="37"/>
        <v/>
      </c>
      <c r="AQ165" s="142" t="s">
        <v>2381</v>
      </c>
      <c r="AR165" s="142" t="s">
        <v>2374</v>
      </c>
      <c r="AS165" s="57" t="str">
        <f t="shared" si="30"/>
        <v>---</v>
      </c>
      <c r="AT165" s="141" t="str">
        <f t="shared" si="31"/>
        <v xml:space="preserve">PLAN CINCO CCPP (C) Rodrigo de Triana 9 - </v>
      </c>
      <c r="AU165" s="141" t="str">
        <f t="shared" ca="1" si="32"/>
        <v/>
      </c>
      <c r="AV165" s="257" t="str">
        <f t="shared" ca="1" si="33"/>
        <v/>
      </c>
      <c r="AW165" s="257" t="str">
        <f t="shared" si="34"/>
        <v/>
      </c>
      <c r="AX165" s="141" t="s">
        <v>1410</v>
      </c>
      <c r="AY165" s="142"/>
    </row>
    <row r="166" spans="1:51" s="262" customFormat="1" x14ac:dyDescent="0.25">
      <c r="A166" s="64" t="s">
        <v>2165</v>
      </c>
      <c r="B166" s="64" t="s">
        <v>2344</v>
      </c>
      <c r="C166" s="61" t="s">
        <v>1798</v>
      </c>
      <c r="D166" s="43" t="s">
        <v>1905</v>
      </c>
      <c r="E166" s="201">
        <v>681943040</v>
      </c>
      <c r="F166" s="263" t="s">
        <v>1906</v>
      </c>
      <c r="G166" s="43" t="s">
        <v>2033</v>
      </c>
      <c r="H166" s="201">
        <v>676407874</v>
      </c>
      <c r="I166" s="43" t="s">
        <v>0</v>
      </c>
      <c r="J166" s="44">
        <v>45939</v>
      </c>
      <c r="K166" s="44"/>
      <c r="L166" s="44"/>
      <c r="M166" s="44"/>
      <c r="N166" s="127">
        <v>46157</v>
      </c>
      <c r="O166" s="128" t="s">
        <v>2133</v>
      </c>
      <c r="P166" s="126" t="s">
        <v>2514</v>
      </c>
      <c r="Q166" s="65"/>
      <c r="R166" s="65"/>
      <c r="S166" s="65"/>
      <c r="T166" s="65"/>
      <c r="U166" s="65"/>
      <c r="V166" s="46">
        <f t="shared" ca="1" si="27"/>
        <v>0</v>
      </c>
      <c r="W166" s="47">
        <f t="shared" ca="1" si="28"/>
        <v>0</v>
      </c>
      <c r="X166" s="47" t="str">
        <f t="shared" ca="1" si="35"/>
        <v xml:space="preserve">PENDIENTE </v>
      </c>
      <c r="Y166" s="47">
        <f t="shared" ca="1" si="29"/>
        <v>0</v>
      </c>
      <c r="Z166" s="227" t="str">
        <f t="shared" ca="1" si="36"/>
        <v xml:space="preserve">PENDIENTE </v>
      </c>
      <c r="AA166" s="124"/>
      <c r="AB166" s="67"/>
      <c r="AC166" s="68"/>
      <c r="AD166" s="69"/>
      <c r="AE166" s="70"/>
      <c r="AF166" s="71"/>
      <c r="AG166" s="71"/>
      <c r="AH166" s="72"/>
      <c r="AI166" s="73"/>
      <c r="AJ166" s="71"/>
      <c r="AK166" s="71"/>
      <c r="AL166" s="71"/>
      <c r="AM166" s="70"/>
      <c r="AN166" s="74"/>
      <c r="AO166" s="278"/>
      <c r="AP166" s="144" t="str">
        <f t="shared" ca="1" si="37"/>
        <v/>
      </c>
      <c r="AQ166" s="142" t="s">
        <v>2381</v>
      </c>
      <c r="AR166" s="142" t="s">
        <v>2374</v>
      </c>
      <c r="AS166" s="57" t="str">
        <f t="shared" si="30"/>
        <v>01</v>
      </c>
      <c r="AT166" s="141" t="str">
        <f t="shared" si="31"/>
        <v>PLAN CINCO CCPP (Av) Ronda del Tamarguillo 15 - Solicitud de documentación para presupuestar</v>
      </c>
      <c r="AU166" s="141" t="str">
        <f t="shared" ca="1" si="32"/>
        <v>Estimado/a Sr/Sra:
Gracias por contactar con Instalaciones Araujo para valorar la individualización de contadores de agua en la CCPP (Av) Ronda del Tamarguillo 15.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66" s="257" t="str">
        <f t="shared" ca="1" si="33"/>
        <v>Estimado/a Sr/Sra:
Gracias por contactar con Instalaciones Araujo para valorar la individualización de contadores de agua en la CCPP (Av) Ronda del Tamarguillo 15.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66" s="257" t="str">
        <f t="shared" si="34"/>
        <v>Estimado/a Sr/Sra:
Gracias por contactar con Instalaciones Araujo para valorar la individualización de contadores de agua en la CCPP (Av) Ronda del Tamarguillo 15.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66" s="141" t="s">
        <v>1410</v>
      </c>
      <c r="AY166" s="142"/>
    </row>
    <row r="167" spans="1:51" s="262" customFormat="1" x14ac:dyDescent="0.25">
      <c r="A167" s="64" t="s">
        <v>2162</v>
      </c>
      <c r="B167" s="64" t="s">
        <v>2345</v>
      </c>
      <c r="C167" s="61" t="s">
        <v>2129</v>
      </c>
      <c r="D167" s="43" t="s">
        <v>2034</v>
      </c>
      <c r="E167" s="201">
        <v>661592498</v>
      </c>
      <c r="F167" s="263" t="s">
        <v>2035</v>
      </c>
      <c r="G167" s="43" t="s">
        <v>2036</v>
      </c>
      <c r="H167" s="201">
        <v>696954953</v>
      </c>
      <c r="I167" s="43" t="s">
        <v>0</v>
      </c>
      <c r="J167" s="44">
        <v>45975</v>
      </c>
      <c r="K167" s="44"/>
      <c r="L167" s="44"/>
      <c r="M167" s="44"/>
      <c r="N167" s="127"/>
      <c r="O167" s="128" t="s">
        <v>2433</v>
      </c>
      <c r="P167" s="129" t="s">
        <v>2098</v>
      </c>
      <c r="Q167" s="65"/>
      <c r="R167" s="65"/>
      <c r="S167" s="65"/>
      <c r="T167" s="65"/>
      <c r="U167" s="65"/>
      <c r="V167" s="46">
        <f t="shared" ca="1" si="27"/>
        <v>0</v>
      </c>
      <c r="W167" s="47">
        <f t="shared" ca="1" si="28"/>
        <v>0</v>
      </c>
      <c r="X167" s="47" t="str">
        <f t="shared" ca="1" si="35"/>
        <v xml:space="preserve">PENDIENTE </v>
      </c>
      <c r="Y167" s="47">
        <f t="shared" ca="1" si="29"/>
        <v>0</v>
      </c>
      <c r="Z167" s="227" t="str">
        <f t="shared" ca="1" si="36"/>
        <v xml:space="preserve">PENDIENTE </v>
      </c>
      <c r="AA167" s="124"/>
      <c r="AB167" s="67"/>
      <c r="AC167" s="68"/>
      <c r="AD167" s="69"/>
      <c r="AE167" s="70"/>
      <c r="AF167" s="71"/>
      <c r="AG167" s="71"/>
      <c r="AH167" s="72"/>
      <c r="AI167" s="73"/>
      <c r="AJ167" s="71"/>
      <c r="AK167" s="71"/>
      <c r="AL167" s="71"/>
      <c r="AM167" s="70"/>
      <c r="AN167" s="74"/>
      <c r="AO167" s="278"/>
      <c r="AP167" s="144" t="str">
        <f t="shared" ca="1" si="37"/>
        <v/>
      </c>
      <c r="AQ167" s="142" t="s">
        <v>2381</v>
      </c>
      <c r="AR167" s="142" t="s">
        <v>2374</v>
      </c>
      <c r="AS167" s="57" t="str">
        <f t="shared" si="30"/>
        <v>---</v>
      </c>
      <c r="AT167" s="141" t="str">
        <f t="shared" si="31"/>
        <v xml:space="preserve">PLAN CINCO CCPP (C) San Ignacio 5 - </v>
      </c>
      <c r="AU167" s="141" t="str">
        <f t="shared" ca="1" si="32"/>
        <v/>
      </c>
      <c r="AV167" s="257" t="str">
        <f t="shared" ca="1" si="33"/>
        <v/>
      </c>
      <c r="AW167" s="257" t="str">
        <f t="shared" si="34"/>
        <v/>
      </c>
      <c r="AX167" s="141" t="s">
        <v>1410</v>
      </c>
      <c r="AY167" s="142"/>
    </row>
    <row r="168" spans="1:51" s="262" customFormat="1" x14ac:dyDescent="0.25">
      <c r="A168" s="64" t="s">
        <v>2162</v>
      </c>
      <c r="B168" s="64" t="s">
        <v>2346</v>
      </c>
      <c r="C168" s="61" t="s">
        <v>2129</v>
      </c>
      <c r="D168" s="43" t="s">
        <v>2037</v>
      </c>
      <c r="E168" s="201">
        <v>676332731</v>
      </c>
      <c r="F168" s="135" t="s">
        <v>0</v>
      </c>
      <c r="G168" s="203" t="s">
        <v>2156</v>
      </c>
      <c r="H168" s="203" t="s">
        <v>0</v>
      </c>
      <c r="I168" s="122" t="s">
        <v>0</v>
      </c>
      <c r="J168" s="136">
        <v>46041</v>
      </c>
      <c r="K168" s="136"/>
      <c r="L168" s="136"/>
      <c r="M168" s="136"/>
      <c r="N168" s="127">
        <v>46157</v>
      </c>
      <c r="O168" s="128" t="s">
        <v>2515</v>
      </c>
      <c r="P168" s="126" t="s">
        <v>2514</v>
      </c>
      <c r="Q168" s="65"/>
      <c r="R168" s="65"/>
      <c r="S168" s="65"/>
      <c r="T168" s="65"/>
      <c r="U168" s="65"/>
      <c r="V168" s="46">
        <f t="shared" ca="1" si="27"/>
        <v>0</v>
      </c>
      <c r="W168" s="47">
        <f t="shared" ca="1" si="28"/>
        <v>0</v>
      </c>
      <c r="X168" s="47" t="str">
        <f t="shared" ca="1" si="35"/>
        <v xml:space="preserve">PENDIENTE </v>
      </c>
      <c r="Y168" s="47">
        <f t="shared" ca="1" si="29"/>
        <v>0</v>
      </c>
      <c r="Z168" s="227" t="str">
        <f t="shared" ca="1" si="36"/>
        <v xml:space="preserve">PENDIENTE </v>
      </c>
      <c r="AA168" s="124"/>
      <c r="AB168" s="67"/>
      <c r="AC168" s="68"/>
      <c r="AD168" s="69"/>
      <c r="AE168" s="70"/>
      <c r="AF168" s="71"/>
      <c r="AG168" s="71"/>
      <c r="AH168" s="72"/>
      <c r="AI168" s="73"/>
      <c r="AJ168" s="71"/>
      <c r="AK168" s="71"/>
      <c r="AL168" s="71"/>
      <c r="AM168" s="70"/>
      <c r="AN168" s="74"/>
      <c r="AO168" s="278"/>
      <c r="AP168" s="144" t="str">
        <f t="shared" ca="1" si="37"/>
        <v/>
      </c>
      <c r="AQ168" s="142" t="s">
        <v>2381</v>
      </c>
      <c r="AR168" s="142" t="s">
        <v>2374</v>
      </c>
      <c r="AS168" s="57" t="str">
        <f t="shared" si="30"/>
        <v>01</v>
      </c>
      <c r="AT168" s="141" t="str">
        <f t="shared" si="31"/>
        <v>PLAN CINCO CCPP (C) San Jorge 21 - Solicitud de documentación para presupuestar</v>
      </c>
      <c r="AU168" s="141" t="str">
        <f t="shared" ca="1" si="32"/>
        <v>Estimado/a Sr/Sra:
Gracias por contactar con Instalaciones Araujo para valorar la individualización de contadores de agua en la CCPP (C) San Jorge 21.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68" s="257" t="str">
        <f t="shared" ca="1" si="33"/>
        <v>Estimado/a Sr/Sra:
Gracias por contactar con Instalaciones Araujo para valorar la individualización de contadores de agua en la CCPP (C) San Jorge 21.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68" s="257" t="str">
        <f t="shared" si="34"/>
        <v>Estimado/a Sr/Sra:
Gracias por contactar con Instalaciones Araujo para valorar la individualización de contadores de agua en la CCPP (C) San Jorge 21.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68" s="141" t="s">
        <v>1410</v>
      </c>
      <c r="AY168" s="142"/>
    </row>
    <row r="169" spans="1:51" s="262" customFormat="1" x14ac:dyDescent="0.25">
      <c r="A169" s="64" t="s">
        <v>2180</v>
      </c>
      <c r="B169" s="64" t="s">
        <v>2347</v>
      </c>
      <c r="C169" s="61" t="s">
        <v>1798</v>
      </c>
      <c r="D169" s="43" t="s">
        <v>1808</v>
      </c>
      <c r="E169" s="201">
        <v>615671540</v>
      </c>
      <c r="F169" s="263" t="s">
        <v>1809</v>
      </c>
      <c r="G169" s="43" t="s">
        <v>2038</v>
      </c>
      <c r="H169" s="201">
        <v>660783130</v>
      </c>
      <c r="I169" s="43" t="s">
        <v>0</v>
      </c>
      <c r="J169" s="44">
        <v>45964</v>
      </c>
      <c r="K169" s="44"/>
      <c r="L169" s="44"/>
      <c r="M169" s="44"/>
      <c r="N169" s="127">
        <v>46157</v>
      </c>
      <c r="O169" s="128" t="s">
        <v>2139</v>
      </c>
      <c r="P169" s="126" t="s">
        <v>2514</v>
      </c>
      <c r="Q169" s="65"/>
      <c r="R169" s="65"/>
      <c r="S169" s="65"/>
      <c r="T169" s="65"/>
      <c r="U169" s="65"/>
      <c r="V169" s="46">
        <f t="shared" ca="1" si="27"/>
        <v>0</v>
      </c>
      <c r="W169" s="47">
        <f t="shared" ca="1" si="28"/>
        <v>0</v>
      </c>
      <c r="X169" s="47" t="str">
        <f t="shared" ca="1" si="35"/>
        <v xml:space="preserve">PENDIENTE </v>
      </c>
      <c r="Y169" s="47">
        <f t="shared" ca="1" si="29"/>
        <v>0</v>
      </c>
      <c r="Z169" s="227" t="str">
        <f t="shared" ca="1" si="36"/>
        <v xml:space="preserve">PENDIENTE </v>
      </c>
      <c r="AA169" s="124"/>
      <c r="AB169" s="67"/>
      <c r="AC169" s="68"/>
      <c r="AD169" s="69"/>
      <c r="AE169" s="70"/>
      <c r="AF169" s="71"/>
      <c r="AG169" s="71"/>
      <c r="AH169" s="72"/>
      <c r="AI169" s="73"/>
      <c r="AJ169" s="71"/>
      <c r="AK169" s="71"/>
      <c r="AL169" s="71"/>
      <c r="AM169" s="70"/>
      <c r="AN169" s="74"/>
      <c r="AO169" s="278"/>
      <c r="AP169" s="144" t="str">
        <f t="shared" ca="1" si="37"/>
        <v/>
      </c>
      <c r="AQ169" s="142" t="s">
        <v>2381</v>
      </c>
      <c r="AR169" s="142" t="s">
        <v>2374</v>
      </c>
      <c r="AS169" s="57" t="str">
        <f t="shared" si="30"/>
        <v>01</v>
      </c>
      <c r="AT169" s="141" t="str">
        <f t="shared" si="31"/>
        <v>PLAN CINCO CCPP (Núcleo Residencial) Santa Isabel 4 - Solicitud de documentación para presupuestar</v>
      </c>
      <c r="AU169" s="141" t="str">
        <f t="shared" ca="1" si="32"/>
        <v>Estimado/a Sr/Sra:
Gracias por contactar con Instalaciones Araujo para valorar la individualización de contadores de agua en la CCPP (Núcleo Residencial) Santa Isabel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69" s="257" t="str">
        <f t="shared" ca="1" si="33"/>
        <v>Estimado/a Sr/Sra:
Gracias por contactar con Instalaciones Araujo para valorar la individualización de contadores de agua en la CCPP (Núcleo Residencial) Santa Isabel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69" s="257" t="str">
        <f t="shared" si="34"/>
        <v>Estimado/a Sr/Sra:
Gracias por contactar con Instalaciones Araujo para valorar la individualización de contadores de agua en la CCPP (Núcleo Residencial) Santa Isabel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69" s="141" t="s">
        <v>1410</v>
      </c>
      <c r="AY169" s="142"/>
    </row>
    <row r="170" spans="1:51" s="262" customFormat="1" x14ac:dyDescent="0.25">
      <c r="A170" s="64" t="s">
        <v>2162</v>
      </c>
      <c r="B170" s="64" t="s">
        <v>2350</v>
      </c>
      <c r="C170" s="61" t="s">
        <v>2129</v>
      </c>
      <c r="D170" s="43" t="s">
        <v>1893</v>
      </c>
      <c r="E170" s="201">
        <v>954214057</v>
      </c>
      <c r="F170" s="263" t="s">
        <v>1894</v>
      </c>
      <c r="G170" s="43" t="s">
        <v>2039</v>
      </c>
      <c r="H170" s="201">
        <v>670566608</v>
      </c>
      <c r="I170" s="43" t="s">
        <v>0</v>
      </c>
      <c r="J170" s="44">
        <v>46064</v>
      </c>
      <c r="K170" s="44"/>
      <c r="L170" s="44"/>
      <c r="M170" s="44"/>
      <c r="N170" s="127">
        <v>46157</v>
      </c>
      <c r="O170" s="128" t="s">
        <v>2133</v>
      </c>
      <c r="P170" s="129" t="s">
        <v>2514</v>
      </c>
      <c r="Q170" s="65"/>
      <c r="R170" s="65"/>
      <c r="S170" s="65"/>
      <c r="T170" s="65"/>
      <c r="U170" s="65"/>
      <c r="V170" s="46">
        <f t="shared" ca="1" si="27"/>
        <v>0</v>
      </c>
      <c r="W170" s="47">
        <f t="shared" ca="1" si="28"/>
        <v>0</v>
      </c>
      <c r="X170" s="47" t="str">
        <f t="shared" ca="1" si="35"/>
        <v xml:space="preserve">PENDIENTE </v>
      </c>
      <c r="Y170" s="47">
        <f t="shared" ca="1" si="29"/>
        <v>0</v>
      </c>
      <c r="Z170" s="227" t="str">
        <f t="shared" ca="1" si="36"/>
        <v xml:space="preserve">PENDIENTE </v>
      </c>
      <c r="AA170" s="124"/>
      <c r="AB170" s="67"/>
      <c r="AC170" s="68"/>
      <c r="AD170" s="69"/>
      <c r="AE170" s="70"/>
      <c r="AF170" s="71"/>
      <c r="AG170" s="71"/>
      <c r="AH170" s="72"/>
      <c r="AI170" s="73"/>
      <c r="AJ170" s="71"/>
      <c r="AK170" s="71"/>
      <c r="AL170" s="71"/>
      <c r="AM170" s="70"/>
      <c r="AN170" s="74"/>
      <c r="AO170" s="278"/>
      <c r="AP170" s="144" t="str">
        <f t="shared" ca="1" si="37"/>
        <v/>
      </c>
      <c r="AQ170" s="142" t="s">
        <v>2381</v>
      </c>
      <c r="AR170" s="142" t="s">
        <v>2374</v>
      </c>
      <c r="AS170" s="57" t="str">
        <f t="shared" si="30"/>
        <v>01</v>
      </c>
      <c r="AT170" s="141" t="str">
        <f t="shared" si="31"/>
        <v>PLAN CINCO CCPP (C) Santo Angel 1 - Solicitud de documentación para presupuestar</v>
      </c>
      <c r="AU170" s="141" t="str">
        <f t="shared" ca="1" si="32"/>
        <v>Estimado/a Sr/Sra:
Gracias por contactar con Instalaciones Araujo para valorar la individualización de contadores de agua en la CCPP (C) Santo Angel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70" s="257" t="str">
        <f t="shared" ca="1" si="33"/>
        <v>Estimado/a Sr/Sra:
Gracias por contactar con Instalaciones Araujo para valorar la individualización de contadores de agua en la CCPP (C) Santo Angel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70" s="257" t="str">
        <f t="shared" si="34"/>
        <v>Estimado/a Sr/Sra:
Gracias por contactar con Instalaciones Araujo para valorar la individualización de contadores de agua en la CCPP (C) Santo Angel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70" s="141" t="s">
        <v>1410</v>
      </c>
      <c r="AY170" s="142"/>
    </row>
    <row r="171" spans="1:51" s="262" customFormat="1" x14ac:dyDescent="0.25">
      <c r="A171" s="64" t="s">
        <v>2162</v>
      </c>
      <c r="B171" s="64" t="s">
        <v>2351</v>
      </c>
      <c r="C171" s="61">
        <v>27</v>
      </c>
      <c r="D171" s="43" t="s">
        <v>1866</v>
      </c>
      <c r="E171" s="201">
        <v>661592498</v>
      </c>
      <c r="F171" s="43" t="s">
        <v>1867</v>
      </c>
      <c r="G171" s="43" t="s">
        <v>2040</v>
      </c>
      <c r="H171" s="201">
        <v>653868399</v>
      </c>
      <c r="I171" s="43" t="s">
        <v>0</v>
      </c>
      <c r="J171" s="44">
        <v>46034</v>
      </c>
      <c r="K171" s="44">
        <v>46093</v>
      </c>
      <c r="L171" s="44"/>
      <c r="M171" s="44"/>
      <c r="N171" s="127"/>
      <c r="O171" s="128" t="s">
        <v>2119</v>
      </c>
      <c r="P171" s="126" t="s">
        <v>2522</v>
      </c>
      <c r="Q171" s="65"/>
      <c r="R171" s="65"/>
      <c r="S171" s="65"/>
      <c r="T171" s="65"/>
      <c r="U171" s="65"/>
      <c r="V171" s="46">
        <f t="shared" ca="1" si="27"/>
        <v>0</v>
      </c>
      <c r="W171" s="47">
        <f t="shared" ca="1" si="28"/>
        <v>0</v>
      </c>
      <c r="X171" s="47" t="str">
        <f t="shared" ca="1" si="35"/>
        <v xml:space="preserve">PENDIENTE </v>
      </c>
      <c r="Y171" s="47">
        <f t="shared" ca="1" si="29"/>
        <v>0</v>
      </c>
      <c r="Z171" s="227" t="str">
        <f t="shared" ca="1" si="36"/>
        <v xml:space="preserve">PENDIENTE </v>
      </c>
      <c r="AA171" s="66"/>
      <c r="AB171" s="76" t="s">
        <v>0</v>
      </c>
      <c r="AC171" s="68"/>
      <c r="AD171" s="69"/>
      <c r="AE171" s="70" t="s">
        <v>0</v>
      </c>
      <c r="AF171" s="71" t="s">
        <v>0</v>
      </c>
      <c r="AG171" s="71"/>
      <c r="AH171" s="72" t="s">
        <v>0</v>
      </c>
      <c r="AI171" s="73"/>
      <c r="AJ171" s="71" t="s">
        <v>0</v>
      </c>
      <c r="AK171" s="71"/>
      <c r="AL171" s="71"/>
      <c r="AM171" s="70"/>
      <c r="AN171" s="74"/>
      <c r="AO171" s="278"/>
      <c r="AP171" s="144" t="str">
        <f t="shared" ca="1" si="37"/>
        <v/>
      </c>
      <c r="AQ171" s="142" t="s">
        <v>2381</v>
      </c>
      <c r="AR171" s="142" t="s">
        <v>2374</v>
      </c>
      <c r="AS171" s="57" t="str">
        <f t="shared" si="30"/>
        <v>03</v>
      </c>
      <c r="AT171" s="141" t="str">
        <f t="shared" si="31"/>
        <v>PLAN CINCO CCPP (C) Santo Domingo de la Calzada 14 - Presupuesto pendiente de adjudicación</v>
      </c>
      <c r="AU171" s="141" t="str">
        <f t="shared" ca="1" si="32"/>
        <v>Estimado/a Sr/Sra:
Desde Instalaciones Araujo nos ponemos en contacto con ud, en relación con el Presupuesto de individualización de contadores de agua que le facilitamos el pasado 00/01/1900 para la CCPP (C) Santo Domingo de la Calzada 14.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71" s="257" t="str">
        <f t="shared" ca="1" si="33"/>
        <v>Estimado/a Sr/Sra:
Desde Instalaciones Araujo nos ponemos en contacto con ud, en relación con el Presupuesto de individualización de contadores de agua que le facilitamos el pasado {FECHA_PTO} para la CCPP (C) Santo Domingo de la Calzada 14.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71" s="257" t="str">
        <f t="shared" si="34"/>
        <v>Estimado/a Sr/Sra:
Desde Instalaciones Araujo nos ponemos en contacto con ud, en relación con el Presupuesto de individualización de contadores de agua que le facilitamos el pasado {FECHA_PTO} para la CCPP (C) Santo Domingo de la Calzada 14.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71" s="141" t="s">
        <v>1410</v>
      </c>
      <c r="AY171" s="142"/>
    </row>
    <row r="172" spans="1:51" s="262" customFormat="1" x14ac:dyDescent="0.25">
      <c r="A172" s="64" t="s">
        <v>2181</v>
      </c>
      <c r="B172" s="64" t="s">
        <v>2352</v>
      </c>
      <c r="C172" s="61" t="s">
        <v>1798</v>
      </c>
      <c r="D172" s="43" t="s">
        <v>228</v>
      </c>
      <c r="E172" s="201">
        <v>646321077</v>
      </c>
      <c r="F172" s="263" t="s">
        <v>1780</v>
      </c>
      <c r="G172" s="43" t="s">
        <v>2041</v>
      </c>
      <c r="H172" s="201">
        <v>629118305</v>
      </c>
      <c r="I172" s="43" t="s">
        <v>0</v>
      </c>
      <c r="J172" s="44">
        <v>46072</v>
      </c>
      <c r="K172" s="44"/>
      <c r="L172" s="44"/>
      <c r="M172" s="44"/>
      <c r="N172" s="127">
        <v>46157</v>
      </c>
      <c r="O172" s="128" t="s">
        <v>2133</v>
      </c>
      <c r="P172" s="129" t="s">
        <v>2514</v>
      </c>
      <c r="Q172" s="65"/>
      <c r="R172" s="65"/>
      <c r="S172" s="65"/>
      <c r="T172" s="65"/>
      <c r="U172" s="65"/>
      <c r="V172" s="46">
        <f t="shared" ca="1" si="27"/>
        <v>0</v>
      </c>
      <c r="W172" s="47">
        <f t="shared" ca="1" si="28"/>
        <v>0</v>
      </c>
      <c r="X172" s="47" t="str">
        <f t="shared" ca="1" si="35"/>
        <v xml:space="preserve">PENDIENTE </v>
      </c>
      <c r="Y172" s="47">
        <f t="shared" ca="1" si="29"/>
        <v>0</v>
      </c>
      <c r="Z172" s="227" t="str">
        <f t="shared" ca="1" si="36"/>
        <v xml:space="preserve">PENDIENTE </v>
      </c>
      <c r="AA172" s="124"/>
      <c r="AB172" s="67"/>
      <c r="AC172" s="68"/>
      <c r="AD172" s="69"/>
      <c r="AE172" s="70"/>
      <c r="AF172" s="71"/>
      <c r="AG172" s="71"/>
      <c r="AH172" s="72"/>
      <c r="AI172" s="73"/>
      <c r="AJ172" s="71"/>
      <c r="AK172" s="71"/>
      <c r="AL172" s="71"/>
      <c r="AM172" s="70"/>
      <c r="AN172" s="74"/>
      <c r="AO172" s="278"/>
      <c r="AP172" s="144" t="str">
        <f t="shared" ca="1" si="37"/>
        <v/>
      </c>
      <c r="AQ172" s="142" t="s">
        <v>2381</v>
      </c>
      <c r="AR172" s="142" t="s">
        <v>2374</v>
      </c>
      <c r="AS172" s="57" t="str">
        <f t="shared" si="30"/>
        <v>01</v>
      </c>
      <c r="AT172" s="141" t="str">
        <f t="shared" si="31"/>
        <v>PLAN CINCO CCPP (Pza) Sella 4 - Solicitud de documentación para presupuestar</v>
      </c>
      <c r="AU172" s="141" t="str">
        <f t="shared" ca="1" si="32"/>
        <v>Estimado/a Sr/Sra:
Gracias por contactar con Instalaciones Araujo para valorar la individualización de contadores de agua en la CCPP (Pza) Sella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72" s="257" t="str">
        <f t="shared" ca="1" si="33"/>
        <v>Estimado/a Sr/Sra:
Gracias por contactar con Instalaciones Araujo para valorar la individualización de contadores de agua en la CCPP (Pza) Sella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72" s="257" t="str">
        <f t="shared" si="34"/>
        <v>Estimado/a Sr/Sra:
Gracias por contactar con Instalaciones Araujo para valorar la individualización de contadores de agua en la CCPP (Pza) Sella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72" s="141" t="s">
        <v>1410</v>
      </c>
      <c r="AY172" s="142"/>
    </row>
    <row r="173" spans="1:51" s="262" customFormat="1" x14ac:dyDescent="0.25">
      <c r="A173" s="64" t="s">
        <v>2182</v>
      </c>
      <c r="B173" s="64" t="s">
        <v>2354</v>
      </c>
      <c r="C173" s="61" t="s">
        <v>2129</v>
      </c>
      <c r="D173" s="43" t="s">
        <v>2044</v>
      </c>
      <c r="E173" s="201">
        <v>652263328</v>
      </c>
      <c r="F173" s="43" t="s">
        <v>2045</v>
      </c>
      <c r="G173" s="43" t="s">
        <v>2042</v>
      </c>
      <c r="H173" s="201">
        <v>685748461</v>
      </c>
      <c r="I173" s="43" t="s">
        <v>2043</v>
      </c>
      <c r="J173" s="44">
        <v>45653</v>
      </c>
      <c r="K173" s="44">
        <v>45881</v>
      </c>
      <c r="L173" s="44">
        <v>45882</v>
      </c>
      <c r="M173" s="44"/>
      <c r="N173" s="127">
        <v>46157</v>
      </c>
      <c r="O173" s="128" t="s">
        <v>2114</v>
      </c>
      <c r="P173" s="126" t="s">
        <v>2522</v>
      </c>
      <c r="Q173" s="65"/>
      <c r="R173" s="65"/>
      <c r="S173" s="65"/>
      <c r="T173" s="65"/>
      <c r="U173" s="65"/>
      <c r="V173" s="46">
        <f t="shared" ca="1" si="27"/>
        <v>0</v>
      </c>
      <c r="W173" s="47">
        <f t="shared" ca="1" si="28"/>
        <v>0</v>
      </c>
      <c r="X173" s="47" t="str">
        <f t="shared" ca="1" si="35"/>
        <v xml:space="preserve">PENDIENTE </v>
      </c>
      <c r="Y173" s="47">
        <f t="shared" ca="1" si="29"/>
        <v>0</v>
      </c>
      <c r="Z173" s="227" t="str">
        <f t="shared" ca="1" si="36"/>
        <v xml:space="preserve">PENDIENTE </v>
      </c>
      <c r="AA173" s="66"/>
      <c r="AB173" s="67">
        <v>9</v>
      </c>
      <c r="AC173" s="68"/>
      <c r="AD173" s="69"/>
      <c r="AE173" s="70">
        <v>9926.8444730301726</v>
      </c>
      <c r="AF173" s="71">
        <v>4014</v>
      </c>
      <c r="AG173" s="71"/>
      <c r="AH173" s="72">
        <v>2644.17</v>
      </c>
      <c r="AI173" s="73"/>
      <c r="AJ173" s="71">
        <f t="shared" ref="AJ173:AJ180" si="39">AE173-AF173-AH173-150</f>
        <v>3118.6744730301725</v>
      </c>
      <c r="AK173" s="71"/>
      <c r="AL173" s="71"/>
      <c r="AM173" s="70"/>
      <c r="AN173" s="74"/>
      <c r="AO173" s="278"/>
      <c r="AP173" s="144" t="str">
        <f t="shared" ca="1" si="37"/>
        <v/>
      </c>
      <c r="AQ173" s="142" t="s">
        <v>2381</v>
      </c>
      <c r="AR173" s="142" t="s">
        <v>2374</v>
      </c>
      <c r="AS173" s="57" t="str">
        <f t="shared" si="30"/>
        <v>03</v>
      </c>
      <c r="AT173" s="141" t="str">
        <f t="shared" si="31"/>
        <v>PLAN CINCO CCPP (Las)(C) Sevillanas 2 - Presupuesto pendiente de adjudicación</v>
      </c>
      <c r="AU173" s="141" t="str">
        <f t="shared" ca="1" si="32"/>
        <v>Estimado/a Sr/Sra:
Desde Instalaciones Araujo nos ponemos en contacto con ud, en relación con el Presupuesto de individualización de contadores de agua que le facilitamos el pasado 00/01/1900 para la CCPP (Las)(C) Sevillanas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73" s="257" t="str">
        <f t="shared" ca="1" si="33"/>
        <v>Estimado/a Sr/Sra:
Desde Instalaciones Araujo nos ponemos en contacto con ud, en relación con el Presupuesto de individualización de contadores de agua que le facilitamos el pasado {FECHA_PTO} para la CCPP (Las)(C) Sevillanas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73" s="257" t="str">
        <f t="shared" si="34"/>
        <v>Estimado/a Sr/Sra:
Desde Instalaciones Araujo nos ponemos en contacto con ud, en relación con el Presupuesto de individualización de contadores de agua que le facilitamos el pasado {FECHA_PTO} para la CCPP (Las)(C) Sevillanas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73" s="141" t="s">
        <v>1410</v>
      </c>
      <c r="AY173" s="142"/>
    </row>
    <row r="174" spans="1:51" s="262" customFormat="1" x14ac:dyDescent="0.25">
      <c r="A174" s="75" t="s">
        <v>2162</v>
      </c>
      <c r="B174" s="75" t="s">
        <v>2356</v>
      </c>
      <c r="C174" s="42" t="s">
        <v>2129</v>
      </c>
      <c r="D174" s="43" t="s">
        <v>1147</v>
      </c>
      <c r="E174" s="201">
        <v>601414058</v>
      </c>
      <c r="F174" s="43" t="s">
        <v>2047</v>
      </c>
      <c r="G174" s="43" t="s">
        <v>2048</v>
      </c>
      <c r="H174" s="201">
        <v>643886806</v>
      </c>
      <c r="I174" s="43" t="s">
        <v>2046</v>
      </c>
      <c r="J174" s="44">
        <v>45757</v>
      </c>
      <c r="K174" s="44">
        <v>45910</v>
      </c>
      <c r="L174" s="44">
        <v>45912</v>
      </c>
      <c r="M174" s="44"/>
      <c r="N174" s="149" t="s">
        <v>0</v>
      </c>
      <c r="O174" s="128" t="s">
        <v>2474</v>
      </c>
      <c r="P174" s="126" t="s">
        <v>2528</v>
      </c>
      <c r="Q174" s="65">
        <v>46031</v>
      </c>
      <c r="R174" s="65">
        <v>46100</v>
      </c>
      <c r="S174" s="65">
        <v>46127</v>
      </c>
      <c r="T174" s="65" t="s">
        <v>609</v>
      </c>
      <c r="U174" s="65"/>
      <c r="V174" s="46" t="str">
        <f t="shared" ca="1" si="27"/>
        <v>OK</v>
      </c>
      <c r="W174" s="47">
        <f t="shared" ca="1" si="28"/>
        <v>1</v>
      </c>
      <c r="X174" s="47" t="str">
        <f t="shared" ca="1" si="35"/>
        <v>COMPLETO</v>
      </c>
      <c r="Y174" s="47">
        <f t="shared" ca="1" si="29"/>
        <v>1</v>
      </c>
      <c r="Z174" s="227" t="str">
        <f t="shared" ca="1" si="36"/>
        <v>COMPLETO</v>
      </c>
      <c r="AA174" s="66" t="s">
        <v>53</v>
      </c>
      <c r="AB174" s="67">
        <v>8.1999999999999993</v>
      </c>
      <c r="AC174" s="68">
        <f>AB174</f>
        <v>8.1999999999999993</v>
      </c>
      <c r="AD174" s="69">
        <f>1-(AC174/AB174)</f>
        <v>0</v>
      </c>
      <c r="AE174" s="70">
        <v>9963.98</v>
      </c>
      <c r="AF174" s="71">
        <v>3657.34</v>
      </c>
      <c r="AG174" s="71">
        <f>AF174</f>
        <v>3657.34</v>
      </c>
      <c r="AH174" s="72">
        <v>3031.47</v>
      </c>
      <c r="AI174" s="73">
        <f>AH174</f>
        <v>3031.47</v>
      </c>
      <c r="AJ174" s="71">
        <f t="shared" si="39"/>
        <v>3125.1699999999996</v>
      </c>
      <c r="AK174" s="71">
        <f>AE174-AG174-AI174</f>
        <v>3275.1699999999996</v>
      </c>
      <c r="AL174" s="71">
        <f>AK174-AJ174</f>
        <v>150</v>
      </c>
      <c r="AM174" s="70">
        <f>AK174*0.2</f>
        <v>655.03399999999999</v>
      </c>
      <c r="AN174" s="74"/>
      <c r="AO174" s="278"/>
      <c r="AP174" s="144" t="str">
        <f t="shared" ca="1" si="37"/>
        <v/>
      </c>
      <c r="AQ174" s="142" t="s">
        <v>2381</v>
      </c>
      <c r="AR174" s="142" t="s">
        <v>2374</v>
      </c>
      <c r="AS174" s="57" t="str">
        <f t="shared" si="30"/>
        <v>---</v>
      </c>
      <c r="AT174" s="141" t="str">
        <f t="shared" si="31"/>
        <v xml:space="preserve">PLAN CINCO CCPP (C) Sextante 4 - </v>
      </c>
      <c r="AU174" s="141" t="str">
        <f t="shared" ca="1" si="32"/>
        <v/>
      </c>
      <c r="AV174" s="257" t="str">
        <f t="shared" ca="1" si="33"/>
        <v/>
      </c>
      <c r="AW174" s="257" t="str">
        <f t="shared" si="34"/>
        <v/>
      </c>
      <c r="AX174" s="141" t="s">
        <v>1410</v>
      </c>
      <c r="AY174" s="142"/>
    </row>
    <row r="175" spans="1:51" s="262" customFormat="1" x14ac:dyDescent="0.25">
      <c r="A175" s="75" t="s">
        <v>2162</v>
      </c>
      <c r="B175" s="75" t="s">
        <v>2357</v>
      </c>
      <c r="C175" s="61" t="s">
        <v>2129</v>
      </c>
      <c r="D175" s="43" t="s">
        <v>2049</v>
      </c>
      <c r="E175" s="201">
        <v>655925313</v>
      </c>
      <c r="F175" s="43" t="s">
        <v>2050</v>
      </c>
      <c r="G175" s="203" t="s">
        <v>2156</v>
      </c>
      <c r="H175" s="203" t="s">
        <v>0</v>
      </c>
      <c r="I175" s="122" t="s">
        <v>0</v>
      </c>
      <c r="J175" s="44">
        <v>45945</v>
      </c>
      <c r="K175" s="44">
        <v>45946</v>
      </c>
      <c r="L175" s="44">
        <v>45951</v>
      </c>
      <c r="M175" s="44"/>
      <c r="N175" s="127" t="s">
        <v>0</v>
      </c>
      <c r="O175" s="128" t="s">
        <v>0</v>
      </c>
      <c r="P175" s="129" t="s">
        <v>2100</v>
      </c>
      <c r="Q175" s="95" t="s">
        <v>0</v>
      </c>
      <c r="R175" s="95" t="s">
        <v>0</v>
      </c>
      <c r="S175" s="95" t="s">
        <v>0</v>
      </c>
      <c r="T175" s="95" t="s">
        <v>0</v>
      </c>
      <c r="U175" s="95" t="s">
        <v>0</v>
      </c>
      <c r="V175" s="46" t="str">
        <f t="shared" ca="1" si="27"/>
        <v>OK</v>
      </c>
      <c r="W175" s="47">
        <f t="shared" ca="1" si="28"/>
        <v>1</v>
      </c>
      <c r="X175" s="47" t="str">
        <f t="shared" ca="1" si="35"/>
        <v>COMPLETO</v>
      </c>
      <c r="Y175" s="47">
        <f t="shared" ca="1" si="29"/>
        <v>1</v>
      </c>
      <c r="Z175" s="227" t="str">
        <f t="shared" ca="1" si="36"/>
        <v>COMPLETO</v>
      </c>
      <c r="AA175" s="66" t="s">
        <v>7</v>
      </c>
      <c r="AB175" s="85">
        <v>5</v>
      </c>
      <c r="AC175" s="86">
        <f>7.25/2</f>
        <v>3.625</v>
      </c>
      <c r="AD175" s="96">
        <f>1-(AC175/AB175)</f>
        <v>0.27500000000000002</v>
      </c>
      <c r="AE175" s="88">
        <v>4976.05</v>
      </c>
      <c r="AF175" s="89">
        <v>2207.6999999999998</v>
      </c>
      <c r="AG175" s="89">
        <v>1663.45</v>
      </c>
      <c r="AH175" s="90">
        <v>1421.14</v>
      </c>
      <c r="AI175" s="91">
        <v>415.2</v>
      </c>
      <c r="AJ175" s="89">
        <f t="shared" si="39"/>
        <v>1197.2100000000003</v>
      </c>
      <c r="AK175" s="89">
        <f>AE175-AG175-AI175</f>
        <v>2897.4000000000005</v>
      </c>
      <c r="AL175" s="89">
        <f>AK175-AJ175</f>
        <v>1700.1900000000003</v>
      </c>
      <c r="AM175" s="88">
        <f>AK175*0.2</f>
        <v>579.48000000000013</v>
      </c>
      <c r="AN175" s="94">
        <v>45987</v>
      </c>
      <c r="AO175" s="278"/>
      <c r="AP175" s="144" t="str">
        <f t="shared" ca="1" si="37"/>
        <v/>
      </c>
      <c r="AQ175" s="142" t="s">
        <v>2381</v>
      </c>
      <c r="AR175" s="142" t="s">
        <v>2374</v>
      </c>
      <c r="AS175" s="57" t="str">
        <f t="shared" si="30"/>
        <v>---</v>
      </c>
      <c r="AT175" s="141" t="str">
        <f t="shared" si="31"/>
        <v xml:space="preserve">PLAN CINCO CCPP (C) Sinaí 39 - </v>
      </c>
      <c r="AU175" s="141" t="str">
        <f t="shared" ca="1" si="32"/>
        <v/>
      </c>
      <c r="AV175" s="257" t="str">
        <f t="shared" ca="1" si="33"/>
        <v/>
      </c>
      <c r="AW175" s="257" t="str">
        <f t="shared" si="34"/>
        <v/>
      </c>
      <c r="AX175" s="141" t="s">
        <v>1410</v>
      </c>
      <c r="AY175" s="142"/>
    </row>
    <row r="176" spans="1:51" s="262" customFormat="1" x14ac:dyDescent="0.25">
      <c r="A176" s="64" t="s">
        <v>2162</v>
      </c>
      <c r="B176" s="64" t="s">
        <v>2359</v>
      </c>
      <c r="C176" s="61" t="s">
        <v>2129</v>
      </c>
      <c r="D176" s="43" t="s">
        <v>1910</v>
      </c>
      <c r="E176" s="201">
        <v>744615257</v>
      </c>
      <c r="F176" s="43" t="s">
        <v>1911</v>
      </c>
      <c r="G176" s="43" t="s">
        <v>1956</v>
      </c>
      <c r="H176" s="201">
        <v>630270284</v>
      </c>
      <c r="I176" s="43" t="s">
        <v>0</v>
      </c>
      <c r="J176" s="44">
        <v>45819</v>
      </c>
      <c r="K176" s="44">
        <v>45835</v>
      </c>
      <c r="L176" s="44">
        <v>45840</v>
      </c>
      <c r="M176" s="44"/>
      <c r="N176" s="127">
        <v>46157</v>
      </c>
      <c r="O176" s="128" t="s">
        <v>2113</v>
      </c>
      <c r="P176" s="129" t="s">
        <v>2522</v>
      </c>
      <c r="Q176" s="65"/>
      <c r="R176" s="65"/>
      <c r="S176" s="65"/>
      <c r="T176" s="65"/>
      <c r="U176" s="65"/>
      <c r="V176" s="46">
        <f t="shared" ca="1" si="27"/>
        <v>0</v>
      </c>
      <c r="W176" s="47">
        <f t="shared" ca="1" si="28"/>
        <v>0</v>
      </c>
      <c r="X176" s="47" t="str">
        <f t="shared" ca="1" si="35"/>
        <v xml:space="preserve">PENDIENTE </v>
      </c>
      <c r="Y176" s="47">
        <f t="shared" ca="1" si="29"/>
        <v>0</v>
      </c>
      <c r="Z176" s="227" t="str">
        <f t="shared" ca="1" si="36"/>
        <v xml:space="preserve">PENDIENTE </v>
      </c>
      <c r="AA176" s="66"/>
      <c r="AB176" s="67">
        <v>13.9</v>
      </c>
      <c r="AC176" s="68"/>
      <c r="AD176" s="69"/>
      <c r="AE176" s="70">
        <v>19843.393218401026</v>
      </c>
      <c r="AF176" s="71">
        <v>6188.25</v>
      </c>
      <c r="AG176" s="71"/>
      <c r="AH176" s="72">
        <v>7101.22</v>
      </c>
      <c r="AI176" s="73"/>
      <c r="AJ176" s="71">
        <f t="shared" si="39"/>
        <v>6403.9232184010261</v>
      </c>
      <c r="AK176" s="71"/>
      <c r="AL176" s="71"/>
      <c r="AM176" s="70"/>
      <c r="AN176" s="74"/>
      <c r="AO176" s="278"/>
      <c r="AP176" s="144" t="str">
        <f t="shared" ca="1" si="37"/>
        <v/>
      </c>
      <c r="AQ176" s="142" t="s">
        <v>2381</v>
      </c>
      <c r="AR176" s="142" t="s">
        <v>2374</v>
      </c>
      <c r="AS176" s="57" t="str">
        <f t="shared" si="30"/>
        <v>03</v>
      </c>
      <c r="AT176" s="141" t="str">
        <f t="shared" si="31"/>
        <v>PLAN CINCO CCPP (C) Tarfia 5 - Presupuesto pendiente de adjudicación</v>
      </c>
      <c r="AU176" s="141" t="str">
        <f t="shared" ca="1" si="32"/>
        <v>Estimado/a Sr/Sra:
Desde Instalaciones Araujo nos ponemos en contacto con ud, en relación con el Presupuesto de individualización de contadores de agua que le facilitamos el pasado 00/01/1900 para la CCPP (C) Tarfia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76" s="257" t="str">
        <f t="shared" ca="1" si="33"/>
        <v>Estimado/a Sr/Sra:
Desde Instalaciones Araujo nos ponemos en contacto con ud, en relación con el Presupuesto de individualización de contadores de agua que le facilitamos el pasado {FECHA_PTO} para la CCPP (C) Tarfia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76" s="257" t="str">
        <f t="shared" si="34"/>
        <v>Estimado/a Sr/Sra:
Desde Instalaciones Araujo nos ponemos en contacto con ud, en relación con el Presupuesto de individualización de contadores de agua que le facilitamos el pasado {FECHA_PTO} para la CCPP (C) Tarfia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76" s="141" t="s">
        <v>1410</v>
      </c>
      <c r="AY176" s="142"/>
    </row>
    <row r="177" spans="1:51" s="262" customFormat="1" x14ac:dyDescent="0.25">
      <c r="A177" s="75" t="s">
        <v>2162</v>
      </c>
      <c r="B177" s="75" t="s">
        <v>2360</v>
      </c>
      <c r="C177" s="61" t="s">
        <v>2129</v>
      </c>
      <c r="D177" s="43" t="s">
        <v>1359</v>
      </c>
      <c r="E177" s="201">
        <v>653689992</v>
      </c>
      <c r="F177" s="43" t="s">
        <v>1817</v>
      </c>
      <c r="G177" s="43" t="s">
        <v>1360</v>
      </c>
      <c r="H177" s="201">
        <v>653758994</v>
      </c>
      <c r="I177" s="43" t="s">
        <v>0</v>
      </c>
      <c r="J177" s="44">
        <v>45989</v>
      </c>
      <c r="K177" s="44">
        <v>46058</v>
      </c>
      <c r="L177" s="44">
        <v>46058</v>
      </c>
      <c r="M177" s="44"/>
      <c r="N177" s="127">
        <f>Q177+44+3+4</f>
        <v>46129</v>
      </c>
      <c r="O177" s="128" t="s">
        <v>2413</v>
      </c>
      <c r="P177" s="126" t="s">
        <v>2521</v>
      </c>
      <c r="Q177" s="65">
        <v>46078</v>
      </c>
      <c r="R177" s="65" t="s">
        <v>609</v>
      </c>
      <c r="S177" s="65"/>
      <c r="T177" s="65"/>
      <c r="U177" s="65"/>
      <c r="V177" s="46" t="str">
        <f t="shared" ca="1" si="27"/>
        <v>F</v>
      </c>
      <c r="W177" s="47">
        <f t="shared" ca="1" si="28"/>
        <v>0</v>
      </c>
      <c r="X177" s="47" t="str">
        <f t="shared" ca="1" si="35"/>
        <v>PENDIENTE -PRESUPUESTO-TOMA DE DATOS-NIF-ACTA NOMBRAMIENTO PRESIDENTE-ACTA APROBACION PRESUPUESTO-RENUNCIA GRUPO PRESION-ULTIMA FACTURA EMASESA</v>
      </c>
      <c r="Y177" s="47">
        <f t="shared" ca="1" si="29"/>
        <v>0.6</v>
      </c>
      <c r="Z177" s="227" t="str">
        <f t="shared" ca="1" si="36"/>
        <v>PENDIENTE -(1DCHA)-(3DCHA)-(5DCHA)-(5IZDA)</v>
      </c>
      <c r="AA177" s="66" t="s">
        <v>2443</v>
      </c>
      <c r="AB177" s="67">
        <v>11.3</v>
      </c>
      <c r="AC177" s="68">
        <f>AB177</f>
        <v>11.3</v>
      </c>
      <c r="AD177" s="96">
        <f>1-(AC177/AB177)</f>
        <v>0</v>
      </c>
      <c r="AE177" s="70">
        <v>11867.08</v>
      </c>
      <c r="AF177" s="71">
        <v>5045.38</v>
      </c>
      <c r="AG177" s="71">
        <f>AF177</f>
        <v>5045.38</v>
      </c>
      <c r="AH177" s="72">
        <v>2651.72</v>
      </c>
      <c r="AI177" s="73">
        <f>AH177</f>
        <v>2651.72</v>
      </c>
      <c r="AJ177" s="71">
        <f t="shared" si="39"/>
        <v>4019.9799999999996</v>
      </c>
      <c r="AK177" s="89">
        <f>AE177-AG177-AI177</f>
        <v>4169.9799999999996</v>
      </c>
      <c r="AL177" s="89">
        <f>AK177-AJ177</f>
        <v>150</v>
      </c>
      <c r="AM177" s="88">
        <f>AK177*0.2</f>
        <v>833.99599999999998</v>
      </c>
      <c r="AN177" s="74"/>
      <c r="AO177" s="278"/>
      <c r="AP177" s="144" t="str">
        <f t="shared" ca="1" si="37"/>
        <v>SI</v>
      </c>
      <c r="AQ177" s="142" t="s">
        <v>2381</v>
      </c>
      <c r="AR177" s="142" t="s">
        <v>2374</v>
      </c>
      <c r="AS177" s="57" t="str">
        <f t="shared" si="30"/>
        <v>05</v>
      </c>
      <c r="AT177" s="141" t="str">
        <f t="shared" si="31"/>
        <v>PLAN CINCO CCPP (C) Tarfia 53 - Proceso de Documentación</v>
      </c>
      <c r="AU177" s="141" t="str">
        <f t="shared" ca="1" si="32"/>
        <v>Estimado/a Sr/Sra:
Nos ponemos en contacto desde Instalaciones Araujo, la empresa encargada para la individualización de contadores de agua en la CCPP (C) Tarfia 53, agradeciéndole la confianza depositada en nosotros.
Le comunicamos que con fecha 25/02/2026 solicitamos a la CCPP la entrega de la documentación necesaria para iniciar la tramitación del expediente con EMASESA.
Para su conocimiento, le informamos que, hasta la fecha, hemos recibido el {60%} de la documentación.
DOCUMENTACION DE LA CCPP:  PENDIENTE -PRESUPUESTO-TOMA DE DATOS-NIF-ACTA NOMBRAMIENTO PRESIDENTE-ACTA APROBACION PRESUPUESTO-RENUNCIA GRUPO PRESION-ULTIMA FACTURA EMASESA
DOCUMENTACION DE LAS VIVIENDAS: PENDIENTE -(1DCHA)-(3DCHA)-(5DCHA)-(5IZDA)
Le mantendremos informado, rogándole que igualmente informe de este particular a los propietarios con la fecha limite de envío 17/03/2026.
Comunicación confidencial conforme al RGPD y la LOPDGDD, en el marco del contrato suscrito con la CCPP.
***ROGAMOS CONFIRMACION DE RECEPCION***
Quedamos a su disposición para resolver cualquier duda
Atentamente, Instalaciones Araujo</v>
      </c>
      <c r="AV177" s="257" t="str">
        <f t="shared" ca="1" si="33"/>
        <v>Estimado/a Sr/Sra:
Nos ponemos en contacto desde Instalaciones Araujo, la empresa encargada para la individualización de contadores de agua en la CCPP (C) Tarfia 53, agradeciéndole la confianza depositada en nosotros.
Le comunicamos que con fecha 25/02/2026 solicitamos a la CCPP la entrega de la documentación necesaria para iniciar la tramitación del expediente con EMASESA.
Para su conocimiento, le informamos que, hasta la fecha, hemos recibido el {60%} de la documentación.
DOCUMENTACION DE LA CCPP:  {DOC_CCPP}
DOCUMENTACION DE LAS VIVIENDAS: {DOC_PISOS}
Le mantendremos informado, rogándole que igualmente informe de este particular a los propietarios con la fecha limite de envío 17/03/2026.
Comunicación confidencial conforme al RGPD y la LOPDGDD, en el marco del contrato suscrito con la CCPP.
***ROGAMOS CONFIRMACION DE RECEPCION***
Quedamos a su disposición para resolver cualquier duda
Atentamente, Instalaciones Araujo</v>
      </c>
      <c r="AW177" s="257" t="str">
        <f t="shared" si="34"/>
        <v>Estimado/a Sr/Sra:
Nos ponemos en contacto desde Instalaciones Araujo, la empresa encargada para la individualización de contadores de agua en la CCPP (C) Tarfia 53, agradeciéndole la confianza depositada en nosotros.
Le comunicamos que con fecha 25/02/2026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17/03/2026.
Comunicación confidencial conforme al RGPD y la LOPDGDD, en el marco del contrato suscrito con la CCPP.
***ROGAMOS CONFIRMACION DE RECEPCION***
Quedamos a su disposición para resolver cualquier duda
Atentamente, Instalaciones Araujo</v>
      </c>
      <c r="AX177" s="141" t="s">
        <v>1410</v>
      </c>
      <c r="AY177" s="142"/>
    </row>
    <row r="178" spans="1:51" s="262" customFormat="1" x14ac:dyDescent="0.25">
      <c r="A178" s="64" t="s">
        <v>2162</v>
      </c>
      <c r="B178" s="64" t="s">
        <v>2348</v>
      </c>
      <c r="C178" s="61" t="s">
        <v>2129</v>
      </c>
      <c r="D178" s="43" t="s">
        <v>2051</v>
      </c>
      <c r="E178" s="201">
        <v>627384156</v>
      </c>
      <c r="F178" s="43" t="s">
        <v>1980</v>
      </c>
      <c r="G178" s="43" t="s">
        <v>2052</v>
      </c>
      <c r="H178" s="201" t="s">
        <v>0</v>
      </c>
      <c r="I178" s="43" t="s">
        <v>0</v>
      </c>
      <c r="J178" s="44">
        <v>45789</v>
      </c>
      <c r="K178" s="44">
        <v>45834</v>
      </c>
      <c r="L178" s="44">
        <v>45834</v>
      </c>
      <c r="M178" s="44"/>
      <c r="N178" s="127" t="s">
        <v>0</v>
      </c>
      <c r="O178" s="128" t="s">
        <v>2105</v>
      </c>
      <c r="P178" s="129" t="s">
        <v>2107</v>
      </c>
      <c r="Q178" s="65"/>
      <c r="R178" s="65"/>
      <c r="S178" s="65"/>
      <c r="T178" s="65"/>
      <c r="U178" s="65"/>
      <c r="V178" s="46">
        <f t="shared" ca="1" si="27"/>
        <v>0</v>
      </c>
      <c r="W178" s="47">
        <f t="shared" ca="1" si="28"/>
        <v>0</v>
      </c>
      <c r="X178" s="47" t="str">
        <f t="shared" ca="1" si="35"/>
        <v xml:space="preserve">PENDIENTE </v>
      </c>
      <c r="Y178" s="47">
        <f t="shared" ca="1" si="29"/>
        <v>0</v>
      </c>
      <c r="Z178" s="227" t="str">
        <f t="shared" ca="1" si="36"/>
        <v xml:space="preserve">PENDIENTE </v>
      </c>
      <c r="AA178" s="66"/>
      <c r="AB178" s="67">
        <v>9</v>
      </c>
      <c r="AC178" s="68"/>
      <c r="AD178" s="69"/>
      <c r="AE178" s="70">
        <v>10153.209999999999</v>
      </c>
      <c r="AF178" s="71">
        <v>4031.62</v>
      </c>
      <c r="AG178" s="71"/>
      <c r="AH178" s="72">
        <v>3040.95</v>
      </c>
      <c r="AI178" s="73"/>
      <c r="AJ178" s="71">
        <f t="shared" si="39"/>
        <v>2930.6399999999994</v>
      </c>
      <c r="AK178" s="71"/>
      <c r="AL178" s="71"/>
      <c r="AM178" s="70"/>
      <c r="AN178" s="74"/>
      <c r="AO178" s="278"/>
      <c r="AP178" s="144" t="str">
        <f t="shared" ca="1" si="37"/>
        <v/>
      </c>
      <c r="AQ178" s="142" t="s">
        <v>2381</v>
      </c>
      <c r="AR178" s="142" t="s">
        <v>2374</v>
      </c>
      <c r="AS178" s="57" t="str">
        <f t="shared" si="30"/>
        <v>---</v>
      </c>
      <c r="AT178" s="141" t="str">
        <f t="shared" si="31"/>
        <v xml:space="preserve">PLAN CINCO CCPP (C) Teba 4 - </v>
      </c>
      <c r="AU178" s="141" t="str">
        <f t="shared" ca="1" si="32"/>
        <v/>
      </c>
      <c r="AV178" s="257" t="str">
        <f t="shared" ca="1" si="33"/>
        <v/>
      </c>
      <c r="AW178" s="257" t="str">
        <f t="shared" si="34"/>
        <v/>
      </c>
      <c r="AX178" s="141" t="s">
        <v>1410</v>
      </c>
      <c r="AY178" s="142"/>
    </row>
    <row r="179" spans="1:51" s="262" customFormat="1" x14ac:dyDescent="0.25">
      <c r="A179" s="64" t="s">
        <v>2162</v>
      </c>
      <c r="B179" s="64" t="s">
        <v>2362</v>
      </c>
      <c r="C179" s="61" t="s">
        <v>2129</v>
      </c>
      <c r="D179" s="43" t="s">
        <v>768</v>
      </c>
      <c r="E179" s="201">
        <v>954226728</v>
      </c>
      <c r="F179" s="43" t="s">
        <v>1777</v>
      </c>
      <c r="G179" s="43" t="s">
        <v>2053</v>
      </c>
      <c r="H179" s="201">
        <v>675665136</v>
      </c>
      <c r="I179" s="43" t="s">
        <v>2054</v>
      </c>
      <c r="J179" s="44">
        <v>45776</v>
      </c>
      <c r="K179" s="44">
        <v>45777</v>
      </c>
      <c r="L179" s="44">
        <v>45784</v>
      </c>
      <c r="M179" s="44"/>
      <c r="N179" s="127">
        <v>46280</v>
      </c>
      <c r="O179" s="128" t="s">
        <v>2113</v>
      </c>
      <c r="P179" s="126" t="s">
        <v>2522</v>
      </c>
      <c r="Q179" s="65"/>
      <c r="R179" s="65"/>
      <c r="S179" s="65"/>
      <c r="T179" s="65"/>
      <c r="U179" s="65"/>
      <c r="V179" s="46">
        <f t="shared" ca="1" si="27"/>
        <v>0</v>
      </c>
      <c r="W179" s="47">
        <f t="shared" ca="1" si="28"/>
        <v>0</v>
      </c>
      <c r="X179" s="47" t="str">
        <f t="shared" ca="1" si="35"/>
        <v xml:space="preserve">PENDIENTE </v>
      </c>
      <c r="Y179" s="47">
        <f t="shared" ca="1" si="29"/>
        <v>0</v>
      </c>
      <c r="Z179" s="227" t="str">
        <f t="shared" ca="1" si="36"/>
        <v xml:space="preserve">PENDIENTE </v>
      </c>
      <c r="AA179" s="66"/>
      <c r="AB179" s="67">
        <v>11.6</v>
      </c>
      <c r="AC179" s="68"/>
      <c r="AD179" s="69"/>
      <c r="AE179" s="70">
        <v>11111.84526337386</v>
      </c>
      <c r="AF179" s="71">
        <v>5173.6000000000004</v>
      </c>
      <c r="AG179" s="71"/>
      <c r="AH179" s="72">
        <v>2662.84</v>
      </c>
      <c r="AI179" s="73"/>
      <c r="AJ179" s="71">
        <f t="shared" si="39"/>
        <v>3125.4052633738593</v>
      </c>
      <c r="AK179" s="71"/>
      <c r="AL179" s="71"/>
      <c r="AM179" s="70"/>
      <c r="AN179" s="74"/>
      <c r="AO179" s="278"/>
      <c r="AP179" s="144" t="str">
        <f t="shared" ca="1" si="37"/>
        <v/>
      </c>
      <c r="AQ179" s="142" t="s">
        <v>2381</v>
      </c>
      <c r="AR179" s="142" t="s">
        <v>2374</v>
      </c>
      <c r="AS179" s="57" t="str">
        <f t="shared" si="30"/>
        <v>03</v>
      </c>
      <c r="AT179" s="141" t="str">
        <f t="shared" si="31"/>
        <v>PLAN CINCO CCPP (C) Teniente Rodríguez Carmona 5 - Presupuesto pendiente de adjudicación</v>
      </c>
      <c r="AU179" s="141" t="str">
        <f t="shared" ca="1" si="32"/>
        <v>Estimado/a Sr/Sra:
Desde Instalaciones Araujo nos ponemos en contacto con ud, en relación con el Presupuesto de individualización de contadores de agua que le facilitamos el pasado 00/01/1900 para la CCPP (C) Teniente Rodríguez Carmona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79" s="257" t="str">
        <f t="shared" ca="1" si="33"/>
        <v>Estimado/a Sr/Sra:
Desde Instalaciones Araujo nos ponemos en contacto con ud, en relación con el Presupuesto de individualización de contadores de agua que le facilitamos el pasado {FECHA_PTO} para la CCPP (C) Teniente Rodríguez Carmona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79" s="257" t="str">
        <f t="shared" si="34"/>
        <v>Estimado/a Sr/Sra:
Desde Instalaciones Araujo nos ponemos en contacto con ud, en relación con el Presupuesto de individualización de contadores de agua que le facilitamos el pasado {FECHA_PTO} para la CCPP (C) Teniente Rodríguez Carmona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79" s="141" t="s">
        <v>1410</v>
      </c>
      <c r="AY179" s="142"/>
    </row>
    <row r="180" spans="1:51" s="262" customFormat="1" x14ac:dyDescent="0.25">
      <c r="A180" s="64" t="s">
        <v>2162</v>
      </c>
      <c r="B180" s="64" t="s">
        <v>2349</v>
      </c>
      <c r="C180" s="61" t="s">
        <v>2129</v>
      </c>
      <c r="D180" s="43" t="s">
        <v>2055</v>
      </c>
      <c r="E180" s="201">
        <v>616472928</v>
      </c>
      <c r="F180" s="43" t="s">
        <v>2056</v>
      </c>
      <c r="G180" s="203" t="s">
        <v>2156</v>
      </c>
      <c r="H180" s="203" t="s">
        <v>0</v>
      </c>
      <c r="I180" s="122" t="s">
        <v>0</v>
      </c>
      <c r="J180" s="44">
        <v>45901</v>
      </c>
      <c r="K180" s="44">
        <v>45902</v>
      </c>
      <c r="L180" s="44">
        <v>45902</v>
      </c>
      <c r="M180" s="44"/>
      <c r="N180" s="127" t="s">
        <v>0</v>
      </c>
      <c r="O180" s="128" t="s">
        <v>2106</v>
      </c>
      <c r="P180" s="126" t="s">
        <v>2107</v>
      </c>
      <c r="Q180" s="65"/>
      <c r="R180" s="65"/>
      <c r="S180" s="65"/>
      <c r="T180" s="65"/>
      <c r="U180" s="65"/>
      <c r="V180" s="46">
        <f t="shared" ca="1" si="27"/>
        <v>0</v>
      </c>
      <c r="W180" s="47">
        <f t="shared" ca="1" si="28"/>
        <v>0</v>
      </c>
      <c r="X180" s="47" t="str">
        <f t="shared" ca="1" si="35"/>
        <v xml:space="preserve">PENDIENTE </v>
      </c>
      <c r="Y180" s="47">
        <f t="shared" ca="1" si="29"/>
        <v>0</v>
      </c>
      <c r="Z180" s="227" t="str">
        <f t="shared" ca="1" si="36"/>
        <v xml:space="preserve">PENDIENTE </v>
      </c>
      <c r="AA180" s="66"/>
      <c r="AB180" s="67">
        <v>8.1999999999999993</v>
      </c>
      <c r="AC180" s="68"/>
      <c r="AD180" s="69"/>
      <c r="AE180" s="70">
        <v>8996.2800000000007</v>
      </c>
      <c r="AF180" s="71">
        <v>3672.81</v>
      </c>
      <c r="AG180" s="71"/>
      <c r="AH180" s="72">
        <v>2473.9299999999998</v>
      </c>
      <c r="AI180" s="73"/>
      <c r="AJ180" s="71">
        <f t="shared" si="39"/>
        <v>2699.5400000000013</v>
      </c>
      <c r="AK180" s="71"/>
      <c r="AL180" s="71"/>
      <c r="AM180" s="70"/>
      <c r="AN180" s="74"/>
      <c r="AO180" s="278"/>
      <c r="AP180" s="144" t="str">
        <f t="shared" ca="1" si="37"/>
        <v/>
      </c>
      <c r="AQ180" s="142" t="s">
        <v>2381</v>
      </c>
      <c r="AR180" s="142" t="s">
        <v>2374</v>
      </c>
      <c r="AS180" s="57" t="str">
        <f t="shared" si="30"/>
        <v>---</v>
      </c>
      <c r="AT180" s="141" t="str">
        <f t="shared" si="31"/>
        <v xml:space="preserve">PLAN CINCO CCPP (C) Teodosio 59 - </v>
      </c>
      <c r="AU180" s="141" t="str">
        <f t="shared" ca="1" si="32"/>
        <v/>
      </c>
      <c r="AV180" s="257" t="str">
        <f t="shared" ca="1" si="33"/>
        <v/>
      </c>
      <c r="AW180" s="257" t="str">
        <f t="shared" si="34"/>
        <v/>
      </c>
      <c r="AX180" s="141" t="s">
        <v>1410</v>
      </c>
      <c r="AY180" s="142"/>
    </row>
    <row r="181" spans="1:51" s="262" customFormat="1" x14ac:dyDescent="0.25">
      <c r="A181" s="64" t="s">
        <v>2162</v>
      </c>
      <c r="B181" s="64" t="s">
        <v>2364</v>
      </c>
      <c r="C181" s="61" t="s">
        <v>2129</v>
      </c>
      <c r="D181" s="43" t="s">
        <v>2057</v>
      </c>
      <c r="E181" s="201">
        <v>654802629</v>
      </c>
      <c r="F181" s="364" t="s">
        <v>2058</v>
      </c>
      <c r="G181" s="203" t="s">
        <v>2156</v>
      </c>
      <c r="H181" s="203" t="s">
        <v>0</v>
      </c>
      <c r="I181" s="122" t="s">
        <v>0</v>
      </c>
      <c r="J181" s="44">
        <v>46041</v>
      </c>
      <c r="K181" s="44">
        <v>46127</v>
      </c>
      <c r="L181" s="44">
        <v>46141</v>
      </c>
      <c r="M181" s="44"/>
      <c r="N181" s="127"/>
      <c r="O181" s="128"/>
      <c r="P181" s="129" t="s">
        <v>2522</v>
      </c>
      <c r="Q181" s="65"/>
      <c r="R181" s="65"/>
      <c r="S181" s="65"/>
      <c r="T181" s="65"/>
      <c r="U181" s="65"/>
      <c r="V181" s="46">
        <f t="shared" ca="1" si="27"/>
        <v>0</v>
      </c>
      <c r="W181" s="47">
        <f t="shared" ca="1" si="28"/>
        <v>0</v>
      </c>
      <c r="X181" s="47" t="str">
        <f t="shared" ca="1" si="35"/>
        <v xml:space="preserve">PENDIENTE </v>
      </c>
      <c r="Y181" s="47">
        <f t="shared" ca="1" si="29"/>
        <v>0</v>
      </c>
      <c r="Z181" s="227" t="str">
        <f t="shared" ca="1" si="36"/>
        <v xml:space="preserve">PENDIENTE </v>
      </c>
      <c r="AA181" s="124"/>
      <c r="AB181" s="67">
        <v>8</v>
      </c>
      <c r="AC181" s="68"/>
      <c r="AD181" s="69"/>
      <c r="AE181" s="70">
        <v>9098.36</v>
      </c>
      <c r="AF181" s="71">
        <v>3568</v>
      </c>
      <c r="AG181" s="71"/>
      <c r="AH181" s="72">
        <f>1614.99+645</f>
        <v>2259.9899999999998</v>
      </c>
      <c r="AI181" s="73"/>
      <c r="AJ181" s="71">
        <f>AE181-AF181-AH181-174</f>
        <v>3096.3700000000008</v>
      </c>
      <c r="AK181" s="71"/>
      <c r="AL181" s="71"/>
      <c r="AM181" s="70"/>
      <c r="AN181" s="74"/>
      <c r="AO181" s="278"/>
      <c r="AP181" s="144" t="str">
        <f t="shared" ca="1" si="37"/>
        <v/>
      </c>
      <c r="AQ181" s="142" t="s">
        <v>2381</v>
      </c>
      <c r="AR181" s="142" t="s">
        <v>2374</v>
      </c>
      <c r="AS181" s="57" t="str">
        <f t="shared" si="30"/>
        <v>03</v>
      </c>
      <c r="AT181" s="141" t="str">
        <f t="shared" si="31"/>
        <v>PLAN CINCO CCPP (C) Tordo 18 - Presupuesto pendiente de adjudicación</v>
      </c>
      <c r="AU181" s="141" t="str">
        <f t="shared" ca="1" si="32"/>
        <v>Estimado/a Sr/Sra:
Desde Instalaciones Araujo nos ponemos en contacto con ud, en relación con el Presupuesto de individualización de contadores de agua que le facilitamos el pasado 00/01/1900 para la CCPP (C) Tordo 18.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81" s="257" t="str">
        <f t="shared" ca="1" si="33"/>
        <v>Estimado/a Sr/Sra:
Desde Instalaciones Araujo nos ponemos en contacto con ud, en relación con el Presupuesto de individualización de contadores de agua que le facilitamos el pasado {FECHA_PTO} para la CCPP (C) Tordo 18.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81" s="257" t="str">
        <f t="shared" si="34"/>
        <v>Estimado/a Sr/Sra:
Desde Instalaciones Araujo nos ponemos en contacto con ud, en relación con el Presupuesto de individualización de contadores de agua que le facilitamos el pasado {FECHA_PTO} para la CCPP (C) Tordo 18.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81" s="141" t="s">
        <v>1410</v>
      </c>
      <c r="AY181" s="142"/>
    </row>
    <row r="182" spans="1:51" s="262" customFormat="1" x14ac:dyDescent="0.25">
      <c r="A182" s="64" t="s">
        <v>2165</v>
      </c>
      <c r="B182" s="64" t="s">
        <v>2365</v>
      </c>
      <c r="C182" s="61" t="s">
        <v>2129</v>
      </c>
      <c r="D182" s="43" t="s">
        <v>1857</v>
      </c>
      <c r="E182" s="201">
        <v>677546543</v>
      </c>
      <c r="F182" s="43" t="s">
        <v>1858</v>
      </c>
      <c r="G182" s="43" t="s">
        <v>0</v>
      </c>
      <c r="H182" s="201" t="s">
        <v>0</v>
      </c>
      <c r="I182" s="43" t="s">
        <v>0</v>
      </c>
      <c r="J182" s="44">
        <v>46071</v>
      </c>
      <c r="K182" s="44">
        <v>46079</v>
      </c>
      <c r="L182" s="44">
        <v>46085</v>
      </c>
      <c r="M182" s="44"/>
      <c r="N182" s="127">
        <v>46143</v>
      </c>
      <c r="O182" s="128" t="s">
        <v>2412</v>
      </c>
      <c r="P182" s="126" t="s">
        <v>2522</v>
      </c>
      <c r="Q182" s="65"/>
      <c r="R182" s="65"/>
      <c r="S182" s="65"/>
      <c r="T182" s="65"/>
      <c r="U182" s="65"/>
      <c r="V182" s="46">
        <f t="shared" ca="1" si="27"/>
        <v>0</v>
      </c>
      <c r="W182" s="47">
        <f t="shared" ca="1" si="28"/>
        <v>0</v>
      </c>
      <c r="X182" s="47" t="str">
        <f t="shared" ca="1" si="35"/>
        <v xml:space="preserve">PENDIENTE </v>
      </c>
      <c r="Y182" s="47">
        <f t="shared" ca="1" si="29"/>
        <v>0</v>
      </c>
      <c r="Z182" s="227" t="str">
        <f t="shared" ca="1" si="36"/>
        <v xml:space="preserve">PENDIENTE </v>
      </c>
      <c r="AA182" s="66"/>
      <c r="AB182" s="67">
        <v>52.1</v>
      </c>
      <c r="AC182" s="68"/>
      <c r="AD182" s="69"/>
      <c r="AE182" s="70">
        <v>56949.582886354241</v>
      </c>
      <c r="AF182" s="71">
        <v>23242.174999999999</v>
      </c>
      <c r="AG182" s="71"/>
      <c r="AH182" s="72">
        <v>13675.43</v>
      </c>
      <c r="AI182" s="73"/>
      <c r="AJ182" s="71">
        <f>AE182-AF182-AH182-231</f>
        <v>19800.977886354238</v>
      </c>
      <c r="AK182" s="71"/>
      <c r="AL182" s="71"/>
      <c r="AM182" s="70"/>
      <c r="AN182" s="74"/>
      <c r="AO182" s="278"/>
      <c r="AP182" s="144" t="str">
        <f t="shared" ca="1" si="37"/>
        <v>SI</v>
      </c>
      <c r="AQ182" s="142" t="s">
        <v>2381</v>
      </c>
      <c r="AR182" s="142" t="s">
        <v>2374</v>
      </c>
      <c r="AS182" s="57" t="str">
        <f t="shared" si="30"/>
        <v>03</v>
      </c>
      <c r="AT182" s="141" t="str">
        <f t="shared" si="31"/>
        <v>PLAN CINCO CCPP (Av) Trabajadores Inmigrantes 5 - Presupuesto pendiente de adjudicación</v>
      </c>
      <c r="AU182" s="141" t="str">
        <f t="shared" ca="1" si="32"/>
        <v>Estimado/a Sr/Sra:
Desde Instalaciones Araujo nos ponemos en contacto con ud, en relación con el Presupuesto de individualización de contadores de agua que le facilitamos el pasado 00/01/1900 para la CCPP (Av) Trabajadores Inmigrantes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82" s="257" t="str">
        <f t="shared" ca="1" si="33"/>
        <v>Estimado/a Sr/Sra:
Desde Instalaciones Araujo nos ponemos en contacto con ud, en relación con el Presupuesto de individualización de contadores de agua que le facilitamos el pasado {FECHA_PTO} para la CCPP (Av) Trabajadores Inmigrantes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82" s="257" t="str">
        <f t="shared" si="34"/>
        <v>Estimado/a Sr/Sra:
Desde Instalaciones Araujo nos ponemos en contacto con ud, en relación con el Presupuesto de individualización de contadores de agua que le facilitamos el pasado {FECHA_PTO} para la CCPP (Av) Trabajadores Inmigrantes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82" s="141" t="s">
        <v>1410</v>
      </c>
      <c r="AY182" s="142"/>
    </row>
    <row r="183" spans="1:51" s="262" customFormat="1" x14ac:dyDescent="0.25">
      <c r="A183" s="64" t="s">
        <v>2162</v>
      </c>
      <c r="B183" s="64" t="s">
        <v>2366</v>
      </c>
      <c r="C183" s="61" t="s">
        <v>1354</v>
      </c>
      <c r="D183" s="43" t="s">
        <v>1905</v>
      </c>
      <c r="E183" s="201">
        <v>681943040</v>
      </c>
      <c r="F183" s="43" t="s">
        <v>1906</v>
      </c>
      <c r="G183" s="43" t="s">
        <v>2059</v>
      </c>
      <c r="H183" s="201">
        <v>645395770</v>
      </c>
      <c r="I183" s="43" t="s">
        <v>0</v>
      </c>
      <c r="J183" s="44">
        <v>45931</v>
      </c>
      <c r="K183" s="44">
        <v>45965</v>
      </c>
      <c r="L183" s="44">
        <v>45973</v>
      </c>
      <c r="M183" s="44"/>
      <c r="N183" s="127">
        <v>46157</v>
      </c>
      <c r="O183" s="128" t="s">
        <v>2103</v>
      </c>
      <c r="P183" s="126" t="s">
        <v>2522</v>
      </c>
      <c r="Q183" s="65"/>
      <c r="R183" s="65"/>
      <c r="S183" s="65"/>
      <c r="T183" s="65"/>
      <c r="U183" s="65"/>
      <c r="V183" s="46">
        <f t="shared" ca="1" si="27"/>
        <v>0</v>
      </c>
      <c r="W183" s="47">
        <f t="shared" ca="1" si="28"/>
        <v>0</v>
      </c>
      <c r="X183" s="47" t="str">
        <f t="shared" ca="1" si="35"/>
        <v xml:space="preserve">PENDIENTE </v>
      </c>
      <c r="Y183" s="47">
        <f t="shared" ca="1" si="29"/>
        <v>0</v>
      </c>
      <c r="Z183" s="227" t="str">
        <f t="shared" ca="1" si="36"/>
        <v xml:space="preserve">PENDIENTE </v>
      </c>
      <c r="AA183" s="66"/>
      <c r="AB183" s="67">
        <v>13</v>
      </c>
      <c r="AC183" s="68"/>
      <c r="AD183" s="69"/>
      <c r="AE183" s="70">
        <v>13213.806192747743</v>
      </c>
      <c r="AF183" s="71">
        <v>5781.2750000000005</v>
      </c>
      <c r="AG183" s="71"/>
      <c r="AH183" s="72">
        <v>3420.94</v>
      </c>
      <c r="AI183" s="73"/>
      <c r="AJ183" s="71">
        <f>AE183-AF183-AH183-150</f>
        <v>3861.5911927477423</v>
      </c>
      <c r="AK183" s="71"/>
      <c r="AL183" s="71"/>
      <c r="AM183" s="70"/>
      <c r="AN183" s="74"/>
      <c r="AO183" s="278"/>
      <c r="AP183" s="144" t="str">
        <f t="shared" ca="1" si="37"/>
        <v/>
      </c>
      <c r="AQ183" s="142" t="s">
        <v>2381</v>
      </c>
      <c r="AR183" s="142" t="s">
        <v>2374</v>
      </c>
      <c r="AS183" s="57" t="str">
        <f t="shared" si="30"/>
        <v>03</v>
      </c>
      <c r="AT183" s="141" t="str">
        <f t="shared" si="31"/>
        <v>PLAN CINCO CCPP (C) Triángulo 6 - Presupuesto pendiente de adjudicación</v>
      </c>
      <c r="AU183" s="141" t="str">
        <f t="shared" ca="1" si="32"/>
        <v>Estimado/a Sr/Sra:
Desde Instalaciones Araujo nos ponemos en contacto con ud, en relación con el Presupuesto de individualización de contadores de agua que le facilitamos el pasado 00/01/1900 para la CCPP (C) Triángulo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83" s="257" t="str">
        <f t="shared" ca="1" si="33"/>
        <v>Estimado/a Sr/Sra:
Desde Instalaciones Araujo nos ponemos en contacto con ud, en relación con el Presupuesto de individualización de contadores de agua que le facilitamos el pasado {FECHA_PTO} para la CCPP (C) Triángulo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83" s="257" t="str">
        <f t="shared" si="34"/>
        <v>Estimado/a Sr/Sra:
Desde Instalaciones Araujo nos ponemos en contacto con ud, en relación con el Presupuesto de individualización de contadores de agua que le facilitamos el pasado {FECHA_PTO} para la CCPP (C) Triángulo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83" s="141" t="s">
        <v>1410</v>
      </c>
      <c r="AY183" s="142"/>
    </row>
    <row r="184" spans="1:51" s="262" customFormat="1" x14ac:dyDescent="0.25">
      <c r="A184" s="64" t="s">
        <v>2163</v>
      </c>
      <c r="B184" s="64" t="s">
        <v>2353</v>
      </c>
      <c r="C184" s="61" t="s">
        <v>2129</v>
      </c>
      <c r="D184" s="43" t="s">
        <v>2145</v>
      </c>
      <c r="E184" s="201">
        <v>635407724</v>
      </c>
      <c r="F184" s="43" t="s">
        <v>2060</v>
      </c>
      <c r="G184" s="43" t="s">
        <v>2061</v>
      </c>
      <c r="H184" s="201">
        <v>647101930</v>
      </c>
      <c r="I184" s="43" t="s">
        <v>2062</v>
      </c>
      <c r="J184" s="44">
        <v>45616</v>
      </c>
      <c r="K184" s="44">
        <v>45881</v>
      </c>
      <c r="L184" s="44">
        <v>45882</v>
      </c>
      <c r="M184" s="44"/>
      <c r="N184" s="127" t="s">
        <v>0</v>
      </c>
      <c r="O184" s="128" t="s">
        <v>2106</v>
      </c>
      <c r="P184" s="126" t="s">
        <v>2107</v>
      </c>
      <c r="Q184" s="65"/>
      <c r="R184" s="65"/>
      <c r="S184" s="65"/>
      <c r="T184" s="65"/>
      <c r="U184" s="65"/>
      <c r="V184" s="46">
        <f t="shared" ca="1" si="27"/>
        <v>0</v>
      </c>
      <c r="W184" s="47">
        <f t="shared" ca="1" si="28"/>
        <v>0</v>
      </c>
      <c r="X184" s="47" t="str">
        <f t="shared" ca="1" si="35"/>
        <v xml:space="preserve">PENDIENTE </v>
      </c>
      <c r="Y184" s="47">
        <f t="shared" ca="1" si="29"/>
        <v>0</v>
      </c>
      <c r="Z184" s="227" t="str">
        <f t="shared" ca="1" si="36"/>
        <v xml:space="preserve">PENDIENTE </v>
      </c>
      <c r="AA184" s="66"/>
      <c r="AB184" s="67">
        <v>8.5</v>
      </c>
      <c r="AC184" s="68"/>
      <c r="AD184" s="69"/>
      <c r="AE184" s="70">
        <v>9604.85</v>
      </c>
      <c r="AF184" s="71">
        <v>3791</v>
      </c>
      <c r="AG184" s="71"/>
      <c r="AH184" s="72">
        <v>2610.02</v>
      </c>
      <c r="AI184" s="73"/>
      <c r="AJ184" s="71">
        <f>AE184-AF184-AH184-150</f>
        <v>3053.8300000000004</v>
      </c>
      <c r="AK184" s="71"/>
      <c r="AL184" s="71"/>
      <c r="AM184" s="70"/>
      <c r="AN184" s="74"/>
      <c r="AO184" s="278"/>
      <c r="AP184" s="144" t="str">
        <f t="shared" ca="1" si="37"/>
        <v/>
      </c>
      <c r="AQ184" s="142" t="s">
        <v>2381</v>
      </c>
      <c r="AR184" s="142" t="s">
        <v>2374</v>
      </c>
      <c r="AS184" s="57" t="str">
        <f t="shared" si="30"/>
        <v>---</v>
      </c>
      <c r="AT184" s="141" t="str">
        <f t="shared" si="31"/>
        <v xml:space="preserve">PLAN CINCO CCPP (Pz) Venus del Espejo 5 - </v>
      </c>
      <c r="AU184" s="141" t="str">
        <f t="shared" ca="1" si="32"/>
        <v/>
      </c>
      <c r="AV184" s="257" t="str">
        <f t="shared" ca="1" si="33"/>
        <v/>
      </c>
      <c r="AW184" s="257" t="str">
        <f t="shared" si="34"/>
        <v/>
      </c>
      <c r="AX184" s="141" t="s">
        <v>1410</v>
      </c>
      <c r="AY184" s="142"/>
    </row>
    <row r="185" spans="1:51" s="262" customFormat="1" x14ac:dyDescent="0.25">
      <c r="A185" s="64" t="s">
        <v>2162</v>
      </c>
      <c r="B185" s="64" t="s">
        <v>2367</v>
      </c>
      <c r="C185" s="61" t="s">
        <v>1798</v>
      </c>
      <c r="D185" s="43" t="s">
        <v>2063</v>
      </c>
      <c r="E185" s="201">
        <v>679232386</v>
      </c>
      <c r="F185" s="263" t="s">
        <v>2064</v>
      </c>
      <c r="G185" s="43" t="s">
        <v>0</v>
      </c>
      <c r="H185" s="201" t="s">
        <v>0</v>
      </c>
      <c r="I185" s="43" t="s">
        <v>0</v>
      </c>
      <c r="J185" s="44">
        <v>46065</v>
      </c>
      <c r="K185" s="44"/>
      <c r="L185" s="44"/>
      <c r="M185" s="44"/>
      <c r="N185" s="127">
        <v>46157</v>
      </c>
      <c r="O185" s="128" t="s">
        <v>2132</v>
      </c>
      <c r="P185" s="126" t="s">
        <v>2514</v>
      </c>
      <c r="Q185" s="65"/>
      <c r="R185" s="65"/>
      <c r="S185" s="65"/>
      <c r="T185" s="65"/>
      <c r="U185" s="65"/>
      <c r="V185" s="46">
        <f t="shared" ca="1" si="27"/>
        <v>0</v>
      </c>
      <c r="W185" s="47">
        <f t="shared" ca="1" si="28"/>
        <v>0</v>
      </c>
      <c r="X185" s="47" t="str">
        <f t="shared" ca="1" si="35"/>
        <v xml:space="preserve">PENDIENTE </v>
      </c>
      <c r="Y185" s="47">
        <f t="shared" ca="1" si="29"/>
        <v>0</v>
      </c>
      <c r="Z185" s="227" t="str">
        <f t="shared" ca="1" si="36"/>
        <v xml:space="preserve">PENDIENTE </v>
      </c>
      <c r="AA185" s="124"/>
      <c r="AB185" s="67"/>
      <c r="AC185" s="68"/>
      <c r="AD185" s="69"/>
      <c r="AE185" s="70"/>
      <c r="AF185" s="71"/>
      <c r="AG185" s="71"/>
      <c r="AH185" s="72"/>
      <c r="AI185" s="73"/>
      <c r="AJ185" s="71"/>
      <c r="AK185" s="71"/>
      <c r="AL185" s="71"/>
      <c r="AM185" s="70"/>
      <c r="AN185" s="74"/>
      <c r="AO185" s="278"/>
      <c r="AP185" s="144" t="str">
        <f t="shared" ca="1" si="37"/>
        <v/>
      </c>
      <c r="AQ185" s="142" t="s">
        <v>2381</v>
      </c>
      <c r="AR185" s="142" t="s">
        <v>2374</v>
      </c>
      <c r="AS185" s="57" t="str">
        <f t="shared" si="30"/>
        <v>01</v>
      </c>
      <c r="AT185" s="141" t="str">
        <f t="shared" si="31"/>
        <v>PLAN CINCO CCPP (C) Verdiales 8 - Solicitud de documentación para presupuestar</v>
      </c>
      <c r="AU185" s="141" t="str">
        <f t="shared" ca="1" si="32"/>
        <v>Estimado/a Sr/Sra:
Gracias por contactar con Instalaciones Araujo para valorar la individualización de contadores de agua en la CCPP (C) Verdiales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85" s="257" t="str">
        <f t="shared" ca="1" si="33"/>
        <v>Estimado/a Sr/Sra:
Gracias por contactar con Instalaciones Araujo para valorar la individualización de contadores de agua en la CCPP (C) Verdiales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85" s="257" t="str">
        <f t="shared" si="34"/>
        <v>Estimado/a Sr/Sra:
Gracias por contactar con Instalaciones Araujo para valorar la individualización de contadores de agua en la CCPP (C) Verdiales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85" s="141" t="s">
        <v>1410</v>
      </c>
      <c r="AY185" s="142"/>
    </row>
    <row r="186" spans="1:51" s="262" customFormat="1" x14ac:dyDescent="0.25">
      <c r="A186" s="64" t="s">
        <v>2176</v>
      </c>
      <c r="B186" s="64" t="s">
        <v>2355</v>
      </c>
      <c r="C186" s="61" t="s">
        <v>2129</v>
      </c>
      <c r="D186" s="43" t="s">
        <v>2065</v>
      </c>
      <c r="E186" s="201">
        <v>647235527</v>
      </c>
      <c r="F186" s="43" t="s">
        <v>2066</v>
      </c>
      <c r="G186" s="43" t="s">
        <v>2067</v>
      </c>
      <c r="H186" s="201">
        <v>627393633</v>
      </c>
      <c r="I186" s="43" t="s">
        <v>0</v>
      </c>
      <c r="J186" s="44">
        <v>45597</v>
      </c>
      <c r="K186" s="44">
        <v>45874</v>
      </c>
      <c r="L186" s="44">
        <v>45875</v>
      </c>
      <c r="M186" s="44"/>
      <c r="N186" s="127" t="s">
        <v>0</v>
      </c>
      <c r="O186" s="128" t="s">
        <v>2106</v>
      </c>
      <c r="P186" s="126" t="s">
        <v>2107</v>
      </c>
      <c r="Q186" s="65"/>
      <c r="R186" s="65"/>
      <c r="S186" s="65"/>
      <c r="T186" s="65"/>
      <c r="U186" s="65"/>
      <c r="V186" s="46">
        <f t="shared" ca="1" si="27"/>
        <v>0</v>
      </c>
      <c r="W186" s="47">
        <f t="shared" ca="1" si="28"/>
        <v>0</v>
      </c>
      <c r="X186" s="47" t="str">
        <f t="shared" ca="1" si="35"/>
        <v xml:space="preserve">PENDIENTE </v>
      </c>
      <c r="Y186" s="47">
        <f t="shared" ca="1" si="29"/>
        <v>0</v>
      </c>
      <c r="Z186" s="227" t="str">
        <f t="shared" ca="1" si="36"/>
        <v xml:space="preserve">PENDIENTE </v>
      </c>
      <c r="AA186" s="66"/>
      <c r="AB186" s="67">
        <v>7.5</v>
      </c>
      <c r="AC186" s="68"/>
      <c r="AD186" s="69"/>
      <c r="AE186" s="70">
        <v>8381.44</v>
      </c>
      <c r="AF186" s="71">
        <v>3345</v>
      </c>
      <c r="AG186" s="71"/>
      <c r="AH186" s="72">
        <v>2239.15</v>
      </c>
      <c r="AI186" s="73"/>
      <c r="AJ186" s="71">
        <f>AE186-AF186-AH186-150</f>
        <v>2647.2900000000004</v>
      </c>
      <c r="AK186" s="71"/>
      <c r="AL186" s="71"/>
      <c r="AM186" s="70"/>
      <c r="AN186" s="74"/>
      <c r="AO186" s="278"/>
      <c r="AP186" s="144" t="str">
        <f t="shared" ca="1" si="37"/>
        <v/>
      </c>
      <c r="AQ186" s="142" t="s">
        <v>2381</v>
      </c>
      <c r="AR186" s="142" t="s">
        <v>2374</v>
      </c>
      <c r="AS186" s="57" t="str">
        <f t="shared" si="30"/>
        <v>---</v>
      </c>
      <c r="AT186" s="141" t="str">
        <f t="shared" si="31"/>
        <v xml:space="preserve">PLAN CINCO CCPP (Pz de) Vicente Pastor 7 - </v>
      </c>
      <c r="AU186" s="141" t="str">
        <f t="shared" ca="1" si="32"/>
        <v/>
      </c>
      <c r="AV186" s="257" t="str">
        <f t="shared" ca="1" si="33"/>
        <v/>
      </c>
      <c r="AW186" s="257" t="str">
        <f t="shared" si="34"/>
        <v/>
      </c>
      <c r="AX186" s="141" t="s">
        <v>1410</v>
      </c>
      <c r="AY186" s="142"/>
    </row>
    <row r="187" spans="1:51" s="262" customFormat="1" x14ac:dyDescent="0.25">
      <c r="A187" s="64" t="s">
        <v>2162</v>
      </c>
      <c r="B187" s="64" t="s">
        <v>2368</v>
      </c>
      <c r="C187" s="61" t="s">
        <v>2129</v>
      </c>
      <c r="D187" s="43" t="s">
        <v>1825</v>
      </c>
      <c r="E187" s="201">
        <v>676059612</v>
      </c>
      <c r="F187" s="263" t="s">
        <v>1826</v>
      </c>
      <c r="G187" s="43" t="s">
        <v>0</v>
      </c>
      <c r="H187" s="201" t="s">
        <v>0</v>
      </c>
      <c r="I187" s="43" t="s">
        <v>0</v>
      </c>
      <c r="J187" s="44">
        <v>46055</v>
      </c>
      <c r="K187" s="44"/>
      <c r="L187" s="44"/>
      <c r="M187" s="44"/>
      <c r="N187" s="127">
        <v>46157</v>
      </c>
      <c r="O187" s="128" t="s">
        <v>2127</v>
      </c>
      <c r="P187" s="126" t="s">
        <v>2514</v>
      </c>
      <c r="Q187" s="65"/>
      <c r="R187" s="65"/>
      <c r="S187" s="65"/>
      <c r="T187" s="65"/>
      <c r="U187" s="65"/>
      <c r="V187" s="46">
        <f t="shared" ca="1" si="27"/>
        <v>0</v>
      </c>
      <c r="W187" s="47">
        <f t="shared" ca="1" si="28"/>
        <v>0</v>
      </c>
      <c r="X187" s="47" t="str">
        <f t="shared" ca="1" si="35"/>
        <v xml:space="preserve">PENDIENTE </v>
      </c>
      <c r="Y187" s="47">
        <f t="shared" ca="1" si="29"/>
        <v>0</v>
      </c>
      <c r="Z187" s="227" t="str">
        <f t="shared" ca="1" si="36"/>
        <v xml:space="preserve">PENDIENTE </v>
      </c>
      <c r="AA187" s="124"/>
      <c r="AB187" s="67"/>
      <c r="AC187" s="68"/>
      <c r="AD187" s="69"/>
      <c r="AE187" s="70"/>
      <c r="AF187" s="71"/>
      <c r="AG187" s="71"/>
      <c r="AH187" s="72"/>
      <c r="AI187" s="73"/>
      <c r="AJ187" s="71"/>
      <c r="AK187" s="71"/>
      <c r="AL187" s="71"/>
      <c r="AM187" s="70"/>
      <c r="AN187" s="74"/>
      <c r="AO187" s="278"/>
      <c r="AP187" s="144" t="str">
        <f t="shared" ca="1" si="37"/>
        <v/>
      </c>
      <c r="AQ187" s="142" t="s">
        <v>2381</v>
      </c>
      <c r="AR187" s="142" t="s">
        <v>2374</v>
      </c>
      <c r="AS187" s="57" t="str">
        <f t="shared" si="30"/>
        <v>01</v>
      </c>
      <c r="AT187" s="141" t="str">
        <f t="shared" si="31"/>
        <v>PLAN CINCO CCPP (C) Viñadores 2 - Solicitud de documentación para presupuestar</v>
      </c>
      <c r="AU187" s="141" t="str">
        <f t="shared" ca="1" si="32"/>
        <v>Estimado/a Sr/Sra:
Gracias por contactar con Instalaciones Araujo para valorar la individualización de contadores de agua en la CCPP (C) Viñadores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87" s="257" t="str">
        <f t="shared" ca="1" si="33"/>
        <v>Estimado/a Sr/Sra:
Gracias por contactar con Instalaciones Araujo para valorar la individualización de contadores de agua en la CCPP (C) Viñadores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87" s="257" t="str">
        <f t="shared" si="34"/>
        <v>Estimado/a Sr/Sra:
Gracias por contactar con Instalaciones Araujo para valorar la individualización de contadores de agua en la CCPP (C) Viñadores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87" s="141" t="s">
        <v>1410</v>
      </c>
      <c r="AY187" s="142"/>
    </row>
    <row r="188" spans="1:51" s="262" customFormat="1" x14ac:dyDescent="0.25">
      <c r="A188" s="64" t="s">
        <v>2162</v>
      </c>
      <c r="B188" s="64" t="s">
        <v>2369</v>
      </c>
      <c r="C188" s="61" t="s">
        <v>1798</v>
      </c>
      <c r="D188" s="43" t="s">
        <v>2068</v>
      </c>
      <c r="E188" s="201">
        <v>615103130</v>
      </c>
      <c r="F188" s="43" t="s">
        <v>0</v>
      </c>
      <c r="G188" s="203" t="s">
        <v>2156</v>
      </c>
      <c r="H188" s="203" t="s">
        <v>0</v>
      </c>
      <c r="I188" s="122" t="s">
        <v>0</v>
      </c>
      <c r="J188" s="44">
        <v>45979</v>
      </c>
      <c r="K188" s="44"/>
      <c r="L188" s="44"/>
      <c r="M188" s="44"/>
      <c r="N188" s="127">
        <v>46157</v>
      </c>
      <c r="O188" s="128" t="s">
        <v>2133</v>
      </c>
      <c r="P188" s="126" t="s">
        <v>2514</v>
      </c>
      <c r="Q188" s="65"/>
      <c r="R188" s="65"/>
      <c r="S188" s="65"/>
      <c r="T188" s="65"/>
      <c r="U188" s="65"/>
      <c r="V188" s="46">
        <f t="shared" ca="1" si="27"/>
        <v>0</v>
      </c>
      <c r="W188" s="47">
        <f t="shared" ca="1" si="28"/>
        <v>0</v>
      </c>
      <c r="X188" s="47" t="str">
        <f t="shared" ca="1" si="35"/>
        <v xml:space="preserve">PENDIENTE </v>
      </c>
      <c r="Y188" s="47">
        <f t="shared" ca="1" si="29"/>
        <v>0</v>
      </c>
      <c r="Z188" s="227" t="str">
        <f t="shared" ca="1" si="36"/>
        <v xml:space="preserve">PENDIENTE </v>
      </c>
      <c r="AA188" s="124"/>
      <c r="AB188" s="67"/>
      <c r="AC188" s="68"/>
      <c r="AD188" s="69"/>
      <c r="AE188" s="70"/>
      <c r="AF188" s="71"/>
      <c r="AG188" s="71"/>
      <c r="AH188" s="72"/>
      <c r="AI188" s="73"/>
      <c r="AJ188" s="71"/>
      <c r="AK188" s="71"/>
      <c r="AL188" s="71"/>
      <c r="AM188" s="70"/>
      <c r="AN188" s="74"/>
      <c r="AO188" s="278"/>
      <c r="AP188" s="144" t="str">
        <f t="shared" ca="1" si="37"/>
        <v/>
      </c>
      <c r="AQ188" s="142" t="s">
        <v>2381</v>
      </c>
      <c r="AR188" s="142" t="s">
        <v>2374</v>
      </c>
      <c r="AS188" s="57" t="str">
        <f t="shared" si="30"/>
        <v>01</v>
      </c>
      <c r="AT188" s="141" t="str">
        <f t="shared" si="31"/>
        <v>PLAN CINCO CCPP (C) Virgen de Gracia 6 - Solicitud de documentación para presupuestar</v>
      </c>
      <c r="AU188" s="141" t="str">
        <f t="shared" ca="1" si="32"/>
        <v>Estimado/a Sr/Sra:
Gracias por contactar con Instalaciones Araujo para valorar la individualización de contadores de agua en la CCPP (C) Virgen de Gracia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88" s="257" t="str">
        <f t="shared" ca="1" si="33"/>
        <v>Estimado/a Sr/Sra:
Gracias por contactar con Instalaciones Araujo para valorar la individualización de contadores de agua en la CCPP (C) Virgen de Gracia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88" s="257" t="str">
        <f t="shared" si="34"/>
        <v>Estimado/a Sr/Sra:
Gracias por contactar con Instalaciones Araujo para valorar la individualización de contadores de agua en la CCPP (C) Virgen de Gracia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88" s="141" t="s">
        <v>1410</v>
      </c>
      <c r="AY188" s="142"/>
    </row>
    <row r="189" spans="1:51" s="262" customFormat="1" x14ac:dyDescent="0.25">
      <c r="A189" s="64" t="s">
        <v>2162</v>
      </c>
      <c r="B189" s="64" t="s">
        <v>2358</v>
      </c>
      <c r="C189" s="61" t="s">
        <v>2129</v>
      </c>
      <c r="D189" s="43" t="s">
        <v>1167</v>
      </c>
      <c r="E189" s="201">
        <v>608870230</v>
      </c>
      <c r="F189" s="43" t="s">
        <v>1806</v>
      </c>
      <c r="G189" s="43" t="s">
        <v>0</v>
      </c>
      <c r="H189" s="201" t="s">
        <v>0</v>
      </c>
      <c r="I189" s="43" t="s">
        <v>0</v>
      </c>
      <c r="J189" s="44">
        <v>45776</v>
      </c>
      <c r="K189" s="44">
        <v>45777</v>
      </c>
      <c r="L189" s="44">
        <v>45806</v>
      </c>
      <c r="M189" s="44"/>
      <c r="N189" s="127" t="s">
        <v>0</v>
      </c>
      <c r="O189" s="128" t="s">
        <v>2105</v>
      </c>
      <c r="P189" s="126" t="s">
        <v>2107</v>
      </c>
      <c r="Q189" s="65"/>
      <c r="R189" s="65"/>
      <c r="S189" s="65"/>
      <c r="T189" s="65"/>
      <c r="U189" s="65"/>
      <c r="V189" s="46">
        <f t="shared" ca="1" si="27"/>
        <v>0</v>
      </c>
      <c r="W189" s="47">
        <f t="shared" ca="1" si="28"/>
        <v>0</v>
      </c>
      <c r="X189" s="47" t="str">
        <f t="shared" ca="1" si="35"/>
        <v xml:space="preserve">PENDIENTE </v>
      </c>
      <c r="Y189" s="47">
        <f t="shared" ca="1" si="29"/>
        <v>0</v>
      </c>
      <c r="Z189" s="227" t="str">
        <f t="shared" ca="1" si="36"/>
        <v xml:space="preserve">PENDIENTE </v>
      </c>
      <c r="AA189" s="66"/>
      <c r="AB189" s="67">
        <v>42.6</v>
      </c>
      <c r="AC189" s="68"/>
      <c r="AD189" s="69"/>
      <c r="AE189" s="70">
        <v>41848.07</v>
      </c>
      <c r="AF189" s="71">
        <v>19010.75</v>
      </c>
      <c r="AG189" s="71"/>
      <c r="AH189" s="72">
        <v>10388.41</v>
      </c>
      <c r="AI189" s="73"/>
      <c r="AJ189" s="71">
        <f>AE189-AF189-AH189-150</f>
        <v>12298.91</v>
      </c>
      <c r="AK189" s="71"/>
      <c r="AL189" s="71"/>
      <c r="AM189" s="70"/>
      <c r="AN189" s="74"/>
      <c r="AO189" s="278"/>
      <c r="AP189" s="144" t="str">
        <f t="shared" ca="1" si="37"/>
        <v/>
      </c>
      <c r="AQ189" s="142" t="s">
        <v>2381</v>
      </c>
      <c r="AR189" s="142" t="s">
        <v>2374</v>
      </c>
      <c r="AS189" s="57" t="str">
        <f t="shared" si="30"/>
        <v>---</v>
      </c>
      <c r="AT189" s="141" t="str">
        <f t="shared" si="31"/>
        <v xml:space="preserve">PLAN CINCO CCPP (C) Virgen de la Antigua 24 - </v>
      </c>
      <c r="AU189" s="141" t="str">
        <f t="shared" ca="1" si="32"/>
        <v/>
      </c>
      <c r="AV189" s="257" t="str">
        <f t="shared" ca="1" si="33"/>
        <v/>
      </c>
      <c r="AW189" s="257" t="str">
        <f t="shared" si="34"/>
        <v/>
      </c>
      <c r="AX189" s="141" t="s">
        <v>1410</v>
      </c>
      <c r="AY189" s="142"/>
    </row>
    <row r="190" spans="1:51" s="262" customFormat="1" x14ac:dyDescent="0.25">
      <c r="A190" s="75" t="s">
        <v>2162</v>
      </c>
      <c r="B190" s="75" t="s">
        <v>2370</v>
      </c>
      <c r="C190" s="61" t="s">
        <v>2129</v>
      </c>
      <c r="D190" s="43" t="s">
        <v>1167</v>
      </c>
      <c r="E190" s="201">
        <v>608870230</v>
      </c>
      <c r="F190" s="43" t="s">
        <v>1806</v>
      </c>
      <c r="G190" s="43" t="s">
        <v>2069</v>
      </c>
      <c r="H190" s="201">
        <v>608870230</v>
      </c>
      <c r="I190" s="43" t="s">
        <v>2070</v>
      </c>
      <c r="J190" s="44">
        <v>45791</v>
      </c>
      <c r="K190" s="44">
        <v>45793</v>
      </c>
      <c r="L190" s="44">
        <v>45832</v>
      </c>
      <c r="M190" s="44"/>
      <c r="N190" s="149" t="s">
        <v>0</v>
      </c>
      <c r="O190" s="199" t="s">
        <v>2471</v>
      </c>
      <c r="P190" s="126" t="s">
        <v>2528</v>
      </c>
      <c r="Q190" s="65">
        <v>46037</v>
      </c>
      <c r="R190" s="65">
        <v>46066</v>
      </c>
      <c r="S190" s="65">
        <v>46098</v>
      </c>
      <c r="T190" s="65" t="s">
        <v>609</v>
      </c>
      <c r="U190" s="65"/>
      <c r="V190" s="46" t="str">
        <f t="shared" ca="1" si="27"/>
        <v>OK</v>
      </c>
      <c r="W190" s="47">
        <f t="shared" ca="1" si="28"/>
        <v>1</v>
      </c>
      <c r="X190" s="47" t="str">
        <f t="shared" ca="1" si="35"/>
        <v>COMPLETO</v>
      </c>
      <c r="Y190" s="47">
        <f t="shared" ca="1" si="29"/>
        <v>0.96296296296296291</v>
      </c>
      <c r="Z190" s="227" t="str">
        <f t="shared" ca="1" si="36"/>
        <v>PENDIENTE -3C</v>
      </c>
      <c r="AA190" s="66" t="s">
        <v>53</v>
      </c>
      <c r="AB190" s="67">
        <v>22.3</v>
      </c>
      <c r="AC190" s="68">
        <f>AB190</f>
        <v>22.3</v>
      </c>
      <c r="AD190" s="69"/>
      <c r="AE190" s="70">
        <v>34011.85</v>
      </c>
      <c r="AF190" s="71">
        <v>9923.5</v>
      </c>
      <c r="AG190" s="71">
        <f>AF190</f>
        <v>9923.5</v>
      </c>
      <c r="AH190" s="72">
        <v>12220.3</v>
      </c>
      <c r="AI190" s="73">
        <f>AH190</f>
        <v>12220.3</v>
      </c>
      <c r="AJ190" s="71">
        <f>AE190-AF190-AH190-150</f>
        <v>11718.05</v>
      </c>
      <c r="AK190" s="89">
        <f>AE190-AG190-AI190</f>
        <v>11868.05</v>
      </c>
      <c r="AL190" s="89">
        <f>AK190-AJ190</f>
        <v>150</v>
      </c>
      <c r="AM190" s="88">
        <f>AK190*0.2</f>
        <v>2373.61</v>
      </c>
      <c r="AN190" s="74"/>
      <c r="AO190" s="278"/>
      <c r="AP190" s="144" t="str">
        <f t="shared" ca="1" si="37"/>
        <v/>
      </c>
      <c r="AQ190" s="142" t="s">
        <v>2381</v>
      </c>
      <c r="AR190" s="142" t="s">
        <v>2374</v>
      </c>
      <c r="AS190" s="57" t="str">
        <f t="shared" si="30"/>
        <v>---</v>
      </c>
      <c r="AT190" s="141" t="str">
        <f t="shared" si="31"/>
        <v xml:space="preserve">PLAN CINCO CCPP (C) Virgen de la Antigua 26 - </v>
      </c>
      <c r="AU190" s="141" t="str">
        <f t="shared" ca="1" si="32"/>
        <v/>
      </c>
      <c r="AV190" s="257" t="str">
        <f t="shared" ca="1" si="33"/>
        <v/>
      </c>
      <c r="AW190" s="257" t="str">
        <f t="shared" si="34"/>
        <v/>
      </c>
      <c r="AX190" s="141" t="s">
        <v>1410</v>
      </c>
      <c r="AY190" s="142"/>
    </row>
    <row r="191" spans="1:51" s="262" customFormat="1" x14ac:dyDescent="0.25">
      <c r="A191" s="64" t="s">
        <v>2162</v>
      </c>
      <c r="B191" s="64" t="s">
        <v>2371</v>
      </c>
      <c r="C191" s="61" t="s">
        <v>2129</v>
      </c>
      <c r="D191" s="43" t="s">
        <v>1910</v>
      </c>
      <c r="E191" s="201">
        <v>744615257</v>
      </c>
      <c r="F191" s="263" t="s">
        <v>1911</v>
      </c>
      <c r="G191" s="43" t="s">
        <v>2071</v>
      </c>
      <c r="H191" s="201">
        <v>671461385</v>
      </c>
      <c r="I191" s="43" t="s">
        <v>0</v>
      </c>
      <c r="J191" s="44">
        <v>45918</v>
      </c>
      <c r="K191" s="44"/>
      <c r="L191" s="44"/>
      <c r="M191" s="44"/>
      <c r="N191" s="127">
        <v>46157</v>
      </c>
      <c r="O191" s="128" t="s">
        <v>2133</v>
      </c>
      <c r="P191" s="126" t="s">
        <v>2514</v>
      </c>
      <c r="Q191" s="65"/>
      <c r="R191" s="65"/>
      <c r="S191" s="65"/>
      <c r="T191" s="65"/>
      <c r="U191" s="65"/>
      <c r="V191" s="46">
        <f t="shared" ca="1" si="27"/>
        <v>0</v>
      </c>
      <c r="W191" s="47">
        <f t="shared" ca="1" si="28"/>
        <v>0</v>
      </c>
      <c r="X191" s="47" t="str">
        <f t="shared" ca="1" si="35"/>
        <v xml:space="preserve">PENDIENTE </v>
      </c>
      <c r="Y191" s="47">
        <f t="shared" ca="1" si="29"/>
        <v>0</v>
      </c>
      <c r="Z191" s="227" t="str">
        <f t="shared" ca="1" si="36"/>
        <v xml:space="preserve">PENDIENTE </v>
      </c>
      <c r="AA191" s="124"/>
      <c r="AB191" s="67"/>
      <c r="AC191" s="68"/>
      <c r="AD191" s="69"/>
      <c r="AE191" s="70"/>
      <c r="AF191" s="71"/>
      <c r="AG191" s="71"/>
      <c r="AH191" s="72"/>
      <c r="AI191" s="73"/>
      <c r="AJ191" s="71"/>
      <c r="AK191" s="71"/>
      <c r="AL191" s="71"/>
      <c r="AM191" s="70"/>
      <c r="AN191" s="74"/>
      <c r="AO191" s="278"/>
      <c r="AP191" s="144" t="str">
        <f t="shared" ca="1" si="37"/>
        <v/>
      </c>
      <c r="AQ191" s="142" t="s">
        <v>2381</v>
      </c>
      <c r="AR191" s="142" t="s">
        <v>2374</v>
      </c>
      <c r="AS191" s="57" t="str">
        <f t="shared" si="30"/>
        <v>01</v>
      </c>
      <c r="AT191" s="141" t="str">
        <f t="shared" si="31"/>
        <v>PLAN CINCO CCPP (C) Virgen de la Encarnación 5 - Solicitud de documentación para presupuestar</v>
      </c>
      <c r="AU191" s="141" t="str">
        <f t="shared" ca="1" si="32"/>
        <v>Estimado/a Sr/Sra:
Gracias por contactar con Instalaciones Araujo para valorar la individualización de contadores de agua en la CCPP (C) Virgen de la Encarnación 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1" s="257" t="str">
        <f t="shared" ca="1" si="33"/>
        <v>Estimado/a Sr/Sra:
Gracias por contactar con Instalaciones Araujo para valorar la individualización de contadores de agua en la CCPP (C) Virgen de la Encarnación 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1" s="257" t="str">
        <f t="shared" si="34"/>
        <v>Estimado/a Sr/Sra:
Gracias por contactar con Instalaciones Araujo para valorar la individualización de contadores de agua en la CCPP (C) Virgen de la Encarnación 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1" s="141" t="s">
        <v>1410</v>
      </c>
      <c r="AY191" s="142"/>
    </row>
    <row r="192" spans="1:51" s="262" customFormat="1" x14ac:dyDescent="0.25">
      <c r="A192" s="64" t="s">
        <v>2162</v>
      </c>
      <c r="B192" s="64" t="s">
        <v>2361</v>
      </c>
      <c r="C192" s="61" t="s">
        <v>2129</v>
      </c>
      <c r="D192" s="43" t="s">
        <v>2072</v>
      </c>
      <c r="E192" s="201" t="s">
        <v>0</v>
      </c>
      <c r="F192" s="43" t="s">
        <v>0</v>
      </c>
      <c r="G192" s="203" t="s">
        <v>0</v>
      </c>
      <c r="H192" s="203" t="s">
        <v>0</v>
      </c>
      <c r="I192" s="122" t="s">
        <v>0</v>
      </c>
      <c r="J192" s="44">
        <v>45937</v>
      </c>
      <c r="K192" s="44">
        <v>45937</v>
      </c>
      <c r="L192" s="44">
        <v>45938</v>
      </c>
      <c r="M192" s="44"/>
      <c r="N192" s="127" t="s">
        <v>0</v>
      </c>
      <c r="O192" s="128" t="s">
        <v>2106</v>
      </c>
      <c r="P192" s="126" t="s">
        <v>2107</v>
      </c>
      <c r="Q192" s="65"/>
      <c r="R192" s="65"/>
      <c r="S192" s="65"/>
      <c r="T192" s="65"/>
      <c r="U192" s="65"/>
      <c r="V192" s="46">
        <f t="shared" ca="1" si="27"/>
        <v>0</v>
      </c>
      <c r="W192" s="47">
        <f t="shared" ca="1" si="28"/>
        <v>0</v>
      </c>
      <c r="X192" s="47" t="str">
        <f t="shared" ca="1" si="35"/>
        <v xml:space="preserve">PENDIENTE </v>
      </c>
      <c r="Y192" s="47">
        <f t="shared" ca="1" si="29"/>
        <v>0</v>
      </c>
      <c r="Z192" s="227" t="str">
        <f t="shared" ca="1" si="36"/>
        <v xml:space="preserve">PENDIENTE </v>
      </c>
      <c r="AA192" s="66"/>
      <c r="AB192" s="67">
        <v>8</v>
      </c>
      <c r="AC192" s="68"/>
      <c r="AD192" s="69"/>
      <c r="AE192" s="70">
        <v>8216.5499999999993</v>
      </c>
      <c r="AF192" s="71">
        <v>3573.58</v>
      </c>
      <c r="AG192" s="71"/>
      <c r="AH192" s="72">
        <v>2181.62</v>
      </c>
      <c r="AI192" s="73"/>
      <c r="AJ192" s="71">
        <f>AE192-AF192-AH192-150</f>
        <v>2311.3499999999995</v>
      </c>
      <c r="AK192" s="71"/>
      <c r="AL192" s="71"/>
      <c r="AM192" s="70"/>
      <c r="AN192" s="74"/>
      <c r="AO192" s="278"/>
      <c r="AP192" s="144" t="str">
        <f t="shared" ca="1" si="37"/>
        <v/>
      </c>
      <c r="AQ192" s="142" t="s">
        <v>2381</v>
      </c>
      <c r="AR192" s="142" t="s">
        <v>2374</v>
      </c>
      <c r="AS192" s="57" t="str">
        <f t="shared" si="30"/>
        <v>---</v>
      </c>
      <c r="AT192" s="141" t="str">
        <f t="shared" si="31"/>
        <v xml:space="preserve">PLAN CINCO CCPP (C) Virgen de la Encarnación 7 - </v>
      </c>
      <c r="AU192" s="141" t="str">
        <f t="shared" ca="1" si="32"/>
        <v/>
      </c>
      <c r="AV192" s="257" t="str">
        <f t="shared" ca="1" si="33"/>
        <v/>
      </c>
      <c r="AW192" s="257" t="str">
        <f t="shared" si="34"/>
        <v/>
      </c>
      <c r="AX192" s="141" t="s">
        <v>1410</v>
      </c>
      <c r="AY192" s="142"/>
    </row>
    <row r="193" spans="1:51" s="262" customFormat="1" x14ac:dyDescent="0.25">
      <c r="A193" s="64" t="s">
        <v>2165</v>
      </c>
      <c r="B193" s="64" t="s">
        <v>2372</v>
      </c>
      <c r="C193" s="61" t="s">
        <v>2129</v>
      </c>
      <c r="D193" s="43" t="s">
        <v>1866</v>
      </c>
      <c r="E193" s="201">
        <v>661592498</v>
      </c>
      <c r="F193" s="263" t="s">
        <v>1867</v>
      </c>
      <c r="G193" s="43" t="s">
        <v>1986</v>
      </c>
      <c r="H193" s="201">
        <v>653181842</v>
      </c>
      <c r="I193" s="43" t="s">
        <v>0</v>
      </c>
      <c r="J193" s="44">
        <v>45902</v>
      </c>
      <c r="K193" s="44"/>
      <c r="L193" s="44"/>
      <c r="M193" s="44"/>
      <c r="N193" s="127">
        <v>46157</v>
      </c>
      <c r="O193" s="128" t="s">
        <v>2133</v>
      </c>
      <c r="P193" s="126" t="s">
        <v>2514</v>
      </c>
      <c r="Q193" s="65"/>
      <c r="R193" s="65"/>
      <c r="S193" s="65"/>
      <c r="T193" s="65"/>
      <c r="U193" s="65"/>
      <c r="V193" s="46">
        <f t="shared" ca="1" si="27"/>
        <v>0</v>
      </c>
      <c r="W193" s="47">
        <f t="shared" ca="1" si="28"/>
        <v>0</v>
      </c>
      <c r="X193" s="47" t="str">
        <f t="shared" ca="1" si="35"/>
        <v xml:space="preserve">PENDIENTE </v>
      </c>
      <c r="Y193" s="47">
        <f t="shared" ca="1" si="29"/>
        <v>0</v>
      </c>
      <c r="Z193" s="227" t="str">
        <f t="shared" ca="1" si="36"/>
        <v xml:space="preserve">PENDIENTE </v>
      </c>
      <c r="AA193" s="124"/>
      <c r="AB193" s="67"/>
      <c r="AC193" s="68"/>
      <c r="AD193" s="69"/>
      <c r="AE193" s="70"/>
      <c r="AF193" s="71"/>
      <c r="AG193" s="71"/>
      <c r="AH193" s="72"/>
      <c r="AI193" s="73"/>
      <c r="AJ193" s="71"/>
      <c r="AK193" s="71"/>
      <c r="AL193" s="71"/>
      <c r="AM193" s="70"/>
      <c r="AN193" s="74"/>
      <c r="AO193" s="278"/>
      <c r="AP193" s="144" t="str">
        <f t="shared" ca="1" si="37"/>
        <v/>
      </c>
      <c r="AQ193" s="142" t="s">
        <v>2381</v>
      </c>
      <c r="AR193" s="142" t="s">
        <v>2374</v>
      </c>
      <c r="AS193" s="57" t="str">
        <f t="shared" si="30"/>
        <v>01</v>
      </c>
      <c r="AT193" s="141" t="str">
        <f t="shared" si="31"/>
        <v>PLAN CINCO CCPP (Av) Virgen de la Esperanza 54 - Solicitud de documentación para presupuestar</v>
      </c>
      <c r="AU193" s="141" t="str">
        <f t="shared" ca="1" si="32"/>
        <v>Estimado/a Sr/Sra:
Gracias por contactar con Instalaciones Araujo para valorar la individualización de contadores de agua en la CCPP (Av) Virgen de la Esperanza 54.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3" s="257" t="str">
        <f t="shared" ca="1" si="33"/>
        <v>Estimado/a Sr/Sra:
Gracias por contactar con Instalaciones Araujo para valorar la individualización de contadores de agua en la CCPP (Av) Virgen de la Esperanza 54.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3" s="257" t="str">
        <f t="shared" si="34"/>
        <v>Estimado/a Sr/Sra:
Gracias por contactar con Instalaciones Araujo para valorar la individualización de contadores de agua en la CCPP (Av) Virgen de la Esperanza 54.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3" s="141" t="s">
        <v>1410</v>
      </c>
      <c r="AY193" s="142"/>
    </row>
    <row r="194" spans="1:51" s="262" customFormat="1" x14ac:dyDescent="0.25">
      <c r="A194" s="64" t="s">
        <v>2162</v>
      </c>
      <c r="B194" s="64" t="s">
        <v>2363</v>
      </c>
      <c r="C194" s="61" t="s">
        <v>2129</v>
      </c>
      <c r="D194" s="43" t="s">
        <v>1905</v>
      </c>
      <c r="E194" s="201">
        <v>681943040</v>
      </c>
      <c r="F194" s="43" t="s">
        <v>1906</v>
      </c>
      <c r="G194" s="43" t="s">
        <v>2073</v>
      </c>
      <c r="H194" s="201">
        <v>672239914</v>
      </c>
      <c r="I194" s="43" t="s">
        <v>2074</v>
      </c>
      <c r="J194" s="44">
        <v>45931</v>
      </c>
      <c r="K194" s="44">
        <v>45937</v>
      </c>
      <c r="L194" s="44">
        <v>45939</v>
      </c>
      <c r="M194" s="44"/>
      <c r="N194" s="127" t="s">
        <v>0</v>
      </c>
      <c r="O194" s="128" t="s">
        <v>2105</v>
      </c>
      <c r="P194" s="129" t="s">
        <v>2107</v>
      </c>
      <c r="Q194" s="65"/>
      <c r="R194" s="65"/>
      <c r="S194" s="65"/>
      <c r="T194" s="65"/>
      <c r="U194" s="65"/>
      <c r="V194" s="46">
        <f t="shared" ca="1" si="27"/>
        <v>0</v>
      </c>
      <c r="W194" s="47">
        <f t="shared" ca="1" si="28"/>
        <v>0</v>
      </c>
      <c r="X194" s="47" t="str">
        <f t="shared" ca="1" si="35"/>
        <v xml:space="preserve">PENDIENTE </v>
      </c>
      <c r="Y194" s="47">
        <f t="shared" ca="1" si="29"/>
        <v>0</v>
      </c>
      <c r="Z194" s="227" t="str">
        <f t="shared" ca="1" si="36"/>
        <v xml:space="preserve">PENDIENTE </v>
      </c>
      <c r="AA194" s="66"/>
      <c r="AB194" s="67">
        <v>14.5</v>
      </c>
      <c r="AC194" s="68"/>
      <c r="AD194" s="69"/>
      <c r="AE194" s="70">
        <v>15594.96</v>
      </c>
      <c r="AF194" s="71">
        <v>6444.7</v>
      </c>
      <c r="AG194" s="71"/>
      <c r="AH194" s="72">
        <v>4165.99</v>
      </c>
      <c r="AI194" s="73"/>
      <c r="AJ194" s="71">
        <f>AE194-AF194-AH194-150</f>
        <v>4834.2699999999986</v>
      </c>
      <c r="AK194" s="71"/>
      <c r="AL194" s="71"/>
      <c r="AM194" s="70"/>
      <c r="AN194" s="74"/>
      <c r="AO194" s="278"/>
      <c r="AP194" s="144" t="str">
        <f t="shared" ca="1" si="37"/>
        <v/>
      </c>
      <c r="AQ194" s="142" t="s">
        <v>2381</v>
      </c>
      <c r="AR194" s="142" t="s">
        <v>2374</v>
      </c>
      <c r="AS194" s="57" t="str">
        <f t="shared" si="30"/>
        <v>---</v>
      </c>
      <c r="AT194" s="141" t="str">
        <f t="shared" si="31"/>
        <v xml:space="preserve">PLAN CINCO CCPP (C) Viseu 5 - </v>
      </c>
      <c r="AU194" s="141" t="str">
        <f t="shared" ca="1" si="32"/>
        <v/>
      </c>
      <c r="AV194" s="257" t="str">
        <f t="shared" ca="1" si="33"/>
        <v/>
      </c>
      <c r="AW194" s="257" t="str">
        <f t="shared" si="34"/>
        <v/>
      </c>
      <c r="AX194" s="141" t="s">
        <v>1410</v>
      </c>
      <c r="AY194" s="142"/>
    </row>
    <row r="195" spans="1:51" s="262" customFormat="1" x14ac:dyDescent="0.25">
      <c r="A195" s="64"/>
      <c r="B195" s="64" t="s">
        <v>2600</v>
      </c>
      <c r="C195" s="61" t="s">
        <v>1798</v>
      </c>
      <c r="D195" s="43" t="s">
        <v>2077</v>
      </c>
      <c r="E195" s="201">
        <v>655995664</v>
      </c>
      <c r="F195" s="263" t="s">
        <v>2078</v>
      </c>
      <c r="G195" s="43" t="s">
        <v>0</v>
      </c>
      <c r="H195" s="201" t="s">
        <v>0</v>
      </c>
      <c r="I195" s="43" t="s">
        <v>0</v>
      </c>
      <c r="J195" s="44">
        <v>45986</v>
      </c>
      <c r="K195" s="44"/>
      <c r="L195" s="44"/>
      <c r="M195" s="44"/>
      <c r="N195" s="127">
        <v>46157</v>
      </c>
      <c r="O195" s="128" t="s">
        <v>2120</v>
      </c>
      <c r="P195" s="126" t="s">
        <v>2514</v>
      </c>
      <c r="Q195" s="65"/>
      <c r="R195" s="65"/>
      <c r="S195" s="65"/>
      <c r="T195" s="65"/>
      <c r="U195" s="65"/>
      <c r="V195" s="46">
        <f t="shared" ref="V195:V206" ca="1" si="40">IFERROR(IF(B195="", "", INDIRECT("'" &amp; B195 &amp; "'!M3")),0)</f>
        <v>0</v>
      </c>
      <c r="W195" s="47">
        <f t="shared" ref="W195:W208" ca="1" si="41">IFERROR(IF(B195="", "", INDIRECT("'" &amp; B195 &amp; "'!F3")),0)</f>
        <v>0</v>
      </c>
      <c r="X195" s="47" t="str">
        <f t="shared" ref="X195:X208" ca="1" si="42">IF(W195=1,"COMPLETO","PENDIENTE "&amp;
IFERROR(
    IF(INDIRECT("'" &amp; B195 &amp; "'!M3")="F", "-" &amp; "PRESUPUESTO","")&amp;
    IF(INDIRECT("'" &amp; B195 &amp; "'!R3")="F", "-" &amp; "TOMA DE DATOS","")&amp;
    IF(INDIRECT("'" &amp; B195 &amp; "'!T3")="F", "-" &amp; "NIF","")&amp;
    IF(INDIRECT("'" &amp; B195 &amp; "'!I4")="F", "-" &amp; "ACTA NOMBRAMIENTO PRESIDENTE","")&amp;
    IF(INDIRECT("'" &amp; B195 &amp; "'!M4")="F", "-" &amp; "ACTA APROBACION PRESUPUESTO","")&amp;
    IF(INDIRECT("'" &amp; B195 &amp; "'!R4")="F", "-" &amp; "RENUNCIA GRUPO PRESION","")&amp;
    IF(INDIRECT("'" &amp; B195 &amp; "'!T4")="F", "-" &amp; "ULTIMA FACTURA EMASESA","")&amp;
    IF(INDIRECT("'" &amp; B195 &amp; "'!U3")="F", "-" &amp; "CONTRATO FIRMADO","")&amp;
    IF(INDIRECT("'" &amp; B195 &amp; "'!V3")="F", "-" &amp; "JUSTIFICANTE PAGO",""),
"")
)</f>
        <v xml:space="preserve">PENDIENTE </v>
      </c>
      <c r="Y195" s="47">
        <f t="shared" ref="Y195:Y208" ca="1" si="43">IFERROR(IF(B195="", "", INDIRECT("'" &amp; B195 &amp; "'!F4")),0)</f>
        <v>0</v>
      </c>
      <c r="Z195" s="227" t="str">
        <f t="shared" ref="Z195:Z208" ca="1" si="44">IF(Y195=1,"COMPLETO","PENDIENTE "&amp;
IFERROR(
    IF(INDIRECT("'"&amp;B195&amp;"'!A5")="FALTA","-"&amp;INDIRECT("'"&amp;B195&amp;"'!B5"),"")&amp;
    IF(INDIRECT("'"&amp;B195&amp;"'!A6")="FALTA","-"&amp;INDIRECT("'"&amp;B195&amp;"'!B6"),"")&amp;
    IF(INDIRECT("'"&amp;B195&amp;"'!A7")="FALTA","-"&amp;INDIRECT("'"&amp;B195&amp;"'!B7"),"")&amp;
    IF(INDIRECT("'"&amp;B195&amp;"'!A8")="FALTA","-"&amp;INDIRECT("'"&amp;B195&amp;"'!B8"),"")&amp;
    IF(INDIRECT("'"&amp;B195&amp;"'!A9")="FALTA","-"&amp;INDIRECT("'"&amp;B195&amp;"'!B9"),"")&amp;
    IF(INDIRECT("'"&amp;B195&amp;"'!A10")="FALTA","-"&amp;INDIRECT("'"&amp;B195&amp;"'!B10"),"")&amp;
    IF(INDIRECT("'"&amp;B195&amp;"'!A11")="FALTA","-"&amp;INDIRECT("'"&amp;B195&amp;"'!B11"),"")&amp;
    IF(INDIRECT("'"&amp;B195&amp;"'!A12")="FALTA","-"&amp;INDIRECT("'"&amp;B195&amp;"'!B12"),"")&amp;
    IF(INDIRECT("'"&amp;B195&amp;"'!A13")="FALTA","-"&amp;INDIRECT("'"&amp;B195&amp;"'!B13"),"")&amp;
    IF(INDIRECT("'"&amp;B195&amp;"'!A14")="FALTA","-"&amp;INDIRECT("'"&amp;B195&amp;"'!B14"),"")&amp;
    IF(INDIRECT("'"&amp;B195&amp;"'!A15")="FALTA","-"&amp;INDIRECT("'"&amp;B195&amp;"'!B15"),"")&amp;
    IF(INDIRECT("'"&amp;B195&amp;"'!A16")="FALTA","-"&amp;INDIRECT("'"&amp;B195&amp;"'!B16"),"")&amp;
    IF(INDIRECT("'"&amp;B195&amp;"'!A17")="FALTA","-"&amp;INDIRECT("'"&amp;B195&amp;"'!B17"),"")&amp;
    IF(INDIRECT("'"&amp;B195&amp;"'!A18")="FALTA","-"&amp;INDIRECT("'"&amp;B195&amp;"'!B18"),"")&amp;
    IF(INDIRECT("'"&amp;B195&amp;"'!A19")="FALTA","-"&amp;INDIRECT("'"&amp;B195&amp;"'!B19"),"")&amp;
    IF(INDIRECT("'"&amp;B195&amp;"'!A20")="FALTA","-"&amp;INDIRECT("'"&amp;B195&amp;"'!B20"),"")&amp;
    IF(INDIRECT("'"&amp;B195&amp;"'!A21")="FALTA","-"&amp;INDIRECT("'"&amp;B195&amp;"'!B21"),"")&amp;
    IF(INDIRECT("'"&amp;B195&amp;"'!A22")="FALTA","-"&amp;INDIRECT("'"&amp;B195&amp;"'!B22"),"")&amp;
    IF(INDIRECT("'"&amp;B195&amp;"'!A23")="FALTA","-"&amp;INDIRECT("'"&amp;B195&amp;"'!B23"),"")&amp;
    IF(INDIRECT("'"&amp;B195&amp;"'!A24")="FALTA","-"&amp;INDIRECT("'"&amp;B195&amp;"'!B24"),"")&amp;
    IF(INDIRECT("'"&amp;B195&amp;"'!A25")="FALTA","-"&amp;INDIRECT("'"&amp;B195&amp;"'!B25"),"")&amp;
    IF(INDIRECT("'"&amp;B195&amp;"'!A26")="FALTA","-"&amp;INDIRECT("'"&amp;B195&amp;"'!B26"),"")&amp;
    IF(INDIRECT("'"&amp;B195&amp;"'!A27")="FALTA","-"&amp;INDIRECT("'"&amp;B195&amp;"'!B27"),"")&amp;
    IF(INDIRECT("'"&amp;B195&amp;"'!A28")="FALTA","-"&amp;INDIRECT("'"&amp;B195&amp;"'!B28"),"")&amp;
    IF(INDIRECT("'"&amp;B195&amp;"'!A29")="FALTA","-"&amp;INDIRECT("'"&amp;B195&amp;"'!B29"),"")&amp;
    IF(INDIRECT("'"&amp;B195&amp;"'!A30")="FALTA","-"&amp;INDIRECT("'"&amp;B195&amp;"'!B30"),"")&amp;
    IF(INDIRECT("'"&amp;B195&amp;"'!A31")="FALTA","-"&amp;INDIRECT("'"&amp;B195&amp;"'!B31"),"")&amp;
    IF(INDIRECT("'"&amp;B195&amp;"'!A32")="FALTA","-"&amp;INDIRECT("'"&amp;B195&amp;"'!B32"),"")&amp;
    IF(INDIRECT("'"&amp;B195&amp;"'!A33")="FALTA","-"&amp;INDIRECT("'"&amp;B195&amp;"'!B33"),"")&amp;
    IF(INDIRECT("'"&amp;B195&amp;"'!A34")="FALTA","-"&amp;INDIRECT("'"&amp;B195&amp;"'!B34"),"")&amp;
    IF(INDIRECT("'"&amp;B195&amp;"'!A35")="FALTA","-"&amp;INDIRECT("'"&amp;B195&amp;"'!B35"),"")&amp;
    IF(INDIRECT("'"&amp;B195&amp;"'!A36")="FALTA","-"&amp;INDIRECT("'"&amp;B195&amp;"'!B36"),"")&amp;
    IF(INDIRECT("'"&amp;B195&amp;"'!A37")="FALTA","-"&amp;INDIRECT("'"&amp;B195&amp;"'!B37"),"")&amp;
    IF(INDIRECT("'"&amp;B195&amp;"'!A38")="FALTA","-"&amp;INDIRECT("'"&amp;B195&amp;"'!B38"),"")&amp;
    IF(INDIRECT("'"&amp;B195&amp;"'!A39")="FALTA","-"&amp;INDIRECT("'"&amp;B195&amp;"'!B39"),"")&amp;
    IF(INDIRECT("'"&amp;B195&amp;"'!A40")="FALTA","-"&amp;INDIRECT("'"&amp;B195&amp;"'!B40"),"")&amp;
    IF(INDIRECT("'"&amp;B195&amp;"'!A41")="FALTA","-"&amp;INDIRECT("'"&amp;B195&amp;"'!B41"),"")&amp;
    IF(INDIRECT("'"&amp;B195&amp;"'!A42")="FALTA","-"&amp;INDIRECT("'"&amp;B195&amp;"'!B42"),"")&amp;
    IF(INDIRECT("'"&amp;B195&amp;"'!A43")="FALTA","-"&amp;INDIRECT("'"&amp;B195&amp;"'!B43"),"")&amp;
    IF(INDIRECT("'"&amp;B195&amp;"'!A44")="FALTA","-"&amp;INDIRECT("'"&amp;B195&amp;"'!B44"),""),
""
))</f>
        <v xml:space="preserve">PENDIENTE </v>
      </c>
      <c r="AA195" s="124"/>
      <c r="AB195" s="67"/>
      <c r="AC195" s="68"/>
      <c r="AD195" s="69"/>
      <c r="AE195" s="70"/>
      <c r="AF195" s="71"/>
      <c r="AG195" s="71"/>
      <c r="AH195" s="72"/>
      <c r="AI195" s="73"/>
      <c r="AJ195" s="71"/>
      <c r="AK195" s="71"/>
      <c r="AL195" s="71"/>
      <c r="AM195" s="70"/>
      <c r="AN195" s="74"/>
      <c r="AO195" s="278"/>
      <c r="AP195" s="144" t="str">
        <f t="shared" ref="AP195:AP208" ca="1" si="45">IF(AO195="🔒","NO",IF(AND(ISNUMBER(N195),N195&lt;=TODAY(),AS195&lt;&gt;"---"),"SI",""))</f>
        <v/>
      </c>
      <c r="AQ195" s="142" t="s">
        <v>2381</v>
      </c>
      <c r="AR195" s="142" t="s">
        <v>2374</v>
      </c>
      <c r="AS195" s="57" t="str">
        <f t="shared" ref="AS195:AS208" si="46">IFERROR(INDEX(Tabla_02_Tipo,MATCH(P195,Tabla_01_Estado,0)),"")</f>
        <v>01</v>
      </c>
      <c r="AT195" s="141" t="str">
        <f t="shared" ref="AT195:AT208" si="47">"PLAN CINCO CCPP "
&amp; IF(A195&lt;&gt;"",A195,"")
&amp; IF(B195&lt;&gt;""," "&amp;B195,"")
&amp; IFERROR(" - "&amp;INDEX(Tabla_03_Asunto,MATCH(AS195,Tabla_02_Tipo,0)),"")</f>
        <v>PLAN CINCO CCPP  Z SIN DIRECCION 1 - Solicitud de documentación para presupuestar</v>
      </c>
      <c r="AU195" s="141" t="str">
        <f t="shared" ref="AU195:AU204" ca="1" si="48">IFERROR(
    SUBSTITUTE(
        SUBSTITUTE(
            SUBSTITUTE(
                AV195,
                "{DOC_CCPP}", X195),
            "{DOC_PISOS}", Z195),
        "{FECHA_PTO}", TEXT(M195, "dd/mm/aaaa")),
    ""
)</f>
        <v>Estimado/a Sr/Sra:
Gracias por contactar con Instalaciones Araujo para valorar la individualización de contadores de agua en la CCPP  Z SIN DIRECCION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5" s="257" t="str">
        <f t="shared" ref="AV195:AV204" ca="1" si="49">IFERROR(
    SUBSTITUTE(
        SUBSTITUTE(
            SUBSTITUTE(
                SUBSTITUTE(
                    SUBSTITUTE(
                        AW195,
                        "{FECHA_ENVIO_CYCP}", TEXT(T195, "dd/mm/aaaa")),
                    "{FECHA_RECIBO_CYCP}", TEXT(U195, "dd/mm/aaaa")),
                "{FECHA+10}", TEXT(T195 + 10, "dd/mm/aaaa")),
            "%CCPP", TEXT(W195, "0%")),
        "%PISOS", TEXT(Y195, "0%")),
    ""
)</f>
        <v>Estimado/a Sr/Sra:
Gracias por contactar con Instalaciones Araujo para valorar la individualización de contadores de agua en la CCPP  Z SIN DIRECCION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5" s="257" t="str">
        <f t="shared" ref="AW195:AW208" si="50">IFERROR(
    SUBSTITUTE(
        SUBSTITUTE(
            SUBSTITUTE(
                SUBSTITUTE(
                    SUBSTITUTE(
                        INDEX(Tabla_04_Mensaje, MATCH(AS195, Tabla_02_Tipo, 0)),
                        "{C}", A195),
                    "{CCPP}", B195),
                "{FECHA_ENVIO_DOC}", TEXT(Q195, "dd/mm/aaaa")),
            "{FECHA_RECIBO_DOC}", TEXT(R195, "dd/mm/aaaa")),
        "{FECHA+20}", TEXT(Q195 + 20, "dd/mm/aaaa")
    ),
    ""
)</f>
        <v>Estimado/a Sr/Sra:
Gracias por contactar con Instalaciones Araujo para valorar la individualización de contadores de agua en la CCPP  Z SIN DIRECCION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5" s="141" t="s">
        <v>1410</v>
      </c>
      <c r="AY195" s="142"/>
    </row>
    <row r="196" spans="1:51" s="262" customFormat="1" x14ac:dyDescent="0.25">
      <c r="A196" s="64"/>
      <c r="B196" s="64" t="s">
        <v>2601</v>
      </c>
      <c r="C196" s="61" t="s">
        <v>1798</v>
      </c>
      <c r="D196" s="43" t="s">
        <v>2079</v>
      </c>
      <c r="E196" s="201">
        <v>638413515</v>
      </c>
      <c r="F196" s="263" t="s">
        <v>2080</v>
      </c>
      <c r="G196" s="43" t="s">
        <v>0</v>
      </c>
      <c r="H196" s="201" t="s">
        <v>0</v>
      </c>
      <c r="I196" s="43" t="s">
        <v>0</v>
      </c>
      <c r="J196" s="44">
        <v>45994</v>
      </c>
      <c r="K196" s="44"/>
      <c r="L196" s="44"/>
      <c r="M196" s="44"/>
      <c r="N196" s="127">
        <v>46157</v>
      </c>
      <c r="O196" s="128" t="s">
        <v>2137</v>
      </c>
      <c r="P196" s="126" t="s">
        <v>2514</v>
      </c>
      <c r="Q196" s="65"/>
      <c r="R196" s="65"/>
      <c r="S196" s="65"/>
      <c r="T196" s="65"/>
      <c r="U196" s="65"/>
      <c r="V196" s="46">
        <f t="shared" ca="1" si="40"/>
        <v>0</v>
      </c>
      <c r="W196" s="47">
        <f t="shared" ca="1" si="41"/>
        <v>0</v>
      </c>
      <c r="X196" s="47" t="str">
        <f t="shared" ca="1" si="42"/>
        <v xml:space="preserve">PENDIENTE </v>
      </c>
      <c r="Y196" s="47">
        <f t="shared" ca="1" si="43"/>
        <v>0</v>
      </c>
      <c r="Z196" s="227" t="str">
        <f t="shared" ca="1" si="44"/>
        <v xml:space="preserve">PENDIENTE </v>
      </c>
      <c r="AA196" s="124"/>
      <c r="AB196" s="67"/>
      <c r="AC196" s="68"/>
      <c r="AD196" s="69"/>
      <c r="AE196" s="70"/>
      <c r="AF196" s="71"/>
      <c r="AG196" s="71"/>
      <c r="AH196" s="72"/>
      <c r="AI196" s="73"/>
      <c r="AJ196" s="71"/>
      <c r="AK196" s="71"/>
      <c r="AL196" s="71"/>
      <c r="AM196" s="70"/>
      <c r="AN196" s="74"/>
      <c r="AO196" s="278"/>
      <c r="AP196" s="144" t="str">
        <f t="shared" ca="1" si="45"/>
        <v/>
      </c>
      <c r="AQ196" s="142" t="s">
        <v>2381</v>
      </c>
      <c r="AR196" s="142" t="s">
        <v>2374</v>
      </c>
      <c r="AS196" s="57" t="str">
        <f t="shared" si="46"/>
        <v>01</v>
      </c>
      <c r="AT196" s="141" t="str">
        <f t="shared" si="47"/>
        <v>PLAN CINCO CCPP  Z SIN DIRECCION 2 - Solicitud de documentación para presupuestar</v>
      </c>
      <c r="AU196" s="141" t="str">
        <f t="shared" ca="1" si="48"/>
        <v>Estimado/a Sr/Sra:
Gracias por contactar con Instalaciones Araujo para valorar la individualización de contadores de agua en la CCPP  Z SIN DIRECCION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6" s="257" t="str">
        <f t="shared" ca="1" si="49"/>
        <v>Estimado/a Sr/Sra:
Gracias por contactar con Instalaciones Araujo para valorar la individualización de contadores de agua en la CCPP  Z SIN DIRECCION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6" s="257" t="str">
        <f t="shared" si="50"/>
        <v>Estimado/a Sr/Sra:
Gracias por contactar con Instalaciones Araujo para valorar la individualización de contadores de agua en la CCPP  Z SIN DIRECCION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6" s="141" t="s">
        <v>1410</v>
      </c>
      <c r="AY196" s="142"/>
    </row>
    <row r="197" spans="1:51" s="262" customFormat="1" x14ac:dyDescent="0.25">
      <c r="A197" s="64"/>
      <c r="B197" s="64" t="s">
        <v>2602</v>
      </c>
      <c r="C197" s="61" t="s">
        <v>1798</v>
      </c>
      <c r="D197" s="43" t="s">
        <v>2081</v>
      </c>
      <c r="E197" s="201">
        <v>671586820</v>
      </c>
      <c r="F197" s="263" t="s">
        <v>2082</v>
      </c>
      <c r="G197" s="43" t="s">
        <v>0</v>
      </c>
      <c r="H197" s="201" t="s">
        <v>0</v>
      </c>
      <c r="I197" s="43" t="s">
        <v>0</v>
      </c>
      <c r="J197" s="44">
        <v>46031</v>
      </c>
      <c r="K197" s="44"/>
      <c r="L197" s="44"/>
      <c r="M197" s="44"/>
      <c r="N197" s="127">
        <v>46157</v>
      </c>
      <c r="O197" s="128" t="s">
        <v>2124</v>
      </c>
      <c r="P197" s="126" t="s">
        <v>2514</v>
      </c>
      <c r="Q197" s="65"/>
      <c r="R197" s="65"/>
      <c r="S197" s="65"/>
      <c r="T197" s="65"/>
      <c r="U197" s="65"/>
      <c r="V197" s="46">
        <f t="shared" ca="1" si="40"/>
        <v>0</v>
      </c>
      <c r="W197" s="47">
        <f t="shared" ca="1" si="41"/>
        <v>0</v>
      </c>
      <c r="X197" s="47" t="str">
        <f t="shared" ca="1" si="42"/>
        <v xml:space="preserve">PENDIENTE </v>
      </c>
      <c r="Y197" s="47">
        <f t="shared" ca="1" si="43"/>
        <v>0</v>
      </c>
      <c r="Z197" s="227" t="str">
        <f t="shared" ca="1" si="44"/>
        <v xml:space="preserve">PENDIENTE </v>
      </c>
      <c r="AA197" s="124"/>
      <c r="AB197" s="67"/>
      <c r="AC197" s="68"/>
      <c r="AD197" s="69"/>
      <c r="AE197" s="70"/>
      <c r="AF197" s="71"/>
      <c r="AG197" s="71"/>
      <c r="AH197" s="72"/>
      <c r="AI197" s="73"/>
      <c r="AJ197" s="71"/>
      <c r="AK197" s="71"/>
      <c r="AL197" s="71"/>
      <c r="AM197" s="70"/>
      <c r="AN197" s="74"/>
      <c r="AO197" s="278"/>
      <c r="AP197" s="144" t="str">
        <f t="shared" ca="1" si="45"/>
        <v/>
      </c>
      <c r="AQ197" s="142" t="s">
        <v>2381</v>
      </c>
      <c r="AR197" s="142" t="s">
        <v>2374</v>
      </c>
      <c r="AS197" s="57" t="str">
        <f t="shared" si="46"/>
        <v>01</v>
      </c>
      <c r="AT197" s="141" t="str">
        <f t="shared" si="47"/>
        <v>PLAN CINCO CCPP  Z SIN DIRECCION 3 - Solicitud de documentación para presupuestar</v>
      </c>
      <c r="AU197" s="141" t="str">
        <f t="shared" ca="1" si="48"/>
        <v>Estimado/a Sr/Sra:
Gracias por contactar con Instalaciones Araujo para valorar la individualización de contadores de agua en la CCPP  Z SIN DIRECCION 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7" s="257" t="str">
        <f t="shared" ca="1" si="49"/>
        <v>Estimado/a Sr/Sra:
Gracias por contactar con Instalaciones Araujo para valorar la individualización de contadores de agua en la CCPP  Z SIN DIRECCION 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7" s="257" t="str">
        <f t="shared" si="50"/>
        <v>Estimado/a Sr/Sra:
Gracias por contactar con Instalaciones Araujo para valorar la individualización de contadores de agua en la CCPP  Z SIN DIRECCION 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7" s="141" t="s">
        <v>1410</v>
      </c>
      <c r="AY197" s="142"/>
    </row>
    <row r="198" spans="1:51" s="262" customFormat="1" x14ac:dyDescent="0.25">
      <c r="A198" s="64"/>
      <c r="B198" s="64" t="s">
        <v>2603</v>
      </c>
      <c r="C198" s="61" t="s">
        <v>1798</v>
      </c>
      <c r="D198" s="43" t="s">
        <v>2083</v>
      </c>
      <c r="E198" s="201">
        <v>659768374</v>
      </c>
      <c r="F198" s="263" t="s">
        <v>2084</v>
      </c>
      <c r="G198" s="43" t="s">
        <v>0</v>
      </c>
      <c r="H198" s="201" t="s">
        <v>0</v>
      </c>
      <c r="I198" s="43" t="s">
        <v>0</v>
      </c>
      <c r="J198" s="44">
        <v>46043</v>
      </c>
      <c r="K198" s="44"/>
      <c r="L198" s="44"/>
      <c r="M198" s="44"/>
      <c r="N198" s="127">
        <v>46157</v>
      </c>
      <c r="O198" s="128" t="s">
        <v>2136</v>
      </c>
      <c r="P198" s="126" t="s">
        <v>2514</v>
      </c>
      <c r="Q198" s="65"/>
      <c r="R198" s="65"/>
      <c r="S198" s="65"/>
      <c r="T198" s="65"/>
      <c r="U198" s="65"/>
      <c r="V198" s="46">
        <f t="shared" ca="1" si="40"/>
        <v>0</v>
      </c>
      <c r="W198" s="47">
        <f t="shared" ca="1" si="41"/>
        <v>0</v>
      </c>
      <c r="X198" s="47" t="str">
        <f t="shared" ca="1" si="42"/>
        <v xml:space="preserve">PENDIENTE </v>
      </c>
      <c r="Y198" s="47">
        <f t="shared" ca="1" si="43"/>
        <v>0</v>
      </c>
      <c r="Z198" s="227" t="str">
        <f t="shared" ca="1" si="44"/>
        <v xml:space="preserve">PENDIENTE </v>
      </c>
      <c r="AA198" s="124"/>
      <c r="AB198" s="67"/>
      <c r="AC198" s="68"/>
      <c r="AD198" s="69"/>
      <c r="AE198" s="70"/>
      <c r="AF198" s="71"/>
      <c r="AG198" s="71"/>
      <c r="AH198" s="72"/>
      <c r="AI198" s="73"/>
      <c r="AJ198" s="71"/>
      <c r="AK198" s="71"/>
      <c r="AL198" s="71"/>
      <c r="AM198" s="70"/>
      <c r="AN198" s="74"/>
      <c r="AO198" s="278"/>
      <c r="AP198" s="144" t="str">
        <f t="shared" ca="1" si="45"/>
        <v/>
      </c>
      <c r="AQ198" s="142" t="s">
        <v>2381</v>
      </c>
      <c r="AR198" s="142" t="s">
        <v>2374</v>
      </c>
      <c r="AS198" s="57" t="str">
        <f t="shared" si="46"/>
        <v>01</v>
      </c>
      <c r="AT198" s="141" t="str">
        <f t="shared" si="47"/>
        <v>PLAN CINCO CCPP  Z SIN DIRECCION 4 - Solicitud de documentación para presupuestar</v>
      </c>
      <c r="AU198" s="141" t="str">
        <f t="shared" ca="1" si="48"/>
        <v>Estimado/a Sr/Sra:
Gracias por contactar con Instalaciones Araujo para valorar la individualización de contadores de agua en la CCPP  Z SIN DIRECCION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8" s="257" t="str">
        <f t="shared" ca="1" si="49"/>
        <v>Estimado/a Sr/Sra:
Gracias por contactar con Instalaciones Araujo para valorar la individualización de contadores de agua en la CCPP  Z SIN DIRECCION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8" s="257" t="str">
        <f t="shared" si="50"/>
        <v>Estimado/a Sr/Sra:
Gracias por contactar con Instalaciones Araujo para valorar la individualización de contadores de agua en la CCPP  Z SIN DIRECCION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8" s="141" t="s">
        <v>1410</v>
      </c>
      <c r="AY198" s="142"/>
    </row>
    <row r="199" spans="1:51" s="262" customFormat="1" x14ac:dyDescent="0.25">
      <c r="A199" s="64"/>
      <c r="B199" s="64" t="s">
        <v>2604</v>
      </c>
      <c r="C199" s="61" t="s">
        <v>1798</v>
      </c>
      <c r="D199" s="43" t="s">
        <v>2128</v>
      </c>
      <c r="E199" s="201">
        <v>655151331</v>
      </c>
      <c r="F199" s="263" t="s">
        <v>2086</v>
      </c>
      <c r="G199" s="43" t="s">
        <v>0</v>
      </c>
      <c r="H199" s="201" t="s">
        <v>0</v>
      </c>
      <c r="I199" s="43" t="s">
        <v>0</v>
      </c>
      <c r="J199" s="44">
        <v>46085</v>
      </c>
      <c r="K199" s="44"/>
      <c r="L199" s="44"/>
      <c r="M199" s="44"/>
      <c r="N199" s="127">
        <v>46157</v>
      </c>
      <c r="O199" s="128" t="s">
        <v>2120</v>
      </c>
      <c r="P199" s="126" t="s">
        <v>2514</v>
      </c>
      <c r="Q199" s="65"/>
      <c r="R199" s="65"/>
      <c r="S199" s="65"/>
      <c r="T199" s="65"/>
      <c r="U199" s="65"/>
      <c r="V199" s="46">
        <f t="shared" ca="1" si="40"/>
        <v>0</v>
      </c>
      <c r="W199" s="47">
        <f t="shared" ca="1" si="41"/>
        <v>0</v>
      </c>
      <c r="X199" s="47" t="str">
        <f t="shared" ca="1" si="42"/>
        <v xml:space="preserve">PENDIENTE </v>
      </c>
      <c r="Y199" s="47">
        <f t="shared" ca="1" si="43"/>
        <v>0</v>
      </c>
      <c r="Z199" s="227" t="str">
        <f t="shared" ca="1" si="44"/>
        <v xml:space="preserve">PENDIENTE </v>
      </c>
      <c r="AA199" s="124"/>
      <c r="AB199" s="67"/>
      <c r="AC199" s="68"/>
      <c r="AD199" s="69"/>
      <c r="AE199" s="70"/>
      <c r="AF199" s="71"/>
      <c r="AG199" s="71"/>
      <c r="AH199" s="72"/>
      <c r="AI199" s="73"/>
      <c r="AJ199" s="71"/>
      <c r="AK199" s="71"/>
      <c r="AL199" s="71"/>
      <c r="AM199" s="70"/>
      <c r="AN199" s="74"/>
      <c r="AO199" s="278"/>
      <c r="AP199" s="144" t="str">
        <f t="shared" ca="1" si="45"/>
        <v/>
      </c>
      <c r="AQ199" s="142" t="s">
        <v>2381</v>
      </c>
      <c r="AR199" s="142" t="s">
        <v>2374</v>
      </c>
      <c r="AS199" s="57" t="str">
        <f t="shared" si="46"/>
        <v>01</v>
      </c>
      <c r="AT199" s="141" t="str">
        <f t="shared" si="47"/>
        <v>PLAN CINCO CCPP  Z SIN DIRECCION 5 - Solicitud de documentación para presupuestar</v>
      </c>
      <c r="AU199" s="141" t="str">
        <f t="shared" ca="1" si="48"/>
        <v>Estimado/a Sr/Sra:
Gracias por contactar con Instalaciones Araujo para valorar la individualización de contadores de agua en la CCPP  Z SIN DIRECCION 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9" s="257" t="str">
        <f t="shared" ca="1" si="49"/>
        <v>Estimado/a Sr/Sra:
Gracias por contactar con Instalaciones Araujo para valorar la individualización de contadores de agua en la CCPP  Z SIN DIRECCION 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9" s="257" t="str">
        <f t="shared" si="50"/>
        <v>Estimado/a Sr/Sra:
Gracias por contactar con Instalaciones Araujo para valorar la individualización de contadores de agua en la CCPP  Z SIN DIRECCION 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9" s="141" t="s">
        <v>1410</v>
      </c>
      <c r="AY199" s="142"/>
    </row>
    <row r="200" spans="1:51" s="262" customFormat="1" x14ac:dyDescent="0.25">
      <c r="A200" s="64"/>
      <c r="B200" s="64" t="s">
        <v>2605</v>
      </c>
      <c r="C200" s="61" t="s">
        <v>1798</v>
      </c>
      <c r="D200" s="43" t="s">
        <v>2087</v>
      </c>
      <c r="E200" s="201">
        <v>654802629</v>
      </c>
      <c r="F200" s="263" t="s">
        <v>2058</v>
      </c>
      <c r="G200" s="43" t="s">
        <v>0</v>
      </c>
      <c r="H200" s="201" t="s">
        <v>0</v>
      </c>
      <c r="I200" s="43" t="s">
        <v>0</v>
      </c>
      <c r="J200" s="44">
        <v>46086</v>
      </c>
      <c r="K200" s="44"/>
      <c r="L200" s="44"/>
      <c r="M200" s="44"/>
      <c r="N200" s="127">
        <v>46157</v>
      </c>
      <c r="O200" s="128" t="s">
        <v>2125</v>
      </c>
      <c r="P200" s="126" t="s">
        <v>2514</v>
      </c>
      <c r="Q200" s="65"/>
      <c r="R200" s="65"/>
      <c r="S200" s="65"/>
      <c r="T200" s="65"/>
      <c r="U200" s="65"/>
      <c r="V200" s="46">
        <f t="shared" ca="1" si="40"/>
        <v>0</v>
      </c>
      <c r="W200" s="47">
        <f t="shared" ca="1" si="41"/>
        <v>0</v>
      </c>
      <c r="X200" s="47" t="str">
        <f t="shared" ca="1" si="42"/>
        <v xml:space="preserve">PENDIENTE </v>
      </c>
      <c r="Y200" s="47">
        <f t="shared" ca="1" si="43"/>
        <v>0</v>
      </c>
      <c r="Z200" s="227" t="str">
        <f t="shared" ca="1" si="44"/>
        <v xml:space="preserve">PENDIENTE </v>
      </c>
      <c r="AA200" s="124"/>
      <c r="AB200" s="67"/>
      <c r="AC200" s="68"/>
      <c r="AD200" s="69"/>
      <c r="AE200" s="70"/>
      <c r="AF200" s="71"/>
      <c r="AG200" s="71"/>
      <c r="AH200" s="72"/>
      <c r="AI200" s="73"/>
      <c r="AJ200" s="71"/>
      <c r="AK200" s="71"/>
      <c r="AL200" s="71"/>
      <c r="AM200" s="70"/>
      <c r="AN200" s="74"/>
      <c r="AO200" s="278"/>
      <c r="AP200" s="144" t="str">
        <f t="shared" ca="1" si="45"/>
        <v/>
      </c>
      <c r="AQ200" s="142" t="s">
        <v>2381</v>
      </c>
      <c r="AR200" s="142" t="s">
        <v>2374</v>
      </c>
      <c r="AS200" s="57" t="str">
        <f t="shared" si="46"/>
        <v>01</v>
      </c>
      <c r="AT200" s="141" t="str">
        <f t="shared" si="47"/>
        <v>PLAN CINCO CCPP  Z SIN DIRECCION 6 - Solicitud de documentación para presupuestar</v>
      </c>
      <c r="AU200" s="141" t="str">
        <f t="shared" ca="1" si="48"/>
        <v>Estimado/a Sr/Sra:
Gracias por contactar con Instalaciones Araujo para valorar la individualización de contadores de agua en la CCPP  Z SIN DIRECCION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00" s="257" t="str">
        <f t="shared" ca="1" si="49"/>
        <v>Estimado/a Sr/Sra:
Gracias por contactar con Instalaciones Araujo para valorar la individualización de contadores de agua en la CCPP  Z SIN DIRECCION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00" s="257" t="str">
        <f t="shared" si="50"/>
        <v>Estimado/a Sr/Sra:
Gracias por contactar con Instalaciones Araujo para valorar la individualización de contadores de agua en la CCPP  Z SIN DIRECCION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00" s="141" t="s">
        <v>1410</v>
      </c>
      <c r="AY200" s="142"/>
    </row>
    <row r="201" spans="1:51" s="262" customFormat="1" x14ac:dyDescent="0.25">
      <c r="A201" s="64"/>
      <c r="B201" s="64" t="s">
        <v>2606</v>
      </c>
      <c r="C201" s="61" t="s">
        <v>1798</v>
      </c>
      <c r="D201" s="43" t="s">
        <v>2090</v>
      </c>
      <c r="E201" s="201">
        <v>664611867</v>
      </c>
      <c r="F201" s="263" t="s">
        <v>2091</v>
      </c>
      <c r="G201" s="43" t="s">
        <v>0</v>
      </c>
      <c r="H201" s="201" t="s">
        <v>0</v>
      </c>
      <c r="I201" s="43" t="s">
        <v>0</v>
      </c>
      <c r="J201" s="44">
        <v>46101</v>
      </c>
      <c r="K201" s="44"/>
      <c r="L201" s="44"/>
      <c r="M201" s="44"/>
      <c r="N201" s="127">
        <v>46157</v>
      </c>
      <c r="O201" s="128" t="s">
        <v>2141</v>
      </c>
      <c r="P201" s="126" t="s">
        <v>2514</v>
      </c>
      <c r="Q201" s="65"/>
      <c r="R201" s="65"/>
      <c r="S201" s="65"/>
      <c r="T201" s="65"/>
      <c r="U201" s="65"/>
      <c r="V201" s="46">
        <f t="shared" ca="1" si="40"/>
        <v>0</v>
      </c>
      <c r="W201" s="47">
        <f t="shared" ca="1" si="41"/>
        <v>0</v>
      </c>
      <c r="X201" s="47" t="str">
        <f t="shared" ca="1" si="42"/>
        <v xml:space="preserve">PENDIENTE </v>
      </c>
      <c r="Y201" s="47">
        <f t="shared" ca="1" si="43"/>
        <v>0</v>
      </c>
      <c r="Z201" s="227" t="str">
        <f t="shared" ca="1" si="44"/>
        <v xml:space="preserve">PENDIENTE </v>
      </c>
      <c r="AA201" s="66"/>
      <c r="AB201" s="67"/>
      <c r="AC201" s="68"/>
      <c r="AD201" s="69"/>
      <c r="AE201" s="70"/>
      <c r="AF201" s="71"/>
      <c r="AG201" s="71"/>
      <c r="AH201" s="72"/>
      <c r="AI201" s="73"/>
      <c r="AJ201" s="71"/>
      <c r="AK201" s="71"/>
      <c r="AL201" s="71"/>
      <c r="AM201" s="70"/>
      <c r="AN201" s="74"/>
      <c r="AO201" s="278"/>
      <c r="AP201" s="144" t="str">
        <f t="shared" ca="1" si="45"/>
        <v/>
      </c>
      <c r="AQ201" s="142" t="s">
        <v>2381</v>
      </c>
      <c r="AR201" s="142" t="s">
        <v>2374</v>
      </c>
      <c r="AS201" s="57" t="str">
        <f t="shared" si="46"/>
        <v>01</v>
      </c>
      <c r="AT201" s="141" t="str">
        <f t="shared" si="47"/>
        <v>PLAN CINCO CCPP  Z SIN DIRECCION 7 - Solicitud de documentación para presupuestar</v>
      </c>
      <c r="AU201" s="141" t="str">
        <f t="shared" ca="1" si="48"/>
        <v>Estimado/a Sr/Sra:
Gracias por contactar con Instalaciones Araujo para valorar la individualización de contadores de agua en la CCPP  Z SIN DIRECCION 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01" s="257" t="str">
        <f t="shared" ca="1" si="49"/>
        <v>Estimado/a Sr/Sra:
Gracias por contactar con Instalaciones Araujo para valorar la individualización de contadores de agua en la CCPP  Z SIN DIRECCION 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01" s="257" t="str">
        <f t="shared" si="50"/>
        <v>Estimado/a Sr/Sra:
Gracias por contactar con Instalaciones Araujo para valorar la individualización de contadores de agua en la CCPP  Z SIN DIRECCION 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01" s="141" t="s">
        <v>1410</v>
      </c>
      <c r="AY201" s="142"/>
    </row>
    <row r="202" spans="1:51" s="262" customFormat="1" x14ac:dyDescent="0.25">
      <c r="A202" s="64"/>
      <c r="B202" s="64" t="s">
        <v>2607</v>
      </c>
      <c r="C202" s="61" t="s">
        <v>1798</v>
      </c>
      <c r="D202" s="43" t="s">
        <v>2088</v>
      </c>
      <c r="E202" s="201">
        <v>661351339</v>
      </c>
      <c r="F202" s="43" t="s">
        <v>2089</v>
      </c>
      <c r="G202" s="43" t="s">
        <v>0</v>
      </c>
      <c r="H202" s="201" t="s">
        <v>0</v>
      </c>
      <c r="I202" s="43" t="s">
        <v>0</v>
      </c>
      <c r="J202" s="44">
        <v>46098</v>
      </c>
      <c r="K202" s="44"/>
      <c r="L202" s="44"/>
      <c r="M202" s="44"/>
      <c r="N202" s="127">
        <v>46157</v>
      </c>
      <c r="O202" s="128" t="s">
        <v>2121</v>
      </c>
      <c r="P202" s="126" t="s">
        <v>2514</v>
      </c>
      <c r="Q202" s="65"/>
      <c r="R202" s="65"/>
      <c r="S202" s="65"/>
      <c r="T202" s="65"/>
      <c r="U202" s="65"/>
      <c r="V202" s="46">
        <f t="shared" ca="1" si="40"/>
        <v>0</v>
      </c>
      <c r="W202" s="47">
        <f t="shared" ca="1" si="41"/>
        <v>0</v>
      </c>
      <c r="X202" s="47" t="str">
        <f t="shared" ca="1" si="42"/>
        <v xml:space="preserve">PENDIENTE </v>
      </c>
      <c r="Y202" s="47">
        <f t="shared" ca="1" si="43"/>
        <v>0</v>
      </c>
      <c r="Z202" s="227" t="str">
        <f t="shared" ca="1" si="44"/>
        <v xml:space="preserve">PENDIENTE </v>
      </c>
      <c r="AA202" s="124"/>
      <c r="AB202" s="67"/>
      <c r="AC202" s="68"/>
      <c r="AD202" s="69"/>
      <c r="AE202" s="70"/>
      <c r="AF202" s="71"/>
      <c r="AG202" s="71"/>
      <c r="AH202" s="72"/>
      <c r="AI202" s="73"/>
      <c r="AJ202" s="71"/>
      <c r="AK202" s="71"/>
      <c r="AL202" s="71"/>
      <c r="AM202" s="70"/>
      <c r="AN202" s="74"/>
      <c r="AO202" s="278"/>
      <c r="AP202" s="144" t="str">
        <f t="shared" ca="1" si="45"/>
        <v/>
      </c>
      <c r="AQ202" s="142" t="s">
        <v>2381</v>
      </c>
      <c r="AR202" s="142" t="s">
        <v>2374</v>
      </c>
      <c r="AS202" s="57" t="str">
        <f t="shared" si="46"/>
        <v>01</v>
      </c>
      <c r="AT202" s="141" t="str">
        <f t="shared" si="47"/>
        <v>PLAN CINCO CCPP  Z SIN DIRECCION 8 - Solicitud de documentación para presupuestar</v>
      </c>
      <c r="AU202" s="141" t="str">
        <f t="shared" ca="1" si="48"/>
        <v>Estimado/a Sr/Sra:
Gracias por contactar con Instalaciones Araujo para valorar la individualización de contadores de agua en la CCPP  Z SIN DIRECCION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02" s="257" t="str">
        <f t="shared" ca="1" si="49"/>
        <v>Estimado/a Sr/Sra:
Gracias por contactar con Instalaciones Araujo para valorar la individualización de contadores de agua en la CCPP  Z SIN DIRECCION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02" s="257" t="str">
        <f t="shared" si="50"/>
        <v>Estimado/a Sr/Sra:
Gracias por contactar con Instalaciones Araujo para valorar la individualización de contadores de agua en la CCPP  Z SIN DIRECCION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02" s="141" t="s">
        <v>1410</v>
      </c>
      <c r="AY202" s="142"/>
    </row>
    <row r="203" spans="1:51" s="262" customFormat="1" x14ac:dyDescent="0.25">
      <c r="A203" s="64" t="s">
        <v>2184</v>
      </c>
      <c r="B203" s="64" t="s">
        <v>2608</v>
      </c>
      <c r="C203" s="61" t="s">
        <v>1798</v>
      </c>
      <c r="D203" s="43" t="s">
        <v>2122</v>
      </c>
      <c r="E203" s="201">
        <v>601381358</v>
      </c>
      <c r="F203" s="263" t="s">
        <v>2085</v>
      </c>
      <c r="G203" s="43" t="s">
        <v>0</v>
      </c>
      <c r="H203" s="201" t="s">
        <v>0</v>
      </c>
      <c r="I203" s="43" t="s">
        <v>0</v>
      </c>
      <c r="J203" s="44">
        <v>46085</v>
      </c>
      <c r="K203" s="44"/>
      <c r="L203" s="44"/>
      <c r="M203" s="44"/>
      <c r="N203" s="127">
        <v>46157</v>
      </c>
      <c r="O203" s="128" t="s">
        <v>2120</v>
      </c>
      <c r="P203" s="126" t="s">
        <v>2514</v>
      </c>
      <c r="Q203" s="65"/>
      <c r="R203" s="65"/>
      <c r="S203" s="65"/>
      <c r="T203" s="65"/>
      <c r="U203" s="65"/>
      <c r="V203" s="46">
        <f t="shared" ca="1" si="40"/>
        <v>0</v>
      </c>
      <c r="W203" s="47">
        <f t="shared" ca="1" si="41"/>
        <v>0</v>
      </c>
      <c r="X203" s="47" t="str">
        <f t="shared" ca="1" si="42"/>
        <v xml:space="preserve">PENDIENTE </v>
      </c>
      <c r="Y203" s="47">
        <f t="shared" ca="1" si="43"/>
        <v>0</v>
      </c>
      <c r="Z203" s="227" t="str">
        <f t="shared" ca="1" si="44"/>
        <v xml:space="preserve">PENDIENTE </v>
      </c>
      <c r="AA203" s="124"/>
      <c r="AB203" s="67"/>
      <c r="AC203" s="68"/>
      <c r="AD203" s="69"/>
      <c r="AE203" s="70"/>
      <c r="AF203" s="71"/>
      <c r="AG203" s="71"/>
      <c r="AH203" s="72"/>
      <c r="AI203" s="73"/>
      <c r="AJ203" s="71"/>
      <c r="AK203" s="71"/>
      <c r="AL203" s="71"/>
      <c r="AM203" s="70"/>
      <c r="AN203" s="74"/>
      <c r="AO203" s="278"/>
      <c r="AP203" s="144" t="str">
        <f t="shared" ca="1" si="45"/>
        <v/>
      </c>
      <c r="AQ203" s="142" t="s">
        <v>2381</v>
      </c>
      <c r="AR203" s="142" t="s">
        <v>2374</v>
      </c>
      <c r="AS203" s="57" t="str">
        <f t="shared" si="46"/>
        <v>01</v>
      </c>
      <c r="AT203" s="141" t="str">
        <f t="shared" si="47"/>
        <v>PLAN CINCO CCPP (Alcalá Gra) Z SIN DIRECCION 9 - Solicitud de documentación para presupuestar</v>
      </c>
      <c r="AU203" s="141" t="str">
        <f t="shared" ca="1" si="48"/>
        <v>Estimado/a Sr/Sra:
Gracias por contactar con Instalaciones Araujo para valorar la individualización de contadores de agua en la CCPP (Alcalá Gra) Z SIN DIRECCION 9.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03" s="257" t="str">
        <f t="shared" ca="1" si="49"/>
        <v>Estimado/a Sr/Sra:
Gracias por contactar con Instalaciones Araujo para valorar la individualización de contadores de agua en la CCPP (Alcalá Gra) Z SIN DIRECCION 9.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03" s="257" t="str">
        <f t="shared" si="50"/>
        <v>Estimado/a Sr/Sra:
Gracias por contactar con Instalaciones Araujo para valorar la individualización de contadores de agua en la CCPP (Alcalá Gra) Z SIN DIRECCION 9.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03" s="141" t="s">
        <v>1410</v>
      </c>
      <c r="AY203" s="142"/>
    </row>
    <row r="204" spans="1:51" s="262" customFormat="1" x14ac:dyDescent="0.25">
      <c r="A204" s="64"/>
      <c r="B204" s="64" t="s">
        <v>2609</v>
      </c>
      <c r="C204" s="61" t="s">
        <v>1798</v>
      </c>
      <c r="D204" s="43" t="s">
        <v>2403</v>
      </c>
      <c r="E204" s="203">
        <v>626204408</v>
      </c>
      <c r="F204" s="263" t="s">
        <v>2014</v>
      </c>
      <c r="G204" s="122" t="s">
        <v>0</v>
      </c>
      <c r="H204" s="203" t="s">
        <v>0</v>
      </c>
      <c r="I204" s="122" t="s">
        <v>0</v>
      </c>
      <c r="J204" s="136">
        <v>46108</v>
      </c>
      <c r="K204" s="136"/>
      <c r="L204" s="136"/>
      <c r="M204" s="136"/>
      <c r="N204" s="127">
        <v>46157</v>
      </c>
      <c r="O204" s="128" t="s">
        <v>2404</v>
      </c>
      <c r="P204" s="126" t="s">
        <v>2514</v>
      </c>
      <c r="Q204" s="65"/>
      <c r="R204" s="65"/>
      <c r="S204" s="65"/>
      <c r="T204" s="65"/>
      <c r="U204" s="65"/>
      <c r="V204" s="46">
        <f t="shared" ca="1" si="40"/>
        <v>0</v>
      </c>
      <c r="W204" s="47">
        <f t="shared" ca="1" si="41"/>
        <v>0</v>
      </c>
      <c r="X204" s="47" t="str">
        <f t="shared" ca="1" si="42"/>
        <v xml:space="preserve">PENDIENTE </v>
      </c>
      <c r="Y204" s="47">
        <f t="shared" ca="1" si="43"/>
        <v>0</v>
      </c>
      <c r="Z204" s="227" t="str">
        <f t="shared" ca="1" si="44"/>
        <v xml:space="preserve">PENDIENTE </v>
      </c>
      <c r="AA204" s="124"/>
      <c r="AB204" s="67"/>
      <c r="AC204" s="68"/>
      <c r="AD204" s="69"/>
      <c r="AE204" s="70"/>
      <c r="AF204" s="71"/>
      <c r="AG204" s="71"/>
      <c r="AH204" s="72"/>
      <c r="AI204" s="73"/>
      <c r="AJ204" s="71"/>
      <c r="AK204" s="71"/>
      <c r="AL204" s="71"/>
      <c r="AM204" s="70"/>
      <c r="AN204" s="74"/>
      <c r="AO204" s="278"/>
      <c r="AP204" s="144" t="str">
        <f t="shared" ca="1" si="45"/>
        <v/>
      </c>
      <c r="AQ204" s="142" t="s">
        <v>2381</v>
      </c>
      <c r="AR204" s="142" t="s">
        <v>2374</v>
      </c>
      <c r="AS204" s="57" t="str">
        <f t="shared" si="46"/>
        <v>01</v>
      </c>
      <c r="AT204" s="141" t="str">
        <f t="shared" si="47"/>
        <v>PLAN CINCO CCPP  Z SIN DIRECCION 10 - Solicitud de documentación para presupuestar</v>
      </c>
      <c r="AU204" s="141" t="str">
        <f t="shared" ca="1" si="48"/>
        <v>Estimado/a Sr/Sra:
Gracias por contactar con Instalaciones Araujo para valorar la individualización de contadores de agua en la CCPP  Z SIN DIRECCION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04" s="257" t="str">
        <f t="shared" ca="1" si="49"/>
        <v>Estimado/a Sr/Sra:
Gracias por contactar con Instalaciones Araujo para valorar la individualización de contadores de agua en la CCPP  Z SIN DIRECCION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04" s="257" t="str">
        <f t="shared" si="50"/>
        <v>Estimado/a Sr/Sra:
Gracias por contactar con Instalaciones Araujo para valorar la individualización de contadores de agua en la CCPP  Z SIN DIRECCION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04" s="141" t="s">
        <v>1410</v>
      </c>
      <c r="AY204" s="142"/>
    </row>
    <row r="205" spans="1:51" s="262" customFormat="1" x14ac:dyDescent="0.25">
      <c r="A205" s="64"/>
      <c r="B205" s="64" t="s">
        <v>2610</v>
      </c>
      <c r="C205" s="61" t="s">
        <v>1798</v>
      </c>
      <c r="D205" s="43" t="s">
        <v>2405</v>
      </c>
      <c r="E205" s="203">
        <v>687811449</v>
      </c>
      <c r="F205" s="263" t="s">
        <v>2406</v>
      </c>
      <c r="G205" s="122" t="s">
        <v>0</v>
      </c>
      <c r="H205" s="203" t="s">
        <v>0</v>
      </c>
      <c r="I205" s="122" t="s">
        <v>0</v>
      </c>
      <c r="J205" s="136">
        <v>46111</v>
      </c>
      <c r="K205" s="136"/>
      <c r="L205" s="136"/>
      <c r="M205" s="136"/>
      <c r="N205" s="127">
        <v>46157</v>
      </c>
      <c r="O205" s="128" t="s">
        <v>2407</v>
      </c>
      <c r="P205" s="126" t="s">
        <v>2514</v>
      </c>
      <c r="Q205" s="65"/>
      <c r="R205" s="65"/>
      <c r="S205" s="65"/>
      <c r="T205" s="65"/>
      <c r="U205" s="65"/>
      <c r="V205" s="46">
        <f t="shared" ca="1" si="40"/>
        <v>0</v>
      </c>
      <c r="W205" s="47">
        <f t="shared" ca="1" si="41"/>
        <v>0</v>
      </c>
      <c r="X205" s="47" t="str">
        <f t="shared" ca="1" si="42"/>
        <v xml:space="preserve">PENDIENTE </v>
      </c>
      <c r="Y205" s="47">
        <f t="shared" ca="1" si="43"/>
        <v>0</v>
      </c>
      <c r="Z205" s="227" t="str">
        <f t="shared" ca="1" si="44"/>
        <v xml:space="preserve">PENDIENTE </v>
      </c>
      <c r="AA205" s="124"/>
      <c r="AB205" s="67"/>
      <c r="AC205" s="68"/>
      <c r="AD205" s="69"/>
      <c r="AE205" s="70"/>
      <c r="AF205" s="71"/>
      <c r="AG205" s="71"/>
      <c r="AH205" s="72"/>
      <c r="AI205" s="73"/>
      <c r="AJ205" s="71"/>
      <c r="AK205" s="71"/>
      <c r="AL205" s="71"/>
      <c r="AM205" s="70"/>
      <c r="AN205" s="74"/>
      <c r="AO205" s="278"/>
      <c r="AP205" s="144" t="str">
        <f ca="1">IF(AO205="🔒","NO",IF(AND(ISNUMBER(N205),N205&lt;=TODAY(),AS205&lt;&gt;"---"),"SI",""))</f>
        <v/>
      </c>
      <c r="AQ205" s="142" t="s">
        <v>2381</v>
      </c>
      <c r="AR205" s="142" t="s">
        <v>2374</v>
      </c>
      <c r="AS205" s="57" t="str">
        <f t="shared" si="46"/>
        <v>01</v>
      </c>
      <c r="AT205" s="141" t="str">
        <f t="shared" si="47"/>
        <v>PLAN CINCO CCPP  Z SIN DIRECCION 11 - Solicitud de documentación para presupuestar</v>
      </c>
      <c r="AU205" s="141" t="str">
        <f t="shared" ref="AU205" ca="1" si="51">IFERROR(
    SUBSTITUTE(
        SUBSTITUTE(
            SUBSTITUTE(
                AV205,
                "{DOC_CCPP}", X205),
            "{DOC_PISOS}", Z205),
        "{FECHA_PTO}", TEXT(M205, "dd/mm/aaaa")),
    ""
)</f>
        <v>Estimado/a Sr/Sra:
Gracias por contactar con Instalaciones Araujo para valorar la individualización de contadores de agua en la CCPP  Z SIN DIRECCION 11.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05" s="257" t="str">
        <f t="shared" ref="AV205" ca="1" si="52">IFERROR(
    SUBSTITUTE(
        SUBSTITUTE(
            SUBSTITUTE(
                SUBSTITUTE(
                    SUBSTITUTE(
                        AW205,
                        "{FECHA_ENVIO_CYCP}", TEXT(T205, "dd/mm/aaaa")),
                    "{FECHA_RECIBO_CYCP}", TEXT(U205, "dd/mm/aaaa")),
                "{FECHA+10}", TEXT(T205 + 10, "dd/mm/aaaa")),
            "%CCPP", TEXT(W205, "0%")),
        "%PISOS", TEXT(Y205, "0%")),
    ""
)</f>
        <v>Estimado/a Sr/Sra:
Gracias por contactar con Instalaciones Araujo para valorar la individualización de contadores de agua en la CCPP  Z SIN DIRECCION 11.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05" s="257" t="str">
        <f t="shared" si="50"/>
        <v>Estimado/a Sr/Sra:
Gracias por contactar con Instalaciones Araujo para valorar la individualización de contadores de agua en la CCPP  Z SIN DIRECCION 11.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05" s="141" t="s">
        <v>1410</v>
      </c>
      <c r="AY205" s="142"/>
    </row>
    <row r="206" spans="1:51" s="262" customFormat="1" x14ac:dyDescent="0.25">
      <c r="A206" s="64" t="s">
        <v>2162</v>
      </c>
      <c r="B206" s="64" t="s">
        <v>2373</v>
      </c>
      <c r="C206" s="61" t="s">
        <v>2129</v>
      </c>
      <c r="D206" s="43" t="s">
        <v>2092</v>
      </c>
      <c r="E206" s="201" t="s">
        <v>0</v>
      </c>
      <c r="F206" s="43" t="s">
        <v>0</v>
      </c>
      <c r="G206" s="203" t="s">
        <v>0</v>
      </c>
      <c r="H206" s="203" t="s">
        <v>0</v>
      </c>
      <c r="I206" s="122" t="s">
        <v>0</v>
      </c>
      <c r="J206" s="44">
        <v>45813</v>
      </c>
      <c r="K206" s="44">
        <v>45820</v>
      </c>
      <c r="L206" s="44">
        <v>45826</v>
      </c>
      <c r="M206" s="44"/>
      <c r="N206" s="127" t="s">
        <v>0</v>
      </c>
      <c r="O206" s="128" t="s">
        <v>2105</v>
      </c>
      <c r="P206" s="126" t="s">
        <v>2107</v>
      </c>
      <c r="Q206" s="65"/>
      <c r="R206" s="65"/>
      <c r="S206" s="65"/>
      <c r="T206" s="65"/>
      <c r="U206" s="65"/>
      <c r="V206" s="46">
        <f t="shared" ca="1" si="40"/>
        <v>0</v>
      </c>
      <c r="W206" s="47">
        <f t="shared" ca="1" si="41"/>
        <v>0</v>
      </c>
      <c r="X206" s="47" t="str">
        <f t="shared" ca="1" si="42"/>
        <v xml:space="preserve">PENDIENTE </v>
      </c>
      <c r="Y206" s="47">
        <f t="shared" ca="1" si="43"/>
        <v>0</v>
      </c>
      <c r="Z206" s="227" t="str">
        <f t="shared" ca="1" si="44"/>
        <v xml:space="preserve">PENDIENTE </v>
      </c>
      <c r="AA206" s="66"/>
      <c r="AB206" s="67">
        <v>6.5</v>
      </c>
      <c r="AC206" s="68"/>
      <c r="AD206" s="69"/>
      <c r="AE206" s="70">
        <v>6191.34</v>
      </c>
      <c r="AF206" s="71">
        <v>2876.7</v>
      </c>
      <c r="AG206" s="71"/>
      <c r="AH206" s="72">
        <v>1607.87</v>
      </c>
      <c r="AI206" s="73"/>
      <c r="AJ206" s="71">
        <f>AE206-AF206-AH206-150</f>
        <v>1556.7700000000004</v>
      </c>
      <c r="AK206" s="71"/>
      <c r="AL206" s="71"/>
      <c r="AM206" s="70"/>
      <c r="AN206" s="74"/>
      <c r="AO206" s="278"/>
      <c r="AP206" s="144" t="str">
        <f t="shared" ca="1" si="45"/>
        <v/>
      </c>
      <c r="AQ206" s="142" t="s">
        <v>2381</v>
      </c>
      <c r="AR206" s="142" t="s">
        <v>2374</v>
      </c>
      <c r="AS206" s="57" t="str">
        <f t="shared" si="46"/>
        <v>---</v>
      </c>
      <c r="AT206" s="141" t="str">
        <f t="shared" si="47"/>
        <v xml:space="preserve">PLAN CINCO CCPP (C) Zaragoza 44 - </v>
      </c>
      <c r="AU206" s="141" t="str">
        <f t="shared" ref="AU206:AU208" ca="1" si="53">IFERROR(
    SUBSTITUTE(
        SUBSTITUTE(
            SUBSTITUTE(
                AV206,
                "{DOC_CCPP}", X206),
            "{DOC_PISOS}", Z206),
        "{FECHA_PTO}", TEXT(M206, "dd/mm/aaaa")),
    ""
)</f>
        <v/>
      </c>
      <c r="AV206" s="257" t="str">
        <f t="shared" ref="AV206:AV208" ca="1" si="54">IFERROR(
    SUBSTITUTE(
        SUBSTITUTE(
            SUBSTITUTE(
                SUBSTITUTE(
                    SUBSTITUTE(
                        AW206,
                        "{FECHA_ENVIO_CYCP}", TEXT(T206, "dd/mm/aaaa")),
                    "{FECHA_RECIBO_CYCP}", TEXT(U206, "dd/mm/aaaa")),
                "{FECHA+10}", TEXT(T206 + 10, "dd/mm/aaaa")),
            "%CCPP", TEXT(W206, "0%")),
        "%PISOS", TEXT(Y206, "0%")),
    ""
)</f>
        <v/>
      </c>
      <c r="AW206" s="257" t="str">
        <f t="shared" si="50"/>
        <v/>
      </c>
      <c r="AX206" s="141" t="s">
        <v>1410</v>
      </c>
      <c r="AY206" s="142"/>
    </row>
    <row r="207" spans="1:51" s="262" customFormat="1" x14ac:dyDescent="0.25">
      <c r="A207" s="64"/>
      <c r="B207" s="64"/>
      <c r="C207" s="61"/>
      <c r="D207" s="43"/>
      <c r="E207" s="201"/>
      <c r="F207" s="43"/>
      <c r="G207" s="43"/>
      <c r="H207" s="201"/>
      <c r="I207" s="43"/>
      <c r="J207" s="136"/>
      <c r="K207" s="136"/>
      <c r="L207" s="136"/>
      <c r="M207" s="136"/>
      <c r="N207" s="127"/>
      <c r="O207" s="128"/>
      <c r="P207" s="126"/>
      <c r="Q207" s="65"/>
      <c r="R207" s="65"/>
      <c r="S207" s="65"/>
      <c r="T207" s="65"/>
      <c r="U207" s="65"/>
      <c r="V207" s="46"/>
      <c r="W207" s="47" t="str">
        <f t="shared" ca="1" si="41"/>
        <v/>
      </c>
      <c r="X207" s="47" t="str">
        <f t="shared" ca="1" si="42"/>
        <v xml:space="preserve">PENDIENTE </v>
      </c>
      <c r="Y207" s="47" t="str">
        <f t="shared" ca="1" si="43"/>
        <v/>
      </c>
      <c r="Z207" s="227" t="str">
        <f t="shared" ca="1" si="44"/>
        <v xml:space="preserve">PENDIENTE </v>
      </c>
      <c r="AA207" s="124"/>
      <c r="AB207" s="67"/>
      <c r="AC207" s="68"/>
      <c r="AD207" s="69"/>
      <c r="AE207" s="70"/>
      <c r="AF207" s="71"/>
      <c r="AG207" s="71"/>
      <c r="AH207" s="72"/>
      <c r="AI207" s="73"/>
      <c r="AJ207" s="71"/>
      <c r="AK207" s="71"/>
      <c r="AL207" s="71"/>
      <c r="AM207" s="70"/>
      <c r="AN207" s="74"/>
      <c r="AO207" s="278"/>
      <c r="AP207" s="144" t="str">
        <f t="shared" ca="1" si="45"/>
        <v/>
      </c>
      <c r="AQ207" s="142" t="s">
        <v>2381</v>
      </c>
      <c r="AR207" s="142" t="s">
        <v>2374</v>
      </c>
      <c r="AS207" s="57" t="str">
        <f t="shared" si="46"/>
        <v/>
      </c>
      <c r="AT207" s="141" t="str">
        <f t="shared" si="47"/>
        <v xml:space="preserve">PLAN CINCO CCPP </v>
      </c>
      <c r="AU207" s="141" t="str">
        <f t="shared" ca="1" si="53"/>
        <v/>
      </c>
      <c r="AV207" s="257" t="str">
        <f t="shared" ca="1" si="54"/>
        <v/>
      </c>
      <c r="AW207" s="257" t="str">
        <f t="shared" si="50"/>
        <v/>
      </c>
      <c r="AX207" s="141" t="s">
        <v>1410</v>
      </c>
      <c r="AY207" s="142"/>
    </row>
    <row r="208" spans="1:51" s="262" customFormat="1" ht="16.5" thickBot="1" x14ac:dyDescent="0.3">
      <c r="A208" s="100"/>
      <c r="B208" s="100"/>
      <c r="C208" s="101"/>
      <c r="D208" s="102"/>
      <c r="E208" s="204"/>
      <c r="F208" s="102"/>
      <c r="G208" s="102"/>
      <c r="H208" s="204"/>
      <c r="I208" s="101"/>
      <c r="J208" s="137"/>
      <c r="K208" s="137"/>
      <c r="L208" s="137"/>
      <c r="M208" s="137"/>
      <c r="N208" s="150"/>
      <c r="O208" s="151"/>
      <c r="P208" s="152"/>
      <c r="Q208" s="103"/>
      <c r="R208" s="103"/>
      <c r="S208" s="103"/>
      <c r="T208" s="103"/>
      <c r="U208" s="103"/>
      <c r="V208" s="104"/>
      <c r="W208" s="105" t="str">
        <f t="shared" ca="1" si="41"/>
        <v/>
      </c>
      <c r="X208" s="105" t="str">
        <f t="shared" ca="1" si="42"/>
        <v xml:space="preserve">PENDIENTE </v>
      </c>
      <c r="Y208" s="105" t="str">
        <f t="shared" ca="1" si="43"/>
        <v/>
      </c>
      <c r="Z208" s="105" t="str">
        <f t="shared" ca="1" si="44"/>
        <v xml:space="preserve">PENDIENTE </v>
      </c>
      <c r="AA208" s="125"/>
      <c r="AB208" s="106"/>
      <c r="AC208" s="107"/>
      <c r="AD208" s="108"/>
      <c r="AE208" s="109"/>
      <c r="AF208" s="110"/>
      <c r="AG208" s="110"/>
      <c r="AH208" s="111"/>
      <c r="AI208" s="112"/>
      <c r="AJ208" s="110"/>
      <c r="AK208" s="110"/>
      <c r="AL208" s="110"/>
      <c r="AM208" s="109"/>
      <c r="AN208" s="113"/>
      <c r="AO208" s="279"/>
      <c r="AP208" s="144" t="str">
        <f t="shared" ca="1" si="45"/>
        <v/>
      </c>
      <c r="AQ208" s="143" t="s">
        <v>2381</v>
      </c>
      <c r="AR208" s="143" t="s">
        <v>2374</v>
      </c>
      <c r="AS208" s="114" t="str">
        <f t="shared" si="46"/>
        <v/>
      </c>
      <c r="AT208" s="143" t="str">
        <f t="shared" si="47"/>
        <v xml:space="preserve">PLAN CINCO CCPP </v>
      </c>
      <c r="AU208" s="230" t="str">
        <f t="shared" ca="1" si="53"/>
        <v/>
      </c>
      <c r="AV208" s="259" t="str">
        <f t="shared" ca="1" si="54"/>
        <v/>
      </c>
      <c r="AW208" s="259" t="str">
        <f t="shared" si="50"/>
        <v/>
      </c>
      <c r="AX208" s="143" t="s">
        <v>1410</v>
      </c>
      <c r="AY208" s="143"/>
    </row>
    <row r="209" spans="1:51" s="262" customFormat="1" ht="17.25" customHeight="1" thickTop="1" thickBot="1" x14ac:dyDescent="0.3">
      <c r="A209" s="157"/>
      <c r="B209" s="158"/>
      <c r="C209" s="115"/>
      <c r="D209" s="131"/>
      <c r="E209" s="205"/>
      <c r="F209" s="131"/>
      <c r="G209" s="131"/>
      <c r="H209" s="115"/>
      <c r="I209" s="131"/>
      <c r="J209" s="138"/>
      <c r="K209" s="138"/>
      <c r="L209" s="138"/>
      <c r="M209" s="138"/>
      <c r="N209" s="153" t="s">
        <v>2103</v>
      </c>
      <c r="O209" s="178" t="s">
        <v>2386</v>
      </c>
      <c r="P209" s="179">
        <f>COUNTA(P3:P208)</f>
        <v>204</v>
      </c>
      <c r="Q209" s="154"/>
      <c r="R209" s="154"/>
      <c r="S209" s="154"/>
      <c r="T209" s="154"/>
      <c r="U209" s="154"/>
      <c r="V209" s="155"/>
      <c r="W209" s="156"/>
      <c r="X209" s="156"/>
      <c r="Y209" s="156"/>
      <c r="Z209" s="156"/>
      <c r="AA209" s="271"/>
      <c r="AB209" s="183" t="s">
        <v>2395</v>
      </c>
      <c r="AC209" s="184" t="s">
        <v>2396</v>
      </c>
      <c r="AD209" s="185" t="s">
        <v>2397</v>
      </c>
      <c r="AE209" s="186" t="s">
        <v>2398</v>
      </c>
      <c r="AF209" s="187"/>
      <c r="AG209" s="182"/>
      <c r="AH209" s="188"/>
      <c r="AI209" s="182"/>
      <c r="AJ209" s="188" t="s">
        <v>2401</v>
      </c>
      <c r="AK209" s="187" t="s">
        <v>2400</v>
      </c>
      <c r="AL209" s="182" t="s">
        <v>1434</v>
      </c>
      <c r="AM209" s="116" t="s">
        <v>1728</v>
      </c>
      <c r="AN209" s="116">
        <f>SUM(AM3:AM208)</f>
        <v>39124.020000000004</v>
      </c>
      <c r="AO209" s="280"/>
      <c r="AP209" s="270"/>
      <c r="AQ209" s="266"/>
      <c r="AR209" s="266"/>
      <c r="AS209" s="267"/>
      <c r="AT209" s="268"/>
      <c r="AU209" s="268"/>
      <c r="AV209" s="269"/>
      <c r="AW209" s="269"/>
      <c r="AX209" s="266" t="s">
        <v>1410</v>
      </c>
      <c r="AY209" s="266"/>
    </row>
    <row r="210" spans="1:51" s="262" customFormat="1" ht="16.5" customHeight="1" thickTop="1" x14ac:dyDescent="0.25">
      <c r="A210" s="161"/>
      <c r="B210" s="162"/>
      <c r="C210" s="115"/>
      <c r="D210" s="131"/>
      <c r="E210" s="205"/>
      <c r="F210" s="131"/>
      <c r="G210" s="131"/>
      <c r="H210" s="115"/>
      <c r="I210" s="131"/>
      <c r="J210" s="138"/>
      <c r="K210" s="138"/>
      <c r="L210" s="138"/>
      <c r="M210" s="138"/>
      <c r="N210" s="127"/>
      <c r="O210" s="180" t="s">
        <v>2387</v>
      </c>
      <c r="P210" s="181">
        <f>SUM(
COUNTIF(P3:P208,"*01*"),
COUNTIF(P3:P208,"*02*"),
COUNTIF(P3:P208,"*03*"),
COUNTIF(P3:P208,"*04*"),
COUNTIF(P3:P208,"*ZZ*")
)</f>
        <v>146</v>
      </c>
      <c r="Q210" s="45"/>
      <c r="R210" s="45"/>
      <c r="S210" s="45"/>
      <c r="T210" s="45"/>
      <c r="U210" s="45"/>
      <c r="V210" s="46"/>
      <c r="W210" s="47"/>
      <c r="X210" s="47"/>
      <c r="Y210" s="47"/>
      <c r="Z210" s="47"/>
      <c r="AA210" s="272"/>
      <c r="AB210" s="190">
        <f>SUM(
SUMIF(P3:P208,"*01*",AB3:AB208),
SUMIF(P3:P208,"*02*",AB3:AB208),
SUMIF(P3:P208,"*03*",AB3:AB208),
SUMIF(P3:P208,"*04*",AB3:AB208),
SUMIF(P3:P208,"*ZZ*",AB3:AB208)
)</f>
        <v>2136.8999999999996</v>
      </c>
      <c r="AC210" s="191">
        <f>AB210/2</f>
        <v>1068.4499999999998</v>
      </c>
      <c r="AD210" s="192">
        <f>AC210/20</f>
        <v>53.422499999999992</v>
      </c>
      <c r="AE210" s="193">
        <f>SUM(
SUMIF(P3:P208,"*01*",AE3:AE208),
SUMIF(P3:P208,"*02*",AE3:AE208),
SUMIF(P3:P208,"*03*",AE3:AE208),
SUMIF(P3:P208,"*04*",AE3:AE208),
SUMIF(P3:P208,"*ZZ*",AE3:AE208)
)</f>
        <v>2461258.7148473617</v>
      </c>
      <c r="AF210" s="194"/>
      <c r="AG210" s="189"/>
      <c r="AH210" s="195"/>
      <c r="AI210" s="189"/>
      <c r="AJ210" s="196">
        <f>SUM(
SUMIF(P3:P208,"*01*",AJ3:AJ208),
SUMIF(P3:P208,"*02*",AJ3:AJ208),
SUMIF(P3:P208,"*03*",AJ3:AJ208),
SUMIF(P3:P208,"*04*",AJ3:AJ208),
SUMIF(P3:P208,"*ZZ*",AJ3:AJ208)
)</f>
        <v>784623.69615986175</v>
      </c>
      <c r="AK210" s="197" t="s">
        <v>0</v>
      </c>
      <c r="AL210" s="198" t="s">
        <v>0</v>
      </c>
      <c r="AM210" s="117" t="s">
        <v>1729</v>
      </c>
      <c r="AN210" s="117">
        <f>SUMIF(AN3:AN208,"&gt;0",AM3:AM208)</f>
        <v>1760.4900000000002</v>
      </c>
      <c r="AO210" s="277"/>
      <c r="AP210" s="144"/>
      <c r="AQ210" s="141"/>
      <c r="AR210" s="141"/>
      <c r="AS210" s="57"/>
      <c r="AT210" s="229"/>
      <c r="AU210" s="229"/>
      <c r="AV210" s="256"/>
      <c r="AW210" s="256"/>
      <c r="AX210" s="141" t="s">
        <v>1410</v>
      </c>
      <c r="AY210" s="141"/>
    </row>
    <row r="211" spans="1:51" s="262" customFormat="1" ht="16.5" customHeight="1" x14ac:dyDescent="0.25">
      <c r="A211" s="161"/>
      <c r="B211" s="162"/>
      <c r="C211" s="118"/>
      <c r="D211" s="132"/>
      <c r="E211" s="206"/>
      <c r="F211" s="132"/>
      <c r="G211" s="132"/>
      <c r="H211" s="118"/>
      <c r="I211" s="132"/>
      <c r="J211" s="139"/>
      <c r="K211" s="139"/>
      <c r="L211" s="139"/>
      <c r="M211" s="139"/>
      <c r="N211" s="128" t="s">
        <v>2102</v>
      </c>
      <c r="O211" s="163" t="s">
        <v>2383</v>
      </c>
      <c r="P211" s="164" t="str">
        <f>COUNTIF(P3:P208,"*02*")+
COUNTIF(P3:P208,"*03*")+
COUNTIF(P3:P208,"*04*")
&amp;" ("&amp;
TEXT(
 (COUNTIF(P3:P208,"*02*")+
  COUNTIF(P3:P208,"*03*")+
  COUNTIF(P3:P208,"*04*"))
 /
 (COUNTIF(P3:P208,"*02*")+
  COUNTIF(P3:P208,"*03*")+
  COUNTIF(P3:P208,"*04*")+
  COUNTIF(P3:P208,"*ZZ*")),"0%")
&amp;")"</f>
        <v>39 (39%)</v>
      </c>
      <c r="Q211" s="45"/>
      <c r="R211" s="45"/>
      <c r="S211" s="45"/>
      <c r="T211" s="45"/>
      <c r="U211" s="45"/>
      <c r="V211" s="46"/>
      <c r="W211" s="47"/>
      <c r="X211" s="47"/>
      <c r="Y211" s="47"/>
      <c r="Z211" s="47"/>
      <c r="AA211" s="272"/>
      <c r="AB211" s="166">
        <f>SUM(
SUMIF(P3:P208,"*02*",AB3:AB208),
SUMIF(P3:P208,"*03*",AB3:AB208),
SUMIF(P3:P208,"*04*",AB3:AB208),
)</f>
        <v>520.70000000000005</v>
      </c>
      <c r="AC211" s="167">
        <f t="shared" ref="AC211:AC217" si="55">AB211/2</f>
        <v>260.35000000000002</v>
      </c>
      <c r="AD211" s="168">
        <f t="shared" ref="AD211:AD217" si="56">AC211/20</f>
        <v>13.017500000000002</v>
      </c>
      <c r="AE211" s="169">
        <f>SUM(
SUMIF(P3:P208,"*02*",AE3:AE208),
SUMIF(P3:P208,"*03*",AE3:AE208),
SUMIF(P3:P208,"*04*",AE3:AE208),
)</f>
        <v>651348.08000000007</v>
      </c>
      <c r="AF211" s="170"/>
      <c r="AG211" s="165"/>
      <c r="AH211" s="171"/>
      <c r="AI211" s="165"/>
      <c r="AJ211" s="172">
        <f>SUM(
SUMIF(P3:P208,"*02*",AJ3:AJ208),
SUMIF(P3:P208,"*03*",AJ3:AJ208),
SUMIF(P3:P208,"*04*",AJ3:AJ208),
)</f>
        <v>208607.86</v>
      </c>
      <c r="AK211" s="175">
        <f>SUM(
SUMIF(P3:P208,"*02*",AK3:AK208),
SUMIF(P3:P208,"*03*",AK3:AK208),
SUMIF(P3:P208,"*04*",AK3:AK208),
)</f>
        <v>193991.66</v>
      </c>
      <c r="AL211" s="176">
        <f>1-(AK211/AJ211)</f>
        <v>7.0065432817344342E-2</v>
      </c>
      <c r="AM211" s="119" t="s">
        <v>1732</v>
      </c>
      <c r="AN211" s="119">
        <f>AN209-AN210</f>
        <v>37363.530000000006</v>
      </c>
      <c r="AO211" s="277"/>
      <c r="AP211" s="144"/>
      <c r="AQ211" s="141"/>
      <c r="AR211" s="141"/>
      <c r="AS211" s="57"/>
      <c r="AT211" s="229"/>
      <c r="AU211" s="229"/>
      <c r="AV211" s="256"/>
      <c r="AW211" s="256"/>
      <c r="AX211" s="141" t="s">
        <v>1410</v>
      </c>
      <c r="AY211" s="141"/>
    </row>
    <row r="212" spans="1:51" s="262" customFormat="1" ht="16.5" customHeight="1" x14ac:dyDescent="0.25">
      <c r="A212" s="159"/>
      <c r="B212" s="160"/>
      <c r="C212" s="120"/>
      <c r="D212" s="133"/>
      <c r="E212" s="207"/>
      <c r="F212" s="133"/>
      <c r="G212" s="133"/>
      <c r="H212" s="120"/>
      <c r="I212" s="133"/>
      <c r="J212" s="140"/>
      <c r="K212" s="140"/>
      <c r="L212" s="140"/>
      <c r="M212" s="140"/>
      <c r="N212" s="127"/>
      <c r="O212" s="163" t="s">
        <v>2384</v>
      </c>
      <c r="P212" s="164" t="str">
        <f>COUNTIF(P3:P208,"*ZZ*")
&amp;" ("&amp;
TEXT(
   COUNTIF(P3:P208,"*ZZ*")
   /
   (COUNTIF(P3:P208,"*02*")
   +COUNTIF(P3:P208,"*03*")
   +COUNTIF(P3:P208,"*04*")
   +COUNTIF(P3:P208,"*ZZ*")),"0%"
)
&amp;")"</f>
        <v>60 (61%)</v>
      </c>
      <c r="Q212" s="45"/>
      <c r="R212" s="45"/>
      <c r="S212" s="45"/>
      <c r="T212" s="45"/>
      <c r="U212" s="45"/>
      <c r="V212" s="46"/>
      <c r="W212" s="47"/>
      <c r="X212" s="47"/>
      <c r="Y212" s="47"/>
      <c r="Z212" s="47"/>
      <c r="AA212" s="272"/>
      <c r="AB212" s="166">
        <f>SUMIF(P3:P208,"*ZZ*",AB3:AB208)</f>
        <v>843.3</v>
      </c>
      <c r="AC212" s="167">
        <f t="shared" si="55"/>
        <v>421.65</v>
      </c>
      <c r="AD212" s="168">
        <f t="shared" si="56"/>
        <v>21.0825</v>
      </c>
      <c r="AE212" s="169">
        <f>SUMIF(P3:P208,"*ZZ*",AE3:AE208)</f>
        <v>913184.88765065093</v>
      </c>
      <c r="AF212" s="170"/>
      <c r="AG212" s="165"/>
      <c r="AH212" s="171"/>
      <c r="AI212" s="165"/>
      <c r="AJ212" s="177" t="s">
        <v>0</v>
      </c>
      <c r="AK212" s="173" t="s">
        <v>0</v>
      </c>
      <c r="AL212" s="174" t="s">
        <v>0</v>
      </c>
      <c r="AM212" s="121" t="s">
        <v>1730</v>
      </c>
      <c r="AN212" s="121">
        <f>SUMIF(AN3:AN208,"PTE",AM3:AM208)</f>
        <v>4668.9220000000005</v>
      </c>
      <c r="AO212" s="277"/>
      <c r="AP212" s="144"/>
      <c r="AQ212" s="141"/>
      <c r="AR212" s="141"/>
      <c r="AS212" s="57"/>
      <c r="AT212" s="141"/>
      <c r="AU212" s="141"/>
      <c r="AV212" s="256"/>
      <c r="AW212" s="256"/>
      <c r="AX212" s="141" t="s">
        <v>1410</v>
      </c>
      <c r="AY212" s="141"/>
    </row>
    <row r="213" spans="1:51" s="300" customFormat="1" x14ac:dyDescent="0.25">
      <c r="A213" s="281"/>
      <c r="B213" s="281"/>
      <c r="C213" s="282"/>
      <c r="D213" s="283" t="s">
        <v>0</v>
      </c>
      <c r="E213" s="284" t="s">
        <v>0</v>
      </c>
      <c r="F213" s="283" t="s">
        <v>0</v>
      </c>
      <c r="G213" s="282" t="s">
        <v>0</v>
      </c>
      <c r="H213" s="284" t="s">
        <v>0</v>
      </c>
      <c r="I213" s="282" t="s">
        <v>0</v>
      </c>
      <c r="J213" s="285"/>
      <c r="K213" s="285"/>
      <c r="L213" s="285"/>
      <c r="M213" s="285"/>
      <c r="N213" s="286"/>
      <c r="O213" s="345" t="s">
        <v>2385</v>
      </c>
      <c r="P213" s="346">
        <f>COUNTIF(P3:P208,"*01*")</f>
        <v>47</v>
      </c>
      <c r="Q213" s="286"/>
      <c r="R213" s="286"/>
      <c r="S213" s="286"/>
      <c r="T213" s="286"/>
      <c r="U213" s="286"/>
      <c r="V213" s="287"/>
      <c r="W213" s="288"/>
      <c r="X213" s="288"/>
      <c r="Y213" s="288"/>
      <c r="Z213" s="288"/>
      <c r="AA213" s="289"/>
      <c r="AB213" s="290">
        <f>SUMIF(P3:P208,"*01*",AB3:AB208)</f>
        <v>772.89999999999986</v>
      </c>
      <c r="AC213" s="291">
        <f t="shared" si="55"/>
        <v>386.44999999999993</v>
      </c>
      <c r="AD213" s="292">
        <f t="shared" si="56"/>
        <v>19.322499999999998</v>
      </c>
      <c r="AE213" s="293">
        <f>SUMIF(P3:P208,"*01*",AE3:AE208)</f>
        <v>896725.74719671067</v>
      </c>
      <c r="AF213" s="294"/>
      <c r="AG213" s="294"/>
      <c r="AH213" s="294"/>
      <c r="AI213" s="294"/>
      <c r="AJ213" s="295" t="s">
        <v>0</v>
      </c>
      <c r="AK213" s="295" t="s">
        <v>0</v>
      </c>
      <c r="AL213" s="296" t="s">
        <v>0</v>
      </c>
      <c r="AM213" s="297"/>
      <c r="AN213" s="287"/>
      <c r="AO213" s="287"/>
      <c r="AP213" s="287"/>
      <c r="AQ213" s="298"/>
      <c r="AR213" s="298"/>
      <c r="AS213" s="287"/>
      <c r="AT213" s="298"/>
      <c r="AU213" s="298"/>
      <c r="AV213" s="299"/>
      <c r="AW213" s="299"/>
      <c r="AX213" s="298"/>
      <c r="AY213" s="298"/>
    </row>
    <row r="214" spans="1:51" x14ac:dyDescent="0.25">
      <c r="O214" s="345" t="s">
        <v>2388</v>
      </c>
      <c r="P214" s="346">
        <f>COUNTIF(P3:P208,"*00*")</f>
        <v>58</v>
      </c>
      <c r="AA214" s="309"/>
      <c r="AB214" s="310" t="s">
        <v>0</v>
      </c>
      <c r="AC214" s="311" t="s">
        <v>0</v>
      </c>
      <c r="AD214" s="312" t="s">
        <v>0</v>
      </c>
      <c r="AE214" s="313" t="s">
        <v>0</v>
      </c>
      <c r="AF214" s="314"/>
      <c r="AG214" s="314"/>
      <c r="AH214" s="314"/>
      <c r="AI214" s="314"/>
      <c r="AJ214" s="315" t="s">
        <v>0</v>
      </c>
      <c r="AK214" s="315" t="s">
        <v>0</v>
      </c>
      <c r="AL214" s="316" t="s">
        <v>0</v>
      </c>
      <c r="AT214" s="319"/>
      <c r="AU214" s="319" t="s">
        <v>2531</v>
      </c>
    </row>
    <row r="215" spans="1:51" x14ac:dyDescent="0.25">
      <c r="O215" s="345" t="s">
        <v>2393</v>
      </c>
      <c r="P215" s="347" t="s">
        <v>0</v>
      </c>
      <c r="AA215" s="309"/>
      <c r="AB215" s="321">
        <f>SUMIF(P3:P208,"*04*",AB3:AB208)</f>
        <v>163.20000000000002</v>
      </c>
      <c r="AC215" s="322">
        <f t="shared" si="55"/>
        <v>81.600000000000009</v>
      </c>
      <c r="AD215" s="323">
        <f t="shared" si="56"/>
        <v>4.08</v>
      </c>
      <c r="AE215" s="324">
        <f>SUMIF(P3:P208,"*04*",AE3:AE208)</f>
        <v>170756.38</v>
      </c>
      <c r="AF215" s="314"/>
      <c r="AG215" s="314"/>
      <c r="AH215" s="314"/>
      <c r="AI215" s="314"/>
      <c r="AJ215" s="315">
        <f>SUMIF(P3:P208,"*04*",AJ3:AJ208)</f>
        <v>48494.819999999992</v>
      </c>
      <c r="AK215" s="315">
        <f>SUMIF(P3:P208,"*04*",AK3:AK208)</f>
        <v>30518.62</v>
      </c>
      <c r="AL215" s="325">
        <f>1-(AK215/AJ215)</f>
        <v>0.37068288943025252</v>
      </c>
    </row>
    <row r="216" spans="1:51" x14ac:dyDescent="0.25">
      <c r="O216" s="345" t="s">
        <v>2394</v>
      </c>
      <c r="P216" s="347" t="s">
        <v>0</v>
      </c>
      <c r="AA216" s="309"/>
      <c r="AB216" s="321">
        <f>SUM(
SUMIF(P3:P208,"*02*",AB3:AB208),
SUMIF(P3:P208,"*03*",AB3:AB208),
)</f>
        <v>357.5</v>
      </c>
      <c r="AC216" s="322">
        <f t="shared" si="55"/>
        <v>178.75</v>
      </c>
      <c r="AD216" s="323">
        <f t="shared" si="56"/>
        <v>8.9375</v>
      </c>
      <c r="AE216" s="324">
        <f>SUM(
SUMIF(P3:P208,"*02*",AE3:AE208),
SUMIF(P3:P208,"*03*",AE3:AE208),
)</f>
        <v>480591.7</v>
      </c>
      <c r="AF216" s="314"/>
      <c r="AG216" s="314"/>
      <c r="AH216" s="314"/>
      <c r="AI216" s="314"/>
      <c r="AJ216" s="326" t="s">
        <v>0</v>
      </c>
      <c r="AK216" s="315">
        <f>SUM(
SUMIF(P3:P208,"*02*",AK3:AK208),
SUMIF(P3:P208,"*03*",AK3:AK208),
)</f>
        <v>163473.04</v>
      </c>
      <c r="AL216" s="316" t="s">
        <v>0</v>
      </c>
    </row>
    <row r="217" spans="1:51" x14ac:dyDescent="0.25">
      <c r="O217" s="345" t="s">
        <v>2399</v>
      </c>
      <c r="P217" s="347">
        <f>COUNTIF(P3:P208,"*03*")</f>
        <v>3</v>
      </c>
      <c r="AA217" s="309"/>
      <c r="AB217" s="321">
        <f>SUMIF(P3:P208,"*03*",AB3:AB208)</f>
        <v>40.799999999999997</v>
      </c>
      <c r="AC217" s="327">
        <f t="shared" si="55"/>
        <v>20.399999999999999</v>
      </c>
      <c r="AD217" s="328">
        <f t="shared" si="56"/>
        <v>1.02</v>
      </c>
      <c r="AE217" s="324">
        <f>SUMIF(P3:P208,"*03*",AE3:AE208)</f>
        <v>49379.25</v>
      </c>
      <c r="AF217" s="329"/>
      <c r="AG217" s="329"/>
      <c r="AH217" s="329"/>
      <c r="AI217" s="329"/>
      <c r="AJ217" s="326" t="s">
        <v>0</v>
      </c>
      <c r="AK217" s="326" t="s">
        <v>0</v>
      </c>
      <c r="AL217" s="316" t="s">
        <v>0</v>
      </c>
    </row>
    <row r="218" spans="1:51" x14ac:dyDescent="0.25">
      <c r="P218" s="320"/>
      <c r="AA218" s="309"/>
      <c r="AB218" s="321"/>
      <c r="AC218" s="327"/>
      <c r="AD218" s="328"/>
      <c r="AE218" s="324"/>
      <c r="AF218" s="329"/>
      <c r="AG218" s="329"/>
      <c r="AH218" s="329"/>
      <c r="AI218" s="329"/>
      <c r="AJ218" s="326"/>
      <c r="AK218" s="326"/>
      <c r="AL218" s="316"/>
    </row>
    <row r="219" spans="1:51" x14ac:dyDescent="0.25">
      <c r="O219" s="320" t="s">
        <v>2421</v>
      </c>
      <c r="P219" s="320"/>
      <c r="AR219" s="348" t="s">
        <v>2537</v>
      </c>
      <c r="AS219" s="349" t="s">
        <v>2536</v>
      </c>
      <c r="AT219" s="350" t="s">
        <v>2538</v>
      </c>
      <c r="AU219" s="348" t="s">
        <v>2539</v>
      </c>
      <c r="AV219" s="351" t="s">
        <v>2540</v>
      </c>
      <c r="AW219" s="351"/>
    </row>
    <row r="220" spans="1:51" x14ac:dyDescent="0.25">
      <c r="O220" s="320" t="s">
        <v>2424</v>
      </c>
      <c r="P220" s="320"/>
      <c r="AR220" s="352" t="s">
        <v>2514</v>
      </c>
      <c r="AS220" s="353" t="s">
        <v>2375</v>
      </c>
      <c r="AT220" s="354" t="s">
        <v>2490</v>
      </c>
      <c r="AU220" s="354" t="s">
        <v>2517</v>
      </c>
      <c r="AV220" s="351" t="s">
        <v>2530</v>
      </c>
      <c r="AW220" s="351"/>
    </row>
    <row r="221" spans="1:51" x14ac:dyDescent="0.25">
      <c r="O221" s="320" t="s">
        <v>2423</v>
      </c>
      <c r="P221" s="320"/>
      <c r="AR221" s="352" t="s">
        <v>2098</v>
      </c>
      <c r="AS221" s="353" t="s">
        <v>0</v>
      </c>
      <c r="AT221" s="354"/>
      <c r="AU221" s="354"/>
      <c r="AV221" s="351" t="s">
        <v>1410</v>
      </c>
      <c r="AW221" s="351"/>
    </row>
    <row r="222" spans="1:51" s="331" customFormat="1" x14ac:dyDescent="0.25">
      <c r="A222" s="333"/>
      <c r="B222" s="333"/>
      <c r="C222" s="307"/>
      <c r="D222" s="318"/>
      <c r="E222" s="334"/>
      <c r="F222" s="318"/>
      <c r="G222" s="307"/>
      <c r="H222" s="334"/>
      <c r="I222" s="307"/>
      <c r="J222" s="306"/>
      <c r="K222" s="306"/>
      <c r="L222" s="306"/>
      <c r="M222" s="306"/>
      <c r="N222" s="335"/>
      <c r="O222" s="320" t="s">
        <v>2428</v>
      </c>
      <c r="P222" s="320"/>
      <c r="Q222" s="307"/>
      <c r="R222" s="307"/>
      <c r="S222" s="307"/>
      <c r="T222" s="307"/>
      <c r="U222" s="307"/>
      <c r="V222" s="320"/>
      <c r="W222" s="320"/>
      <c r="X222" s="320"/>
      <c r="Y222" s="320"/>
      <c r="Z222" s="320"/>
      <c r="AA222" s="309"/>
      <c r="AB222" s="336"/>
      <c r="AC222" s="336"/>
      <c r="AD222" s="320"/>
      <c r="AE222" s="337"/>
      <c r="AF222" s="337"/>
      <c r="AG222" s="337"/>
      <c r="AH222" s="337"/>
      <c r="AI222" s="337"/>
      <c r="AJ222" s="337"/>
      <c r="AK222" s="337"/>
      <c r="AL222" s="337"/>
      <c r="AM222" s="337"/>
      <c r="AN222" s="320"/>
      <c r="AO222" s="307"/>
      <c r="AP222" s="307"/>
      <c r="AQ222" s="318"/>
      <c r="AR222" s="352" t="s">
        <v>2427</v>
      </c>
      <c r="AS222" s="353" t="s">
        <v>0</v>
      </c>
      <c r="AT222" s="354"/>
      <c r="AU222" s="354"/>
      <c r="AV222" s="355"/>
      <c r="AW222" s="356"/>
    </row>
    <row r="223" spans="1:51" x14ac:dyDescent="0.25">
      <c r="A223" s="333"/>
      <c r="B223" s="333"/>
      <c r="C223" s="307"/>
      <c r="D223" s="318"/>
      <c r="E223" s="334"/>
      <c r="F223" s="318"/>
      <c r="G223" s="307"/>
      <c r="H223" s="334"/>
      <c r="I223" s="307"/>
      <c r="J223" s="306"/>
      <c r="K223" s="306"/>
      <c r="L223" s="306"/>
      <c r="M223" s="306"/>
      <c r="N223" s="335"/>
      <c r="O223" s="320" t="s">
        <v>23</v>
      </c>
      <c r="P223" s="320"/>
      <c r="Q223" s="307"/>
      <c r="R223" s="307"/>
      <c r="S223" s="307"/>
      <c r="T223" s="307"/>
      <c r="U223" s="307"/>
      <c r="V223" s="320"/>
      <c r="W223" s="320"/>
      <c r="X223" s="320"/>
      <c r="Y223" s="320"/>
      <c r="Z223" s="320"/>
      <c r="AA223" s="309"/>
      <c r="AB223" s="336"/>
      <c r="AC223" s="336"/>
      <c r="AD223" s="320"/>
      <c r="AE223" s="337"/>
      <c r="AF223" s="337"/>
      <c r="AG223" s="337"/>
      <c r="AH223" s="337"/>
      <c r="AI223" s="337"/>
      <c r="AJ223" s="337"/>
      <c r="AK223" s="337"/>
      <c r="AL223" s="337"/>
      <c r="AM223" s="337"/>
      <c r="AN223" s="320"/>
      <c r="AR223" s="357" t="s">
        <v>2519</v>
      </c>
      <c r="AS223" s="349" t="s">
        <v>2376</v>
      </c>
      <c r="AT223" s="358" t="s">
        <v>2491</v>
      </c>
      <c r="AU223" s="359" t="s">
        <v>2493</v>
      </c>
      <c r="AV223" s="355" t="s">
        <v>2532</v>
      </c>
      <c r="AW223" s="355"/>
      <c r="AX223" s="320"/>
      <c r="AY223" s="320"/>
    </row>
    <row r="224" spans="1:51" x14ac:dyDescent="0.25">
      <c r="A224" s="333"/>
      <c r="B224" s="333"/>
      <c r="C224" s="307"/>
      <c r="D224" s="318"/>
      <c r="E224" s="334"/>
      <c r="F224" s="318"/>
      <c r="G224" s="307"/>
      <c r="H224" s="334"/>
      <c r="I224" s="307"/>
      <c r="J224" s="306"/>
      <c r="K224" s="306"/>
      <c r="L224" s="306"/>
      <c r="M224" s="306"/>
      <c r="N224" s="335"/>
      <c r="O224" s="320" t="s">
        <v>2420</v>
      </c>
      <c r="P224" s="320"/>
      <c r="Q224" s="307"/>
      <c r="R224" s="307"/>
      <c r="S224" s="307"/>
      <c r="T224" s="307"/>
      <c r="U224" s="307"/>
      <c r="V224" s="320"/>
      <c r="W224" s="320"/>
      <c r="X224" s="320"/>
      <c r="Y224" s="320"/>
      <c r="Z224" s="320"/>
      <c r="AA224" s="309"/>
      <c r="AB224" s="336"/>
      <c r="AC224" s="336"/>
      <c r="AD224" s="320"/>
      <c r="AE224" s="337"/>
      <c r="AF224" s="337"/>
      <c r="AG224" s="337"/>
      <c r="AH224" s="337"/>
      <c r="AI224" s="337"/>
      <c r="AJ224" s="337"/>
      <c r="AK224" s="337"/>
      <c r="AL224" s="337"/>
      <c r="AM224" s="337"/>
      <c r="AN224" s="320"/>
      <c r="AR224" s="357" t="s">
        <v>2522</v>
      </c>
      <c r="AS224" s="349" t="s">
        <v>2377</v>
      </c>
      <c r="AT224" s="358" t="s">
        <v>2512</v>
      </c>
      <c r="AU224" s="359" t="s">
        <v>2513</v>
      </c>
      <c r="AV224" s="355" t="s">
        <v>2533</v>
      </c>
      <c r="AW224" s="355"/>
      <c r="AX224" s="320"/>
      <c r="AY224" s="320"/>
    </row>
    <row r="225" spans="1:51" x14ac:dyDescent="0.25">
      <c r="A225" s="333"/>
      <c r="B225" s="333"/>
      <c r="C225" s="307"/>
      <c r="D225" s="318"/>
      <c r="E225" s="334"/>
      <c r="F225" s="318"/>
      <c r="G225" s="307"/>
      <c r="H225" s="334"/>
      <c r="I225" s="307"/>
      <c r="J225" s="306"/>
      <c r="K225" s="306"/>
      <c r="L225" s="306"/>
      <c r="M225" s="306"/>
      <c r="N225" s="335"/>
      <c r="P225" s="320"/>
      <c r="Q225" s="307"/>
      <c r="R225" s="307"/>
      <c r="S225" s="307"/>
      <c r="T225" s="307"/>
      <c r="U225" s="307"/>
      <c r="V225" s="320"/>
      <c r="W225" s="320"/>
      <c r="X225" s="320"/>
      <c r="Y225" s="320"/>
      <c r="Z225" s="320"/>
      <c r="AA225" s="309"/>
      <c r="AB225" s="336"/>
      <c r="AC225" s="336"/>
      <c r="AD225" s="320"/>
      <c r="AE225" s="337"/>
      <c r="AF225" s="337"/>
      <c r="AG225" s="337"/>
      <c r="AH225" s="337"/>
      <c r="AI225" s="337"/>
      <c r="AJ225" s="337"/>
      <c r="AK225" s="337"/>
      <c r="AL225" s="337"/>
      <c r="AM225" s="337"/>
      <c r="AN225" s="320"/>
      <c r="AR225" s="357" t="s">
        <v>2529</v>
      </c>
      <c r="AS225" s="349" t="s">
        <v>0</v>
      </c>
      <c r="AT225" s="358"/>
      <c r="AU225" s="359"/>
      <c r="AV225" s="355" t="s">
        <v>1410</v>
      </c>
      <c r="AW225" s="355"/>
      <c r="AX225" s="320"/>
      <c r="AY225" s="320"/>
    </row>
    <row r="226" spans="1:51" x14ac:dyDescent="0.25">
      <c r="A226" s="333"/>
      <c r="B226" s="333"/>
      <c r="C226" s="307"/>
      <c r="D226" s="318"/>
      <c r="E226" s="334"/>
      <c r="F226" s="318"/>
      <c r="G226" s="307"/>
      <c r="H226" s="334"/>
      <c r="I226" s="307"/>
      <c r="J226" s="306"/>
      <c r="K226" s="306"/>
      <c r="L226" s="306"/>
      <c r="M226" s="306"/>
      <c r="N226" s="335"/>
      <c r="P226" s="320"/>
      <c r="Q226" s="307"/>
      <c r="R226" s="307"/>
      <c r="S226" s="307"/>
      <c r="T226" s="307"/>
      <c r="U226" s="307"/>
      <c r="V226" s="320"/>
      <c r="W226" s="320"/>
      <c r="X226" s="320"/>
      <c r="Y226" s="320"/>
      <c r="Z226" s="320"/>
      <c r="AA226" s="309"/>
      <c r="AB226" s="336"/>
      <c r="AC226" s="336"/>
      <c r="AD226" s="320"/>
      <c r="AE226" s="337"/>
      <c r="AF226" s="337"/>
      <c r="AG226" s="337"/>
      <c r="AH226" s="337"/>
      <c r="AI226" s="337"/>
      <c r="AJ226" s="337"/>
      <c r="AK226" s="337"/>
      <c r="AL226" s="337"/>
      <c r="AM226" s="337"/>
      <c r="AN226" s="320"/>
      <c r="AR226" s="357" t="s">
        <v>2518</v>
      </c>
      <c r="AS226" s="349" t="s">
        <v>2378</v>
      </c>
      <c r="AT226" s="354" t="s">
        <v>2492</v>
      </c>
      <c r="AU226" s="359" t="s">
        <v>2501</v>
      </c>
      <c r="AV226" s="355" t="s">
        <v>2534</v>
      </c>
      <c r="AW226" s="355"/>
      <c r="AX226" s="320"/>
      <c r="AY226" s="320"/>
    </row>
    <row r="227" spans="1:51" x14ac:dyDescent="0.25">
      <c r="A227" s="333"/>
      <c r="B227" s="333"/>
      <c r="C227" s="307"/>
      <c r="D227" s="318"/>
      <c r="E227" s="334"/>
      <c r="F227" s="318"/>
      <c r="G227" s="307"/>
      <c r="H227" s="334"/>
      <c r="I227" s="307"/>
      <c r="J227" s="306"/>
      <c r="K227" s="306"/>
      <c r="L227" s="306"/>
      <c r="M227" s="306"/>
      <c r="N227" s="335"/>
      <c r="P227" s="320"/>
      <c r="Q227" s="307"/>
      <c r="R227" s="307"/>
      <c r="S227" s="307"/>
      <c r="T227" s="307"/>
      <c r="U227" s="307"/>
      <c r="V227" s="320"/>
      <c r="W227" s="320"/>
      <c r="X227" s="320"/>
      <c r="Y227" s="320"/>
      <c r="Z227" s="320"/>
      <c r="AA227" s="309"/>
      <c r="AB227" s="336"/>
      <c r="AC227" s="336"/>
      <c r="AD227" s="320"/>
      <c r="AE227" s="337"/>
      <c r="AF227" s="337"/>
      <c r="AG227" s="337"/>
      <c r="AH227" s="337"/>
      <c r="AI227" s="337"/>
      <c r="AJ227" s="337"/>
      <c r="AK227" s="337"/>
      <c r="AL227" s="337"/>
      <c r="AM227" s="337"/>
      <c r="AN227" s="320"/>
      <c r="AR227" s="357" t="s">
        <v>2521</v>
      </c>
      <c r="AS227" s="349" t="s">
        <v>2379</v>
      </c>
      <c r="AT227" s="354" t="s">
        <v>2510</v>
      </c>
      <c r="AU227" s="359" t="s">
        <v>2506</v>
      </c>
      <c r="AV227" s="355" t="s">
        <v>1410</v>
      </c>
      <c r="AW227" s="355"/>
      <c r="AX227" s="320"/>
      <c r="AY227" s="320"/>
    </row>
    <row r="228" spans="1:51" x14ac:dyDescent="0.25">
      <c r="A228" s="333"/>
      <c r="B228" s="333"/>
      <c r="C228" s="307"/>
      <c r="D228" s="318"/>
      <c r="E228" s="334"/>
      <c r="F228" s="318"/>
      <c r="G228" s="307"/>
      <c r="H228" s="334"/>
      <c r="I228" s="307"/>
      <c r="J228" s="306"/>
      <c r="K228" s="306"/>
      <c r="L228" s="306"/>
      <c r="M228" s="306"/>
      <c r="N228" s="335"/>
      <c r="P228" s="320"/>
      <c r="Q228" s="307"/>
      <c r="R228" s="307"/>
      <c r="S228" s="307"/>
      <c r="T228" s="307"/>
      <c r="U228" s="307"/>
      <c r="V228" s="320"/>
      <c r="W228" s="320"/>
      <c r="X228" s="320"/>
      <c r="Y228" s="320"/>
      <c r="Z228" s="320"/>
      <c r="AA228" s="309"/>
      <c r="AB228" s="336"/>
      <c r="AC228" s="336"/>
      <c r="AD228" s="320"/>
      <c r="AE228" s="337"/>
      <c r="AF228" s="337"/>
      <c r="AG228" s="337"/>
      <c r="AH228" s="337"/>
      <c r="AI228" s="337"/>
      <c r="AJ228" s="337"/>
      <c r="AK228" s="337"/>
      <c r="AL228" s="337"/>
      <c r="AM228" s="337"/>
      <c r="AN228" s="320"/>
      <c r="AR228" s="357" t="s">
        <v>2520</v>
      </c>
      <c r="AS228" s="349" t="s">
        <v>2380</v>
      </c>
      <c r="AT228" s="354" t="s">
        <v>2496</v>
      </c>
      <c r="AU228" s="359" t="s">
        <v>2502</v>
      </c>
      <c r="AV228" s="355" t="s">
        <v>1410</v>
      </c>
      <c r="AW228" s="355"/>
      <c r="AX228" s="320"/>
      <c r="AY228" s="320"/>
    </row>
    <row r="229" spans="1:51" x14ac:dyDescent="0.25">
      <c r="A229" s="339"/>
      <c r="B229" s="339"/>
      <c r="C229" s="340"/>
      <c r="D229" s="332"/>
      <c r="E229" s="341"/>
      <c r="F229" s="332"/>
      <c r="G229" s="340"/>
      <c r="H229" s="341"/>
      <c r="I229" s="340"/>
      <c r="J229" s="342"/>
      <c r="K229" s="342"/>
      <c r="L229" s="342"/>
      <c r="M229" s="342"/>
      <c r="N229" s="335"/>
      <c r="O229" s="342"/>
      <c r="P229" s="320"/>
      <c r="Q229" s="340"/>
      <c r="R229" s="340"/>
      <c r="S229" s="340"/>
      <c r="T229" s="340"/>
      <c r="U229" s="340"/>
      <c r="V229" s="320"/>
      <c r="W229" s="320"/>
      <c r="X229" s="320"/>
      <c r="Y229" s="320"/>
      <c r="Z229" s="320"/>
      <c r="AA229" s="309"/>
      <c r="AB229" s="336"/>
      <c r="AC229" s="336"/>
      <c r="AD229" s="320"/>
      <c r="AE229" s="337"/>
      <c r="AF229" s="337"/>
      <c r="AG229" s="337"/>
      <c r="AH229" s="337"/>
      <c r="AI229" s="337"/>
      <c r="AJ229" s="337"/>
      <c r="AK229" s="337"/>
      <c r="AL229" s="337"/>
      <c r="AM229" s="337"/>
      <c r="AN229" s="320"/>
      <c r="AR229" s="357" t="s">
        <v>2527</v>
      </c>
      <c r="AS229" s="349" t="s">
        <v>0</v>
      </c>
      <c r="AT229" s="354"/>
      <c r="AU229" s="359"/>
      <c r="AV229" s="355" t="s">
        <v>1410</v>
      </c>
      <c r="AW229" s="355"/>
      <c r="AX229" s="320"/>
      <c r="AY229" s="320"/>
    </row>
    <row r="230" spans="1:51" x14ac:dyDescent="0.25">
      <c r="A230" s="339"/>
      <c r="B230" s="339"/>
      <c r="C230" s="340"/>
      <c r="D230" s="332"/>
      <c r="E230" s="341"/>
      <c r="F230" s="332"/>
      <c r="G230" s="340"/>
      <c r="H230" s="341"/>
      <c r="I230" s="340"/>
      <c r="J230" s="342"/>
      <c r="K230" s="342"/>
      <c r="L230" s="342"/>
      <c r="M230" s="342"/>
      <c r="N230" s="335"/>
      <c r="O230" s="342"/>
      <c r="P230" s="320"/>
      <c r="Q230" s="340"/>
      <c r="R230" s="340"/>
      <c r="S230" s="340"/>
      <c r="T230" s="340"/>
      <c r="U230" s="340"/>
      <c r="V230" s="320"/>
      <c r="W230" s="320"/>
      <c r="X230" s="320"/>
      <c r="Y230" s="320"/>
      <c r="Z230" s="320"/>
      <c r="AA230" s="309"/>
      <c r="AB230" s="336"/>
      <c r="AC230" s="336"/>
      <c r="AD230" s="320"/>
      <c r="AE230" s="337"/>
      <c r="AF230" s="337"/>
      <c r="AG230" s="337"/>
      <c r="AH230" s="337"/>
      <c r="AI230" s="337"/>
      <c r="AJ230" s="337"/>
      <c r="AK230" s="337"/>
      <c r="AL230" s="337"/>
      <c r="AM230" s="337"/>
      <c r="AN230" s="320"/>
      <c r="AR230" s="357" t="s">
        <v>2528</v>
      </c>
      <c r="AS230" s="349" t="s">
        <v>0</v>
      </c>
      <c r="AT230" s="354"/>
      <c r="AU230" s="359"/>
      <c r="AV230" s="355" t="s">
        <v>1410</v>
      </c>
      <c r="AW230" s="355"/>
      <c r="AX230" s="320"/>
      <c r="AY230" s="320"/>
    </row>
    <row r="231" spans="1:51" x14ac:dyDescent="0.25">
      <c r="A231" s="339"/>
      <c r="B231" s="339"/>
      <c r="C231" s="340"/>
      <c r="D231" s="332"/>
      <c r="E231" s="341"/>
      <c r="F231" s="332"/>
      <c r="G231" s="340"/>
      <c r="H231" s="341"/>
      <c r="I231" s="340"/>
      <c r="J231" s="342"/>
      <c r="K231" s="342"/>
      <c r="L231" s="342"/>
      <c r="M231" s="342"/>
      <c r="N231" s="335"/>
      <c r="O231" s="342"/>
      <c r="P231" s="320"/>
      <c r="Q231" s="340"/>
      <c r="R231" s="340"/>
      <c r="S231" s="340"/>
      <c r="T231" s="340"/>
      <c r="U231" s="340"/>
      <c r="V231" s="320"/>
      <c r="W231" s="320"/>
      <c r="X231" s="320"/>
      <c r="Y231" s="320"/>
      <c r="Z231" s="320"/>
      <c r="AA231" s="309"/>
      <c r="AB231" s="336"/>
      <c r="AC231" s="336"/>
      <c r="AD231" s="320"/>
      <c r="AE231" s="337"/>
      <c r="AF231" s="337"/>
      <c r="AG231" s="337"/>
      <c r="AH231" s="337"/>
      <c r="AI231" s="337"/>
      <c r="AJ231" s="337"/>
      <c r="AK231" s="337"/>
      <c r="AL231" s="337"/>
      <c r="AM231" s="337"/>
      <c r="AN231" s="320"/>
      <c r="AR231" s="357" t="s">
        <v>2524</v>
      </c>
      <c r="AS231" s="349" t="s">
        <v>2495</v>
      </c>
      <c r="AT231" s="354" t="s">
        <v>2494</v>
      </c>
      <c r="AU231" s="359" t="s">
        <v>2523</v>
      </c>
      <c r="AV231" s="355" t="s">
        <v>1410</v>
      </c>
      <c r="AW231" s="355"/>
      <c r="AX231" s="320"/>
      <c r="AY231" s="320"/>
    </row>
    <row r="232" spans="1:51" x14ac:dyDescent="0.25">
      <c r="A232" s="339"/>
      <c r="B232" s="339"/>
      <c r="C232" s="340"/>
      <c r="D232" s="332"/>
      <c r="E232" s="341"/>
      <c r="F232" s="332"/>
      <c r="G232" s="340"/>
      <c r="H232" s="341"/>
      <c r="I232" s="340"/>
      <c r="J232" s="342"/>
      <c r="K232" s="342"/>
      <c r="L232" s="342"/>
      <c r="M232" s="342"/>
      <c r="N232" s="335"/>
      <c r="O232" s="342"/>
      <c r="P232" s="320"/>
      <c r="Q232" s="340"/>
      <c r="R232" s="340"/>
      <c r="S232" s="340"/>
      <c r="T232" s="340"/>
      <c r="U232" s="340"/>
      <c r="V232" s="320"/>
      <c r="W232" s="320"/>
      <c r="X232" s="320"/>
      <c r="Y232" s="320"/>
      <c r="Z232" s="320"/>
      <c r="AA232" s="309"/>
      <c r="AB232" s="336"/>
      <c r="AC232" s="336"/>
      <c r="AD232" s="320"/>
      <c r="AE232" s="337"/>
      <c r="AF232" s="337"/>
      <c r="AG232" s="337"/>
      <c r="AH232" s="337"/>
      <c r="AI232" s="337"/>
      <c r="AJ232" s="337"/>
      <c r="AK232" s="337"/>
      <c r="AL232" s="337"/>
      <c r="AM232" s="337"/>
      <c r="AN232" s="320"/>
      <c r="AR232" s="357" t="s">
        <v>2525</v>
      </c>
      <c r="AS232" s="349" t="s">
        <v>2497</v>
      </c>
      <c r="AT232" s="354" t="s">
        <v>2509</v>
      </c>
      <c r="AU232" s="359" t="s">
        <v>2507</v>
      </c>
      <c r="AV232" s="355" t="s">
        <v>1410</v>
      </c>
      <c r="AW232" s="355"/>
      <c r="AX232" s="320"/>
      <c r="AY232" s="320"/>
    </row>
    <row r="233" spans="1:51" x14ac:dyDescent="0.25">
      <c r="A233" s="339"/>
      <c r="B233" s="339"/>
      <c r="C233" s="340"/>
      <c r="D233" s="332"/>
      <c r="E233" s="341"/>
      <c r="F233" s="332"/>
      <c r="G233" s="340"/>
      <c r="H233" s="341"/>
      <c r="I233" s="340"/>
      <c r="J233" s="342"/>
      <c r="K233" s="342"/>
      <c r="L233" s="342"/>
      <c r="M233" s="342"/>
      <c r="N233" s="335"/>
      <c r="O233" s="342"/>
      <c r="P233" s="320"/>
      <c r="Q233" s="340"/>
      <c r="R233" s="340"/>
      <c r="S233" s="340"/>
      <c r="T233" s="340"/>
      <c r="U233" s="340"/>
      <c r="V233" s="320"/>
      <c r="W233" s="320"/>
      <c r="X233" s="320"/>
      <c r="Y233" s="320"/>
      <c r="Z233" s="320"/>
      <c r="AA233" s="309"/>
      <c r="AB233" s="336"/>
      <c r="AC233" s="336"/>
      <c r="AD233" s="320"/>
      <c r="AE233" s="337"/>
      <c r="AF233" s="337"/>
      <c r="AG233" s="337"/>
      <c r="AH233" s="337"/>
      <c r="AI233" s="337"/>
      <c r="AJ233" s="337"/>
      <c r="AK233" s="337"/>
      <c r="AL233" s="337"/>
      <c r="AM233" s="337"/>
      <c r="AN233" s="320"/>
      <c r="AR233" s="357" t="s">
        <v>2526</v>
      </c>
      <c r="AS233" s="349" t="s">
        <v>2500</v>
      </c>
      <c r="AT233" s="354" t="s">
        <v>2511</v>
      </c>
      <c r="AU233" s="359" t="s">
        <v>2503</v>
      </c>
      <c r="AV233" s="355" t="s">
        <v>1410</v>
      </c>
      <c r="AW233" s="355"/>
      <c r="AX233" s="320"/>
      <c r="AY233" s="320"/>
    </row>
    <row r="234" spans="1:51" x14ac:dyDescent="0.25">
      <c r="A234" s="333"/>
      <c r="B234" s="333"/>
      <c r="C234" s="307"/>
      <c r="D234" s="318"/>
      <c r="E234" s="334"/>
      <c r="F234" s="318"/>
      <c r="G234" s="307"/>
      <c r="H234" s="334"/>
      <c r="I234" s="307"/>
      <c r="J234" s="306"/>
      <c r="K234" s="306"/>
      <c r="L234" s="306"/>
      <c r="M234" s="306"/>
      <c r="N234" s="335"/>
      <c r="P234" s="320"/>
      <c r="Q234" s="307"/>
      <c r="R234" s="307"/>
      <c r="S234" s="307"/>
      <c r="T234" s="307"/>
      <c r="U234" s="307"/>
      <c r="V234" s="320"/>
      <c r="W234" s="320"/>
      <c r="X234" s="320"/>
      <c r="Y234" s="320"/>
      <c r="Z234" s="320"/>
      <c r="AA234" s="309"/>
      <c r="AB234" s="336"/>
      <c r="AC234" s="336"/>
      <c r="AD234" s="320"/>
      <c r="AE234" s="337"/>
      <c r="AF234" s="337"/>
      <c r="AG234" s="337"/>
      <c r="AH234" s="337"/>
      <c r="AI234" s="337"/>
      <c r="AJ234" s="337"/>
      <c r="AK234" s="337"/>
      <c r="AL234" s="337"/>
      <c r="AM234" s="337"/>
      <c r="AN234" s="320"/>
      <c r="AR234" s="357" t="s">
        <v>2099</v>
      </c>
      <c r="AS234" s="349" t="s">
        <v>0</v>
      </c>
      <c r="AT234" s="354"/>
      <c r="AU234" s="359"/>
      <c r="AV234" s="355" t="s">
        <v>1410</v>
      </c>
      <c r="AW234" s="355"/>
      <c r="AX234" s="320"/>
      <c r="AY234" s="320"/>
    </row>
    <row r="235" spans="1:51" x14ac:dyDescent="0.25">
      <c r="A235" s="333"/>
      <c r="B235" s="333"/>
      <c r="C235" s="307"/>
      <c r="D235" s="318"/>
      <c r="E235" s="334"/>
      <c r="F235" s="318"/>
      <c r="G235" s="307"/>
      <c r="H235" s="334"/>
      <c r="I235" s="307"/>
      <c r="J235" s="306"/>
      <c r="K235" s="306"/>
      <c r="L235" s="306"/>
      <c r="M235" s="306"/>
      <c r="N235" s="335"/>
      <c r="P235" s="320"/>
      <c r="Q235" s="307"/>
      <c r="R235" s="307"/>
      <c r="S235" s="307"/>
      <c r="T235" s="307"/>
      <c r="U235" s="307"/>
      <c r="V235" s="320"/>
      <c r="W235" s="320"/>
      <c r="X235" s="320"/>
      <c r="Y235" s="320"/>
      <c r="Z235" s="320"/>
      <c r="AA235" s="309"/>
      <c r="AB235" s="336"/>
      <c r="AC235" s="336"/>
      <c r="AD235" s="320"/>
      <c r="AE235" s="337"/>
      <c r="AF235" s="337"/>
      <c r="AG235" s="337"/>
      <c r="AH235" s="337"/>
      <c r="AI235" s="337"/>
      <c r="AJ235" s="337"/>
      <c r="AK235" s="337"/>
      <c r="AL235" s="337"/>
      <c r="AM235" s="337"/>
      <c r="AN235" s="320"/>
      <c r="AR235" s="357" t="s">
        <v>2100</v>
      </c>
      <c r="AS235" s="349" t="s">
        <v>0</v>
      </c>
      <c r="AT235" s="354"/>
      <c r="AU235" s="359"/>
      <c r="AV235" s="355" t="s">
        <v>1410</v>
      </c>
      <c r="AW235" s="355"/>
      <c r="AX235" s="320"/>
      <c r="AY235" s="320"/>
    </row>
    <row r="236" spans="1:51" x14ac:dyDescent="0.25">
      <c r="A236" s="339"/>
      <c r="B236" s="339"/>
      <c r="C236" s="340"/>
      <c r="D236" s="332"/>
      <c r="E236" s="341"/>
      <c r="F236" s="332"/>
      <c r="G236" s="340"/>
      <c r="H236" s="341"/>
      <c r="I236" s="340"/>
      <c r="J236" s="342"/>
      <c r="K236" s="342"/>
      <c r="L236" s="342"/>
      <c r="M236" s="342"/>
      <c r="N236" s="335"/>
      <c r="O236" s="342"/>
      <c r="P236" s="320"/>
      <c r="Q236" s="340"/>
      <c r="R236" s="340"/>
      <c r="S236" s="340"/>
      <c r="T236" s="340"/>
      <c r="U236" s="340"/>
      <c r="V236" s="320"/>
      <c r="W236" s="320"/>
      <c r="X236" s="320"/>
      <c r="Y236" s="320"/>
      <c r="Z236" s="320"/>
      <c r="AA236" s="309"/>
      <c r="AB236" s="336"/>
      <c r="AC236" s="336"/>
      <c r="AD236" s="320"/>
      <c r="AE236" s="337"/>
      <c r="AF236" s="337"/>
      <c r="AG236" s="337"/>
      <c r="AH236" s="337"/>
      <c r="AI236" s="337"/>
      <c r="AJ236" s="337"/>
      <c r="AK236" s="337"/>
      <c r="AL236" s="337"/>
      <c r="AM236" s="337"/>
      <c r="AN236" s="320"/>
      <c r="AR236" s="357" t="s">
        <v>2107</v>
      </c>
      <c r="AS236" s="349" t="s">
        <v>0</v>
      </c>
      <c r="AT236" s="354"/>
      <c r="AU236" s="359"/>
      <c r="AV236" s="355" t="s">
        <v>1410</v>
      </c>
      <c r="AW236" s="355"/>
      <c r="AX236" s="320"/>
      <c r="AY236" s="320"/>
    </row>
    <row r="237" spans="1:51" x14ac:dyDescent="0.25">
      <c r="A237" s="333"/>
      <c r="B237" s="333"/>
      <c r="C237" s="307"/>
      <c r="D237" s="318"/>
      <c r="E237" s="334"/>
      <c r="F237" s="318"/>
      <c r="G237" s="307"/>
      <c r="H237" s="334"/>
      <c r="I237" s="307"/>
      <c r="J237" s="306"/>
      <c r="K237" s="306"/>
      <c r="L237" s="306"/>
      <c r="M237" s="306"/>
      <c r="N237" s="335"/>
      <c r="P237" s="320"/>
      <c r="Q237" s="307"/>
      <c r="R237" s="307"/>
      <c r="S237" s="307"/>
      <c r="T237" s="307"/>
      <c r="U237" s="307"/>
      <c r="V237" s="320"/>
      <c r="W237" s="320"/>
      <c r="X237" s="320"/>
      <c r="Y237" s="320"/>
      <c r="Z237" s="320"/>
      <c r="AA237" s="309"/>
      <c r="AB237" s="336"/>
      <c r="AC237" s="336"/>
      <c r="AD237" s="320"/>
      <c r="AE237" s="337"/>
      <c r="AF237" s="337"/>
      <c r="AG237" s="337"/>
      <c r="AH237" s="337"/>
      <c r="AI237" s="337"/>
      <c r="AJ237" s="337"/>
      <c r="AK237" s="337"/>
      <c r="AL237" s="337"/>
      <c r="AM237" s="337"/>
      <c r="AN237" s="320"/>
      <c r="AR237" s="360" t="s">
        <v>2489</v>
      </c>
      <c r="AS237" s="349"/>
      <c r="AT237" s="351" t="s">
        <v>2488</v>
      </c>
      <c r="AU237" s="359" t="s">
        <v>2382</v>
      </c>
      <c r="AV237" s="355" t="s">
        <v>1410</v>
      </c>
      <c r="AW237" s="355"/>
      <c r="AX237" s="320"/>
      <c r="AY237" s="320"/>
    </row>
    <row r="238" spans="1:51" x14ac:dyDescent="0.25">
      <c r="A238" s="333"/>
      <c r="B238" s="333"/>
      <c r="C238" s="307"/>
      <c r="D238" s="318"/>
      <c r="E238" s="334"/>
      <c r="F238" s="318"/>
      <c r="G238" s="307"/>
      <c r="H238" s="334"/>
      <c r="I238" s="307"/>
      <c r="J238" s="306"/>
      <c r="K238" s="306"/>
      <c r="L238" s="306"/>
      <c r="M238" s="306"/>
      <c r="N238" s="335"/>
      <c r="P238" s="320"/>
      <c r="Q238" s="307"/>
      <c r="R238" s="307"/>
      <c r="S238" s="307"/>
      <c r="T238" s="307"/>
      <c r="U238" s="307"/>
      <c r="V238" s="320"/>
      <c r="W238" s="320"/>
      <c r="X238" s="320"/>
      <c r="Y238" s="320"/>
      <c r="Z238" s="320"/>
      <c r="AA238" s="309"/>
      <c r="AB238" s="336"/>
      <c r="AC238" s="336"/>
      <c r="AD238" s="320"/>
      <c r="AE238" s="337"/>
      <c r="AF238" s="337"/>
      <c r="AG238" s="337"/>
      <c r="AH238" s="337"/>
      <c r="AI238" s="337"/>
      <c r="AJ238" s="337"/>
      <c r="AK238" s="337"/>
      <c r="AL238" s="337"/>
      <c r="AM238" s="337"/>
      <c r="AN238" s="320"/>
      <c r="AO238" s="320"/>
      <c r="AP238" s="343"/>
      <c r="AQ238" s="320"/>
      <c r="AR238" s="320"/>
      <c r="AS238" s="343"/>
      <c r="AT238" s="320"/>
      <c r="AU238" s="320"/>
      <c r="AV238" s="338"/>
      <c r="AW238" s="338"/>
      <c r="AX238" s="320"/>
      <c r="AY238" s="320"/>
    </row>
    <row r="239" spans="1:51" x14ac:dyDescent="0.25">
      <c r="A239" s="333"/>
      <c r="B239" s="333"/>
      <c r="C239" s="307"/>
      <c r="D239" s="318"/>
      <c r="E239" s="334"/>
      <c r="F239" s="318"/>
      <c r="G239" s="307"/>
      <c r="H239" s="334"/>
      <c r="I239" s="307"/>
      <c r="J239" s="306"/>
      <c r="K239" s="306"/>
      <c r="L239" s="306"/>
      <c r="M239" s="306"/>
      <c r="N239" s="335"/>
      <c r="P239" s="320"/>
      <c r="Q239" s="307"/>
      <c r="R239" s="307"/>
      <c r="S239" s="307"/>
      <c r="T239" s="307"/>
      <c r="U239" s="307"/>
      <c r="V239" s="320"/>
      <c r="W239" s="320"/>
      <c r="X239" s="320"/>
      <c r="Y239" s="320"/>
      <c r="Z239" s="320"/>
      <c r="AA239" s="309"/>
      <c r="AB239" s="336"/>
      <c r="AC239" s="336"/>
      <c r="AD239" s="320"/>
      <c r="AE239" s="337"/>
      <c r="AF239" s="337"/>
      <c r="AG239" s="337"/>
      <c r="AH239" s="337"/>
      <c r="AI239" s="337"/>
      <c r="AJ239" s="337"/>
      <c r="AK239" s="337"/>
      <c r="AL239" s="337"/>
      <c r="AM239" s="337"/>
      <c r="AN239" s="320"/>
      <c r="AO239" s="320"/>
      <c r="AP239" s="343"/>
      <c r="AQ239" s="320"/>
      <c r="AR239" s="320"/>
      <c r="AS239" s="343"/>
      <c r="AT239" s="320"/>
      <c r="AU239" s="320"/>
      <c r="AV239" s="338"/>
      <c r="AW239" s="338"/>
      <c r="AX239" s="320"/>
      <c r="AY239" s="320"/>
    </row>
    <row r="240" spans="1:51" x14ac:dyDescent="0.25">
      <c r="A240" s="333"/>
      <c r="B240" s="333"/>
      <c r="C240" s="307"/>
      <c r="D240" s="318"/>
      <c r="E240" s="334"/>
      <c r="F240" s="318"/>
      <c r="G240" s="307"/>
      <c r="H240" s="334"/>
      <c r="I240" s="307"/>
      <c r="J240" s="306"/>
      <c r="K240" s="306"/>
      <c r="L240" s="306"/>
      <c r="M240" s="306"/>
      <c r="N240" s="335"/>
      <c r="P240" s="320"/>
      <c r="Q240" s="307"/>
      <c r="R240" s="307"/>
      <c r="S240" s="307"/>
      <c r="T240" s="307"/>
      <c r="U240" s="307"/>
      <c r="V240" s="320"/>
      <c r="W240" s="320"/>
      <c r="X240" s="320"/>
      <c r="Y240" s="320"/>
      <c r="Z240" s="320"/>
      <c r="AA240" s="309"/>
      <c r="AB240" s="336"/>
      <c r="AC240" s="336"/>
      <c r="AD240" s="320"/>
      <c r="AE240" s="337"/>
      <c r="AF240" s="337"/>
      <c r="AG240" s="337"/>
      <c r="AH240" s="337"/>
      <c r="AI240" s="337"/>
      <c r="AJ240" s="337"/>
      <c r="AK240" s="337"/>
      <c r="AL240" s="337"/>
      <c r="AM240" s="337"/>
      <c r="AN240" s="320"/>
      <c r="AO240" s="320"/>
      <c r="AP240" s="343"/>
      <c r="AQ240" s="320"/>
      <c r="AR240" s="320"/>
      <c r="AS240" s="343"/>
      <c r="AT240" s="320"/>
      <c r="AU240" s="320"/>
      <c r="AV240" s="338"/>
      <c r="AW240" s="338"/>
      <c r="AX240" s="320"/>
      <c r="AY240" s="320"/>
    </row>
    <row r="241" spans="1:51" x14ac:dyDescent="0.25">
      <c r="A241" s="333"/>
      <c r="B241" s="333"/>
      <c r="C241" s="307"/>
      <c r="D241" s="318"/>
      <c r="E241" s="334"/>
      <c r="F241" s="318"/>
      <c r="G241" s="307"/>
      <c r="H241" s="334"/>
      <c r="I241" s="307"/>
      <c r="J241" s="306"/>
      <c r="K241" s="306"/>
      <c r="L241" s="306"/>
      <c r="M241" s="306"/>
      <c r="N241" s="335"/>
      <c r="P241" s="320"/>
      <c r="Q241" s="307"/>
      <c r="R241" s="307"/>
      <c r="S241" s="307"/>
      <c r="T241" s="307"/>
      <c r="U241" s="307"/>
      <c r="V241" s="320"/>
      <c r="W241" s="320"/>
      <c r="X241" s="320"/>
      <c r="Y241" s="320"/>
      <c r="Z241" s="320"/>
      <c r="AA241" s="309"/>
      <c r="AB241" s="336"/>
      <c r="AC241" s="336"/>
      <c r="AD241" s="320"/>
      <c r="AE241" s="337"/>
      <c r="AF241" s="337"/>
      <c r="AG241" s="337"/>
      <c r="AH241" s="337"/>
      <c r="AI241" s="337"/>
      <c r="AJ241" s="337"/>
      <c r="AK241" s="337"/>
      <c r="AL241" s="337"/>
      <c r="AM241" s="337"/>
      <c r="AN241" s="320"/>
      <c r="AO241" s="320"/>
      <c r="AP241" s="343"/>
      <c r="AQ241" s="320"/>
      <c r="AR241" s="320"/>
      <c r="AS241" s="343"/>
      <c r="AT241" s="320"/>
      <c r="AU241" s="320"/>
      <c r="AV241" s="338"/>
      <c r="AW241" s="338"/>
      <c r="AX241" s="320"/>
      <c r="AY241" s="320"/>
    </row>
    <row r="242" spans="1:51" x14ac:dyDescent="0.25">
      <c r="A242" s="333"/>
      <c r="B242" s="333"/>
      <c r="C242" s="307"/>
      <c r="D242" s="318" t="s">
        <v>0</v>
      </c>
      <c r="E242" s="334" t="s">
        <v>0</v>
      </c>
      <c r="F242" s="318" t="s">
        <v>0</v>
      </c>
      <c r="G242" s="307" t="s">
        <v>0</v>
      </c>
      <c r="H242" s="334" t="s">
        <v>0</v>
      </c>
      <c r="I242" s="307" t="s">
        <v>0</v>
      </c>
      <c r="J242" s="306"/>
      <c r="K242" s="306"/>
      <c r="L242" s="306"/>
      <c r="M242" s="306"/>
      <c r="N242" s="335"/>
      <c r="P242" s="320"/>
      <c r="Q242" s="307"/>
      <c r="R242" s="307"/>
      <c r="S242" s="307"/>
      <c r="T242" s="307"/>
      <c r="U242" s="307"/>
      <c r="V242" s="320"/>
      <c r="W242" s="320"/>
      <c r="X242" s="320"/>
      <c r="Y242" s="320"/>
      <c r="Z242" s="320"/>
      <c r="AA242" s="309"/>
      <c r="AB242" s="336"/>
      <c r="AC242" s="336"/>
      <c r="AD242" s="320"/>
      <c r="AE242" s="337"/>
      <c r="AF242" s="337"/>
      <c r="AG242" s="337"/>
      <c r="AH242" s="337"/>
      <c r="AI242" s="337"/>
      <c r="AJ242" s="337"/>
      <c r="AK242" s="337"/>
      <c r="AL242" s="337"/>
      <c r="AM242" s="337"/>
      <c r="AN242" s="320"/>
      <c r="AO242" s="320"/>
      <c r="AP242" s="343"/>
      <c r="AQ242" s="320"/>
      <c r="AR242" s="320"/>
      <c r="AS242" s="343"/>
      <c r="AT242" s="320"/>
      <c r="AU242" s="320"/>
      <c r="AV242" s="338"/>
      <c r="AW242" s="338"/>
      <c r="AX242" s="320"/>
      <c r="AY242" s="320"/>
    </row>
    <row r="243" spans="1:51" x14ac:dyDescent="0.25">
      <c r="A243" s="333"/>
      <c r="B243" s="333"/>
      <c r="C243" s="307"/>
      <c r="D243" s="318" t="s">
        <v>0</v>
      </c>
      <c r="E243" s="334" t="s">
        <v>0</v>
      </c>
      <c r="F243" s="318" t="s">
        <v>0</v>
      </c>
      <c r="G243" s="307" t="s">
        <v>0</v>
      </c>
      <c r="H243" s="334" t="s">
        <v>0</v>
      </c>
      <c r="I243" s="307" t="s">
        <v>0</v>
      </c>
      <c r="J243" s="306"/>
      <c r="K243" s="306"/>
      <c r="L243" s="306"/>
      <c r="M243" s="306"/>
      <c r="N243" s="335"/>
      <c r="P243" s="320"/>
      <c r="Q243" s="307"/>
      <c r="R243" s="307"/>
      <c r="S243" s="307"/>
      <c r="T243" s="307"/>
      <c r="U243" s="307"/>
      <c r="V243" s="320"/>
      <c r="W243" s="320"/>
      <c r="X243" s="320"/>
      <c r="Y243" s="320"/>
      <c r="Z243" s="320"/>
      <c r="AA243" s="309"/>
      <c r="AB243" s="336"/>
      <c r="AC243" s="336"/>
      <c r="AD243" s="320"/>
      <c r="AE243" s="337"/>
      <c r="AF243" s="337"/>
      <c r="AG243" s="337"/>
      <c r="AH243" s="337"/>
      <c r="AI243" s="337"/>
      <c r="AJ243" s="337"/>
      <c r="AK243" s="337"/>
      <c r="AL243" s="337"/>
      <c r="AM243" s="337"/>
      <c r="AN243" s="320"/>
      <c r="AO243" s="320"/>
      <c r="AP243" s="343"/>
      <c r="AQ243" s="320"/>
      <c r="AR243" s="320"/>
      <c r="AS243" s="343"/>
      <c r="AT243" s="320"/>
      <c r="AU243" s="320"/>
      <c r="AV243" s="338"/>
      <c r="AW243" s="338"/>
      <c r="AX243" s="320"/>
      <c r="AY243" s="320"/>
    </row>
    <row r="244" spans="1:51" x14ac:dyDescent="0.25">
      <c r="A244" s="333"/>
      <c r="B244" s="333"/>
      <c r="C244" s="307"/>
      <c r="D244" s="318" t="s">
        <v>0</v>
      </c>
      <c r="E244" s="334" t="s">
        <v>0</v>
      </c>
      <c r="F244" s="318" t="s">
        <v>0</v>
      </c>
      <c r="G244" s="307" t="s">
        <v>0</v>
      </c>
      <c r="H244" s="334" t="s">
        <v>0</v>
      </c>
      <c r="I244" s="307" t="s">
        <v>0</v>
      </c>
      <c r="J244" s="306"/>
      <c r="K244" s="306"/>
      <c r="L244" s="306"/>
      <c r="M244" s="306"/>
      <c r="N244" s="335"/>
      <c r="P244" s="320"/>
      <c r="Q244" s="307"/>
      <c r="R244" s="307"/>
      <c r="S244" s="307"/>
      <c r="T244" s="307"/>
      <c r="U244" s="307"/>
      <c r="V244" s="320"/>
      <c r="W244" s="320"/>
      <c r="X244" s="320"/>
      <c r="Y244" s="320"/>
      <c r="Z244" s="320"/>
      <c r="AA244" s="309"/>
      <c r="AB244" s="336"/>
      <c r="AC244" s="336"/>
      <c r="AD244" s="320"/>
      <c r="AE244" s="337"/>
      <c r="AF244" s="337"/>
      <c r="AG244" s="337"/>
      <c r="AH244" s="337"/>
      <c r="AI244" s="337"/>
      <c r="AJ244" s="337"/>
      <c r="AK244" s="337"/>
      <c r="AL244" s="337"/>
      <c r="AM244" s="337"/>
      <c r="AN244" s="320"/>
      <c r="AO244" s="320"/>
      <c r="AP244" s="343"/>
      <c r="AQ244" s="320"/>
      <c r="AR244" s="320"/>
      <c r="AS244" s="343"/>
      <c r="AT244" s="320"/>
      <c r="AU244" s="320"/>
      <c r="AV244" s="338"/>
      <c r="AW244" s="338"/>
      <c r="AX244" s="320"/>
      <c r="AY244" s="320"/>
    </row>
    <row r="245" spans="1:51" x14ac:dyDescent="0.25">
      <c r="A245" s="333"/>
      <c r="B245" s="333"/>
      <c r="C245" s="307"/>
      <c r="D245" s="318" t="s">
        <v>0</v>
      </c>
      <c r="E245" s="334" t="s">
        <v>0</v>
      </c>
      <c r="F245" s="318" t="s">
        <v>0</v>
      </c>
      <c r="G245" s="307" t="s">
        <v>0</v>
      </c>
      <c r="H245" s="334" t="s">
        <v>0</v>
      </c>
      <c r="I245" s="307" t="s">
        <v>0</v>
      </c>
      <c r="J245" s="306"/>
      <c r="K245" s="306"/>
      <c r="L245" s="306"/>
      <c r="M245" s="306"/>
      <c r="N245" s="335"/>
      <c r="P245" s="320"/>
      <c r="Q245" s="307"/>
      <c r="R245" s="307"/>
      <c r="S245" s="307"/>
      <c r="T245" s="307"/>
      <c r="U245" s="307"/>
      <c r="V245" s="320"/>
      <c r="W245" s="320"/>
      <c r="X245" s="320"/>
      <c r="Y245" s="320"/>
      <c r="Z245" s="320"/>
      <c r="AA245" s="309"/>
      <c r="AB245" s="336"/>
      <c r="AC245" s="336"/>
      <c r="AD245" s="320"/>
      <c r="AE245" s="337"/>
      <c r="AF245" s="337"/>
      <c r="AG245" s="337"/>
      <c r="AH245" s="337"/>
      <c r="AI245" s="337"/>
      <c r="AJ245" s="337"/>
      <c r="AK245" s="337"/>
      <c r="AL245" s="337"/>
      <c r="AM245" s="337"/>
      <c r="AN245" s="320"/>
      <c r="AO245" s="320"/>
      <c r="AP245" s="343"/>
      <c r="AQ245" s="320"/>
      <c r="AR245" s="320"/>
      <c r="AS245" s="343"/>
      <c r="AT245" s="320"/>
      <c r="AU245" s="320"/>
      <c r="AV245" s="338"/>
      <c r="AW245" s="338"/>
      <c r="AX245" s="320"/>
      <c r="AY245" s="320"/>
    </row>
    <row r="246" spans="1:51" x14ac:dyDescent="0.25">
      <c r="A246" s="333"/>
      <c r="B246" s="333"/>
      <c r="C246" s="307"/>
      <c r="D246" s="318" t="s">
        <v>0</v>
      </c>
      <c r="E246" s="334" t="s">
        <v>0</v>
      </c>
      <c r="F246" s="318" t="s">
        <v>0</v>
      </c>
      <c r="G246" s="307" t="s">
        <v>0</v>
      </c>
      <c r="H246" s="334" t="s">
        <v>0</v>
      </c>
      <c r="I246" s="307" t="s">
        <v>0</v>
      </c>
      <c r="J246" s="306"/>
      <c r="K246" s="306"/>
      <c r="L246" s="306"/>
      <c r="M246" s="306"/>
      <c r="N246" s="335"/>
      <c r="P246" s="320"/>
      <c r="Q246" s="307"/>
      <c r="R246" s="307"/>
      <c r="S246" s="307"/>
      <c r="T246" s="307"/>
      <c r="U246" s="307"/>
      <c r="V246" s="320"/>
      <c r="W246" s="320"/>
      <c r="X246" s="320"/>
      <c r="Y246" s="320"/>
      <c r="Z246" s="320"/>
      <c r="AA246" s="309"/>
      <c r="AB246" s="336"/>
      <c r="AC246" s="336"/>
      <c r="AD246" s="320"/>
      <c r="AE246" s="337"/>
      <c r="AF246" s="337"/>
      <c r="AG246" s="337"/>
      <c r="AH246" s="337"/>
      <c r="AI246" s="337"/>
      <c r="AJ246" s="337"/>
      <c r="AK246" s="337"/>
      <c r="AL246" s="337"/>
      <c r="AM246" s="337"/>
      <c r="AN246" s="320"/>
      <c r="AO246" s="320"/>
      <c r="AP246" s="343"/>
      <c r="AQ246" s="320"/>
      <c r="AR246" s="320"/>
      <c r="AS246" s="343"/>
      <c r="AT246" s="320"/>
      <c r="AU246" s="320"/>
      <c r="AV246" s="338"/>
      <c r="AW246" s="338"/>
      <c r="AX246" s="320"/>
      <c r="AY246" s="320"/>
    </row>
    <row r="247" spans="1:51" x14ac:dyDescent="0.25">
      <c r="A247" s="333"/>
      <c r="B247" s="333"/>
      <c r="C247" s="307"/>
      <c r="D247" s="318" t="s">
        <v>0</v>
      </c>
      <c r="E247" s="334" t="s">
        <v>0</v>
      </c>
      <c r="F247" s="318" t="s">
        <v>0</v>
      </c>
      <c r="G247" s="307" t="s">
        <v>0</v>
      </c>
      <c r="H247" s="334" t="s">
        <v>0</v>
      </c>
      <c r="I247" s="307" t="s">
        <v>0</v>
      </c>
      <c r="J247" s="306"/>
      <c r="K247" s="306"/>
      <c r="L247" s="306"/>
      <c r="M247" s="306"/>
      <c r="N247" s="335"/>
      <c r="P247" s="320"/>
      <c r="Q247" s="307"/>
      <c r="R247" s="307"/>
      <c r="S247" s="307"/>
      <c r="T247" s="307"/>
      <c r="U247" s="307"/>
      <c r="V247" s="320"/>
      <c r="W247" s="320"/>
      <c r="X247" s="320"/>
      <c r="Y247" s="320"/>
      <c r="Z247" s="320"/>
      <c r="AA247" s="309"/>
      <c r="AB247" s="336"/>
      <c r="AC247" s="336"/>
      <c r="AD247" s="320"/>
      <c r="AE247" s="337"/>
      <c r="AF247" s="337"/>
      <c r="AG247" s="337"/>
      <c r="AH247" s="337"/>
      <c r="AI247" s="337"/>
      <c r="AJ247" s="337"/>
      <c r="AK247" s="337"/>
      <c r="AL247" s="337"/>
      <c r="AM247" s="337"/>
      <c r="AN247" s="320"/>
      <c r="AO247" s="320"/>
      <c r="AP247" s="343"/>
      <c r="AQ247" s="320"/>
      <c r="AR247" s="320"/>
      <c r="AS247" s="343"/>
      <c r="AT247" s="320"/>
      <c r="AU247" s="320"/>
      <c r="AV247" s="338"/>
      <c r="AW247" s="338"/>
      <c r="AX247" s="320"/>
      <c r="AY247" s="320"/>
    </row>
    <row r="248" spans="1:51" x14ac:dyDescent="0.25">
      <c r="A248" s="333"/>
      <c r="B248" s="333"/>
      <c r="C248" s="307"/>
      <c r="D248" s="318" t="s">
        <v>0</v>
      </c>
      <c r="E248" s="334" t="s">
        <v>0</v>
      </c>
      <c r="F248" s="318" t="s">
        <v>0</v>
      </c>
      <c r="G248" s="307" t="s">
        <v>0</v>
      </c>
      <c r="H248" s="334" t="s">
        <v>0</v>
      </c>
      <c r="I248" s="307" t="s">
        <v>0</v>
      </c>
      <c r="J248" s="306"/>
      <c r="K248" s="306"/>
      <c r="L248" s="306"/>
      <c r="M248" s="306"/>
      <c r="N248" s="335"/>
      <c r="O248" s="320"/>
      <c r="P248" s="320"/>
      <c r="Q248" s="307"/>
      <c r="R248" s="307"/>
      <c r="S248" s="307"/>
      <c r="T248" s="307"/>
      <c r="U248" s="307"/>
      <c r="V248" s="320"/>
      <c r="W248" s="320"/>
      <c r="X248" s="320"/>
      <c r="Y248" s="320"/>
      <c r="Z248" s="320"/>
      <c r="AA248" s="309"/>
      <c r="AB248" s="336"/>
      <c r="AC248" s="336"/>
      <c r="AD248" s="320"/>
      <c r="AE248" s="337"/>
      <c r="AF248" s="337"/>
      <c r="AG248" s="337"/>
      <c r="AH248" s="337"/>
      <c r="AI248" s="337"/>
      <c r="AJ248" s="337"/>
      <c r="AK248" s="337"/>
      <c r="AL248" s="337"/>
      <c r="AM248" s="337"/>
      <c r="AN248" s="320"/>
      <c r="AO248" s="320"/>
      <c r="AP248" s="343"/>
      <c r="AQ248" s="320"/>
      <c r="AR248" s="320"/>
      <c r="AS248" s="343"/>
      <c r="AT248" s="320"/>
      <c r="AU248" s="320"/>
      <c r="AV248" s="338"/>
      <c r="AW248" s="338"/>
      <c r="AX248" s="320"/>
      <c r="AY248" s="320"/>
    </row>
    <row r="249" spans="1:51" x14ac:dyDescent="0.25">
      <c r="A249" s="333"/>
      <c r="B249" s="333"/>
      <c r="C249" s="307"/>
      <c r="D249" s="318" t="s">
        <v>0</v>
      </c>
      <c r="E249" s="334" t="s">
        <v>0</v>
      </c>
      <c r="F249" s="318" t="s">
        <v>0</v>
      </c>
      <c r="G249" s="307" t="s">
        <v>0</v>
      </c>
      <c r="H249" s="334" t="s">
        <v>0</v>
      </c>
      <c r="I249" s="307" t="s">
        <v>0</v>
      </c>
      <c r="J249" s="306"/>
      <c r="K249" s="306"/>
      <c r="L249" s="306"/>
      <c r="M249" s="306"/>
      <c r="N249" s="335"/>
      <c r="O249" s="320"/>
      <c r="P249" s="320"/>
      <c r="Q249" s="307"/>
      <c r="R249" s="307"/>
      <c r="S249" s="307"/>
      <c r="T249" s="307"/>
      <c r="U249" s="307"/>
      <c r="V249" s="320"/>
      <c r="W249" s="320"/>
      <c r="X249" s="320"/>
      <c r="Y249" s="320"/>
      <c r="Z249" s="320"/>
      <c r="AA249" s="309"/>
      <c r="AB249" s="336"/>
      <c r="AC249" s="336"/>
      <c r="AD249" s="320"/>
      <c r="AE249" s="337"/>
      <c r="AF249" s="337"/>
      <c r="AG249" s="337"/>
      <c r="AH249" s="337"/>
      <c r="AI249" s="337"/>
      <c r="AJ249" s="337"/>
      <c r="AK249" s="337"/>
      <c r="AL249" s="337"/>
      <c r="AM249" s="337"/>
      <c r="AN249" s="320"/>
      <c r="AO249" s="320"/>
      <c r="AP249" s="343"/>
      <c r="AQ249" s="320"/>
      <c r="AR249" s="320"/>
      <c r="AS249" s="343"/>
      <c r="AT249" s="320"/>
      <c r="AU249" s="320"/>
      <c r="AV249" s="338"/>
      <c r="AW249" s="338"/>
      <c r="AX249" s="320"/>
      <c r="AY249" s="320"/>
    </row>
    <row r="250" spans="1:51" x14ac:dyDescent="0.25">
      <c r="A250" s="333"/>
      <c r="B250" s="333"/>
      <c r="C250" s="307"/>
      <c r="D250" s="318" t="s">
        <v>0</v>
      </c>
      <c r="E250" s="334" t="s">
        <v>0</v>
      </c>
      <c r="F250" s="318" t="s">
        <v>0</v>
      </c>
      <c r="G250" s="307" t="s">
        <v>0</v>
      </c>
      <c r="H250" s="334" t="s">
        <v>0</v>
      </c>
      <c r="I250" s="307" t="s">
        <v>0</v>
      </c>
      <c r="J250" s="306"/>
      <c r="K250" s="306"/>
      <c r="L250" s="306"/>
      <c r="M250" s="306"/>
      <c r="N250" s="335"/>
      <c r="O250" s="320"/>
      <c r="P250" s="320"/>
      <c r="Q250" s="307"/>
      <c r="R250" s="307"/>
      <c r="S250" s="307"/>
      <c r="T250" s="307"/>
      <c r="U250" s="307"/>
      <c r="V250" s="320"/>
      <c r="W250" s="320"/>
      <c r="X250" s="320"/>
      <c r="Y250" s="320"/>
      <c r="Z250" s="320"/>
      <c r="AA250" s="309"/>
      <c r="AB250" s="336"/>
      <c r="AC250" s="336"/>
      <c r="AD250" s="320"/>
      <c r="AE250" s="337"/>
      <c r="AF250" s="337"/>
      <c r="AG250" s="337"/>
      <c r="AH250" s="337"/>
      <c r="AI250" s="337"/>
      <c r="AJ250" s="337"/>
      <c r="AK250" s="337"/>
      <c r="AL250" s="337"/>
      <c r="AM250" s="337"/>
      <c r="AN250" s="320"/>
      <c r="AO250" s="320"/>
      <c r="AP250" s="343"/>
      <c r="AQ250" s="320"/>
      <c r="AR250" s="320"/>
      <c r="AS250" s="343"/>
      <c r="AT250" s="320"/>
      <c r="AU250" s="320"/>
      <c r="AV250" s="338"/>
      <c r="AW250" s="338"/>
      <c r="AX250" s="320"/>
      <c r="AY250" s="320"/>
    </row>
    <row r="251" spans="1:51" x14ac:dyDescent="0.25">
      <c r="A251" s="333"/>
      <c r="B251" s="333"/>
      <c r="C251" s="307"/>
      <c r="D251" s="318" t="s">
        <v>0</v>
      </c>
      <c r="E251" s="334" t="s">
        <v>0</v>
      </c>
      <c r="F251" s="318" t="s">
        <v>0</v>
      </c>
      <c r="G251" s="307" t="s">
        <v>0</v>
      </c>
      <c r="H251" s="334" t="s">
        <v>0</v>
      </c>
      <c r="I251" s="307" t="s">
        <v>0</v>
      </c>
      <c r="J251" s="306"/>
      <c r="K251" s="306"/>
      <c r="L251" s="306"/>
      <c r="M251" s="306"/>
      <c r="N251" s="335"/>
      <c r="O251" s="320"/>
      <c r="P251" s="320"/>
      <c r="Q251" s="307"/>
      <c r="R251" s="307"/>
      <c r="S251" s="307"/>
      <c r="T251" s="307"/>
      <c r="U251" s="307"/>
      <c r="V251" s="320"/>
      <c r="W251" s="320"/>
      <c r="X251" s="320"/>
      <c r="Y251" s="320"/>
      <c r="Z251" s="320"/>
      <c r="AA251" s="309"/>
      <c r="AB251" s="336"/>
      <c r="AC251" s="336"/>
      <c r="AD251" s="320"/>
      <c r="AE251" s="337"/>
      <c r="AF251" s="337"/>
      <c r="AG251" s="337"/>
      <c r="AH251" s="337"/>
      <c r="AI251" s="337"/>
      <c r="AJ251" s="337"/>
      <c r="AK251" s="337"/>
      <c r="AL251" s="337"/>
      <c r="AM251" s="337"/>
      <c r="AN251" s="320"/>
      <c r="AO251" s="320"/>
      <c r="AP251" s="343"/>
      <c r="AQ251" s="320"/>
      <c r="AR251" s="320"/>
      <c r="AS251" s="343"/>
      <c r="AT251" s="320"/>
      <c r="AU251" s="320"/>
      <c r="AV251" s="338"/>
      <c r="AW251" s="338"/>
      <c r="AX251" s="320"/>
      <c r="AY251" s="320"/>
    </row>
    <row r="252" spans="1:51" x14ac:dyDescent="0.25">
      <c r="A252" s="333"/>
      <c r="B252" s="333"/>
      <c r="C252" s="307"/>
      <c r="D252" s="318" t="s">
        <v>0</v>
      </c>
      <c r="E252" s="334" t="s">
        <v>0</v>
      </c>
      <c r="F252" s="318" t="s">
        <v>0</v>
      </c>
      <c r="G252" s="307" t="s">
        <v>0</v>
      </c>
      <c r="H252" s="334" t="s">
        <v>0</v>
      </c>
      <c r="I252" s="307" t="s">
        <v>0</v>
      </c>
      <c r="J252" s="306"/>
      <c r="K252" s="306"/>
      <c r="L252" s="306"/>
      <c r="M252" s="306"/>
      <c r="N252" s="335"/>
      <c r="O252" s="320"/>
      <c r="P252" s="320"/>
      <c r="Q252" s="307"/>
      <c r="R252" s="307"/>
      <c r="S252" s="307"/>
      <c r="T252" s="307"/>
      <c r="U252" s="307"/>
      <c r="V252" s="320"/>
      <c r="W252" s="320"/>
      <c r="X252" s="320"/>
      <c r="Y252" s="320"/>
      <c r="Z252" s="320"/>
      <c r="AA252" s="309"/>
      <c r="AB252" s="336"/>
      <c r="AC252" s="336"/>
      <c r="AD252" s="320"/>
      <c r="AE252" s="337"/>
      <c r="AF252" s="337"/>
      <c r="AG252" s="337"/>
      <c r="AH252" s="337"/>
      <c r="AI252" s="337"/>
      <c r="AJ252" s="337"/>
      <c r="AK252" s="337"/>
      <c r="AL252" s="337"/>
      <c r="AM252" s="337"/>
      <c r="AN252" s="320"/>
      <c r="AO252" s="320"/>
      <c r="AP252" s="343"/>
      <c r="AQ252" s="320"/>
      <c r="AR252" s="320"/>
      <c r="AS252" s="343"/>
      <c r="AT252" s="320"/>
      <c r="AU252" s="320"/>
      <c r="AV252" s="338"/>
      <c r="AW252" s="338"/>
      <c r="AX252" s="320"/>
      <c r="AY252" s="320"/>
    </row>
    <row r="253" spans="1:51" x14ac:dyDescent="0.25">
      <c r="A253" s="333"/>
      <c r="B253" s="333"/>
      <c r="C253" s="307"/>
      <c r="D253" s="318" t="s">
        <v>0</v>
      </c>
      <c r="E253" s="334" t="s">
        <v>0</v>
      </c>
      <c r="F253" s="318" t="s">
        <v>0</v>
      </c>
      <c r="G253" s="307" t="s">
        <v>0</v>
      </c>
      <c r="H253" s="334" t="s">
        <v>0</v>
      </c>
      <c r="I253" s="307" t="s">
        <v>0</v>
      </c>
      <c r="J253" s="306"/>
      <c r="K253" s="306"/>
      <c r="L253" s="306"/>
      <c r="M253" s="306"/>
      <c r="N253" s="335"/>
      <c r="O253" s="320"/>
      <c r="P253" s="320"/>
      <c r="Q253" s="307"/>
      <c r="R253" s="307"/>
      <c r="S253" s="307"/>
      <c r="T253" s="307"/>
      <c r="U253" s="307"/>
      <c r="V253" s="320"/>
      <c r="W253" s="320"/>
      <c r="X253" s="320"/>
      <c r="Y253" s="320"/>
      <c r="Z253" s="320"/>
      <c r="AA253" s="309"/>
      <c r="AB253" s="336"/>
      <c r="AC253" s="336"/>
      <c r="AD253" s="320"/>
      <c r="AE253" s="337"/>
      <c r="AF253" s="337"/>
      <c r="AG253" s="337"/>
      <c r="AH253" s="337"/>
      <c r="AI253" s="337"/>
      <c r="AJ253" s="337"/>
      <c r="AK253" s="337"/>
      <c r="AL253" s="337"/>
      <c r="AM253" s="337"/>
      <c r="AN253" s="320"/>
      <c r="AO253" s="320"/>
      <c r="AP253" s="343"/>
      <c r="AQ253" s="320"/>
      <c r="AR253" s="320"/>
      <c r="AS253" s="343"/>
      <c r="AT253" s="320"/>
      <c r="AU253" s="320"/>
      <c r="AV253" s="338"/>
      <c r="AW253" s="338"/>
      <c r="AX253" s="320"/>
      <c r="AY253" s="320"/>
    </row>
    <row r="254" spans="1:51" x14ac:dyDescent="0.25">
      <c r="N254" s="335"/>
    </row>
    <row r="255" spans="1:51" x14ac:dyDescent="0.25">
      <c r="N255" s="335"/>
    </row>
    <row r="256" spans="1:51" x14ac:dyDescent="0.25">
      <c r="N256" s="335"/>
    </row>
    <row r="257" spans="14:14" x14ac:dyDescent="0.25">
      <c r="N257" s="335"/>
    </row>
    <row r="258" spans="14:14" x14ac:dyDescent="0.25">
      <c r="N258" s="335"/>
    </row>
    <row r="259" spans="14:14" x14ac:dyDescent="0.25">
      <c r="N259" s="335"/>
    </row>
    <row r="260" spans="14:14" x14ac:dyDescent="0.25">
      <c r="N260" s="335"/>
    </row>
    <row r="261" spans="14:14" x14ac:dyDescent="0.25">
      <c r="N261" s="335"/>
    </row>
    <row r="262" spans="14:14" x14ac:dyDescent="0.25">
      <c r="N262" s="335"/>
    </row>
    <row r="263" spans="14:14" x14ac:dyDescent="0.25">
      <c r="N263" s="335"/>
    </row>
    <row r="264" spans="14:14" x14ac:dyDescent="0.25">
      <c r="N264" s="335"/>
    </row>
    <row r="265" spans="14:14" x14ac:dyDescent="0.25">
      <c r="N265" s="335"/>
    </row>
    <row r="266" spans="14:14" x14ac:dyDescent="0.25">
      <c r="N266" s="335"/>
    </row>
    <row r="267" spans="14:14" x14ac:dyDescent="0.25">
      <c r="N267" s="335"/>
    </row>
    <row r="268" spans="14:14" x14ac:dyDescent="0.25">
      <c r="N268" s="335"/>
    </row>
    <row r="269" spans="14:14" x14ac:dyDescent="0.25">
      <c r="N269" s="335"/>
    </row>
    <row r="270" spans="14:14" x14ac:dyDescent="0.25">
      <c r="N270" s="335"/>
    </row>
    <row r="271" spans="14:14" x14ac:dyDescent="0.25">
      <c r="N271" s="335"/>
    </row>
    <row r="272" spans="14:14" x14ac:dyDescent="0.25">
      <c r="N272" s="335"/>
    </row>
    <row r="273" spans="14:14" x14ac:dyDescent="0.25">
      <c r="N273" s="335"/>
    </row>
    <row r="274" spans="14:14" x14ac:dyDescent="0.25">
      <c r="N274" s="335"/>
    </row>
    <row r="275" spans="14:14" x14ac:dyDescent="0.25">
      <c r="N275" s="335"/>
    </row>
    <row r="276" spans="14:14" x14ac:dyDescent="0.25">
      <c r="N276" s="335"/>
    </row>
    <row r="277" spans="14:14" x14ac:dyDescent="0.25">
      <c r="N277" s="335"/>
    </row>
    <row r="278" spans="14:14" x14ac:dyDescent="0.25">
      <c r="N278" s="335"/>
    </row>
    <row r="279" spans="14:14" x14ac:dyDescent="0.25">
      <c r="N279" s="335"/>
    </row>
    <row r="280" spans="14:14" x14ac:dyDescent="0.25">
      <c r="N280" s="335"/>
    </row>
    <row r="281" spans="14:14" x14ac:dyDescent="0.25">
      <c r="N281" s="335"/>
    </row>
    <row r="282" spans="14:14" x14ac:dyDescent="0.25">
      <c r="N282" s="335"/>
    </row>
    <row r="283" spans="14:14" x14ac:dyDescent="0.25">
      <c r="N283" s="335"/>
    </row>
    <row r="284" spans="14:14" x14ac:dyDescent="0.25">
      <c r="N284" s="335"/>
    </row>
    <row r="285" spans="14:14" x14ac:dyDescent="0.25">
      <c r="N285" s="335"/>
    </row>
    <row r="286" spans="14:14" x14ac:dyDescent="0.25">
      <c r="N286" s="335"/>
    </row>
    <row r="287" spans="14:14" x14ac:dyDescent="0.25">
      <c r="N287" s="335"/>
    </row>
    <row r="288" spans="14:14" x14ac:dyDescent="0.25">
      <c r="N288" s="335"/>
    </row>
    <row r="289" spans="14:14" x14ac:dyDescent="0.25">
      <c r="N289" s="335"/>
    </row>
    <row r="290" spans="14:14" x14ac:dyDescent="0.25">
      <c r="N290" s="335"/>
    </row>
    <row r="291" spans="14:14" x14ac:dyDescent="0.25">
      <c r="N291" s="335"/>
    </row>
    <row r="292" spans="14:14" x14ac:dyDescent="0.25">
      <c r="N292" s="335"/>
    </row>
    <row r="293" spans="14:14" x14ac:dyDescent="0.25">
      <c r="N293" s="335"/>
    </row>
    <row r="294" spans="14:14" x14ac:dyDescent="0.25">
      <c r="N294" s="335"/>
    </row>
    <row r="295" spans="14:14" x14ac:dyDescent="0.25">
      <c r="N295" s="335"/>
    </row>
    <row r="296" spans="14:14" x14ac:dyDescent="0.25">
      <c r="N296" s="335"/>
    </row>
    <row r="297" spans="14:14" x14ac:dyDescent="0.25">
      <c r="N297" s="335"/>
    </row>
    <row r="298" spans="14:14" x14ac:dyDescent="0.25">
      <c r="N298" s="335"/>
    </row>
    <row r="299" spans="14:14" x14ac:dyDescent="0.25">
      <c r="N299" s="335"/>
    </row>
    <row r="300" spans="14:14" x14ac:dyDescent="0.25">
      <c r="N300" s="335"/>
    </row>
    <row r="301" spans="14:14" x14ac:dyDescent="0.25">
      <c r="N301" s="335"/>
    </row>
    <row r="302" spans="14:14" x14ac:dyDescent="0.25">
      <c r="N302" s="335"/>
    </row>
    <row r="303" spans="14:14" x14ac:dyDescent="0.25">
      <c r="N303" s="335"/>
    </row>
    <row r="304" spans="14:14" x14ac:dyDescent="0.25">
      <c r="N304" s="335"/>
    </row>
    <row r="305" spans="14:14" x14ac:dyDescent="0.25">
      <c r="N305" s="335"/>
    </row>
    <row r="306" spans="14:14" x14ac:dyDescent="0.25">
      <c r="N306" s="335"/>
    </row>
    <row r="307" spans="14:14" x14ac:dyDescent="0.25">
      <c r="N307" s="335"/>
    </row>
    <row r="308" spans="14:14" x14ac:dyDescent="0.25">
      <c r="N308" s="335"/>
    </row>
    <row r="309" spans="14:14" x14ac:dyDescent="0.25">
      <c r="N309" s="335"/>
    </row>
    <row r="310" spans="14:14" x14ac:dyDescent="0.25">
      <c r="N310" s="335"/>
    </row>
    <row r="311" spans="14:14" x14ac:dyDescent="0.25">
      <c r="N311" s="335"/>
    </row>
    <row r="312" spans="14:14" x14ac:dyDescent="0.25">
      <c r="N312" s="335"/>
    </row>
    <row r="313" spans="14:14" x14ac:dyDescent="0.25">
      <c r="N313" s="335"/>
    </row>
    <row r="314" spans="14:14" x14ac:dyDescent="0.25">
      <c r="N314" s="335"/>
    </row>
    <row r="315" spans="14:14" x14ac:dyDescent="0.25">
      <c r="N315" s="335"/>
    </row>
    <row r="316" spans="14:14" x14ac:dyDescent="0.25">
      <c r="N316" s="335"/>
    </row>
    <row r="317" spans="14:14" x14ac:dyDescent="0.25">
      <c r="N317" s="335"/>
    </row>
    <row r="318" spans="14:14" x14ac:dyDescent="0.25">
      <c r="N318" s="335"/>
    </row>
    <row r="319" spans="14:14" x14ac:dyDescent="0.25">
      <c r="N319" s="335"/>
    </row>
    <row r="320" spans="14:14" x14ac:dyDescent="0.25">
      <c r="N320" s="335"/>
    </row>
    <row r="321" spans="14:14" x14ac:dyDescent="0.25">
      <c r="N321" s="335"/>
    </row>
    <row r="322" spans="14:14" x14ac:dyDescent="0.25">
      <c r="N322" s="335"/>
    </row>
    <row r="323" spans="14:14" x14ac:dyDescent="0.25">
      <c r="N323" s="335"/>
    </row>
    <row r="324" spans="14:14" x14ac:dyDescent="0.25">
      <c r="N324" s="335"/>
    </row>
    <row r="325" spans="14:14" x14ac:dyDescent="0.25">
      <c r="N325" s="335"/>
    </row>
    <row r="326" spans="14:14" x14ac:dyDescent="0.25">
      <c r="N326" s="335"/>
    </row>
    <row r="327" spans="14:14" x14ac:dyDescent="0.25">
      <c r="N327" s="335"/>
    </row>
    <row r="328" spans="14:14" x14ac:dyDescent="0.25">
      <c r="N328" s="335"/>
    </row>
    <row r="329" spans="14:14" x14ac:dyDescent="0.25">
      <c r="N329" s="335"/>
    </row>
    <row r="330" spans="14:14" x14ac:dyDescent="0.25">
      <c r="N330" s="335"/>
    </row>
    <row r="331" spans="14:14" x14ac:dyDescent="0.25">
      <c r="N331" s="335"/>
    </row>
    <row r="332" spans="14:14" x14ac:dyDescent="0.25">
      <c r="N332" s="335"/>
    </row>
    <row r="333" spans="14:14" x14ac:dyDescent="0.25">
      <c r="N333" s="335"/>
    </row>
    <row r="334" spans="14:14" x14ac:dyDescent="0.25">
      <c r="N334" s="335"/>
    </row>
    <row r="335" spans="14:14" x14ac:dyDescent="0.25">
      <c r="N335" s="335"/>
    </row>
    <row r="336" spans="14:14" x14ac:dyDescent="0.25">
      <c r="N336" s="335"/>
    </row>
    <row r="337" spans="14:14" x14ac:dyDescent="0.25">
      <c r="N337" s="335"/>
    </row>
    <row r="338" spans="14:14" x14ac:dyDescent="0.25">
      <c r="N338" s="335"/>
    </row>
    <row r="339" spans="14:14" x14ac:dyDescent="0.25">
      <c r="N339" s="335"/>
    </row>
    <row r="340" spans="14:14" x14ac:dyDescent="0.25">
      <c r="N340" s="335"/>
    </row>
    <row r="341" spans="14:14" x14ac:dyDescent="0.25">
      <c r="N341" s="335"/>
    </row>
    <row r="342" spans="14:14" x14ac:dyDescent="0.25">
      <c r="N342" s="335"/>
    </row>
    <row r="343" spans="14:14" x14ac:dyDescent="0.25">
      <c r="N343" s="335"/>
    </row>
    <row r="344" spans="14:14" x14ac:dyDescent="0.25">
      <c r="N344" s="335"/>
    </row>
    <row r="345" spans="14:14" x14ac:dyDescent="0.25">
      <c r="N345" s="335"/>
    </row>
    <row r="346" spans="14:14" x14ac:dyDescent="0.25">
      <c r="N346" s="335"/>
    </row>
    <row r="347" spans="14:14" x14ac:dyDescent="0.25">
      <c r="N347" s="335"/>
    </row>
    <row r="348" spans="14:14" x14ac:dyDescent="0.25">
      <c r="N348" s="335"/>
    </row>
    <row r="349" spans="14:14" x14ac:dyDescent="0.25">
      <c r="N349" s="335"/>
    </row>
    <row r="350" spans="14:14" x14ac:dyDescent="0.25">
      <c r="N350" s="335"/>
    </row>
    <row r="351" spans="14:14" x14ac:dyDescent="0.25">
      <c r="N351" s="335"/>
    </row>
    <row r="352" spans="14:14" x14ac:dyDescent="0.25">
      <c r="N352" s="335"/>
    </row>
    <row r="353" spans="14:14" x14ac:dyDescent="0.25">
      <c r="N353" s="335"/>
    </row>
    <row r="354" spans="14:14" x14ac:dyDescent="0.25">
      <c r="N354" s="335"/>
    </row>
    <row r="355" spans="14:14" x14ac:dyDescent="0.25">
      <c r="N355" s="335"/>
    </row>
    <row r="356" spans="14:14" x14ac:dyDescent="0.25">
      <c r="N356" s="335"/>
    </row>
    <row r="357" spans="14:14" x14ac:dyDescent="0.25">
      <c r="N357" s="335"/>
    </row>
    <row r="358" spans="14:14" x14ac:dyDescent="0.25">
      <c r="N358" s="335"/>
    </row>
    <row r="359" spans="14:14" x14ac:dyDescent="0.25">
      <c r="N359" s="335"/>
    </row>
    <row r="360" spans="14:14" x14ac:dyDescent="0.25">
      <c r="N360" s="335"/>
    </row>
    <row r="361" spans="14:14" x14ac:dyDescent="0.25">
      <c r="N361" s="335"/>
    </row>
    <row r="362" spans="14:14" x14ac:dyDescent="0.25">
      <c r="N362" s="335"/>
    </row>
    <row r="363" spans="14:14" x14ac:dyDescent="0.25">
      <c r="N363" s="335"/>
    </row>
    <row r="364" spans="14:14" x14ac:dyDescent="0.25">
      <c r="N364" s="335"/>
    </row>
    <row r="365" spans="14:14" x14ac:dyDescent="0.25">
      <c r="N365" s="335"/>
    </row>
    <row r="366" spans="14:14" x14ac:dyDescent="0.25">
      <c r="N366" s="335"/>
    </row>
    <row r="367" spans="14:14" x14ac:dyDescent="0.25">
      <c r="N367" s="335"/>
    </row>
    <row r="368" spans="14:14" x14ac:dyDescent="0.25">
      <c r="N368" s="335"/>
    </row>
    <row r="369" spans="14:14" x14ac:dyDescent="0.25">
      <c r="N369" s="335"/>
    </row>
    <row r="370" spans="14:14" x14ac:dyDescent="0.25">
      <c r="N370" s="335"/>
    </row>
    <row r="371" spans="14:14" x14ac:dyDescent="0.25">
      <c r="N371" s="335"/>
    </row>
    <row r="372" spans="14:14" x14ac:dyDescent="0.25">
      <c r="N372" s="335"/>
    </row>
    <row r="373" spans="14:14" x14ac:dyDescent="0.25">
      <c r="N373" s="335"/>
    </row>
    <row r="374" spans="14:14" x14ac:dyDescent="0.25">
      <c r="N374" s="335"/>
    </row>
    <row r="375" spans="14:14" x14ac:dyDescent="0.25">
      <c r="N375" s="335"/>
    </row>
    <row r="376" spans="14:14" x14ac:dyDescent="0.25">
      <c r="N376" s="335"/>
    </row>
    <row r="377" spans="14:14" x14ac:dyDescent="0.25">
      <c r="N377" s="335"/>
    </row>
    <row r="378" spans="14:14" x14ac:dyDescent="0.25">
      <c r="N378" s="335"/>
    </row>
    <row r="379" spans="14:14" x14ac:dyDescent="0.25">
      <c r="N379" s="335"/>
    </row>
    <row r="380" spans="14:14" x14ac:dyDescent="0.25">
      <c r="N380" s="335"/>
    </row>
    <row r="381" spans="14:14" x14ac:dyDescent="0.25">
      <c r="N381" s="335"/>
    </row>
    <row r="382" spans="14:14" x14ac:dyDescent="0.25">
      <c r="N382" s="335"/>
    </row>
    <row r="383" spans="14:14" x14ac:dyDescent="0.25">
      <c r="N383" s="335"/>
    </row>
    <row r="384" spans="14:14" x14ac:dyDescent="0.25">
      <c r="N384" s="335"/>
    </row>
    <row r="385" spans="14:14" x14ac:dyDescent="0.25">
      <c r="N385" s="335"/>
    </row>
    <row r="386" spans="14:14" x14ac:dyDescent="0.25">
      <c r="N386" s="335"/>
    </row>
    <row r="387" spans="14:14" x14ac:dyDescent="0.25">
      <c r="N387" s="335"/>
    </row>
    <row r="388" spans="14:14" x14ac:dyDescent="0.25">
      <c r="N388" s="335"/>
    </row>
    <row r="389" spans="14:14" x14ac:dyDescent="0.25">
      <c r="N389" s="335"/>
    </row>
    <row r="390" spans="14:14" x14ac:dyDescent="0.25">
      <c r="N390" s="335"/>
    </row>
    <row r="391" spans="14:14" x14ac:dyDescent="0.25">
      <c r="N391" s="335"/>
    </row>
    <row r="392" spans="14:14" x14ac:dyDescent="0.25">
      <c r="N392" s="335"/>
    </row>
    <row r="393" spans="14:14" x14ac:dyDescent="0.25">
      <c r="N393" s="335"/>
    </row>
    <row r="394" spans="14:14" x14ac:dyDescent="0.25">
      <c r="N394" s="335"/>
    </row>
    <row r="395" spans="14:14" x14ac:dyDescent="0.25">
      <c r="N395" s="335"/>
    </row>
    <row r="396" spans="14:14" x14ac:dyDescent="0.25">
      <c r="N396" s="335"/>
    </row>
    <row r="397" spans="14:14" x14ac:dyDescent="0.25">
      <c r="N397" s="335"/>
    </row>
    <row r="398" spans="14:14" x14ac:dyDescent="0.25">
      <c r="N398" s="335"/>
    </row>
    <row r="399" spans="14:14" x14ac:dyDescent="0.25">
      <c r="N399" s="335"/>
    </row>
    <row r="400" spans="14:14" x14ac:dyDescent="0.25">
      <c r="N400" s="335"/>
    </row>
    <row r="401" spans="14:14" x14ac:dyDescent="0.25">
      <c r="N401" s="335"/>
    </row>
    <row r="402" spans="14:14" x14ac:dyDescent="0.25">
      <c r="N402" s="335"/>
    </row>
    <row r="403" spans="14:14" x14ac:dyDescent="0.25">
      <c r="N403" s="335"/>
    </row>
    <row r="404" spans="14:14" x14ac:dyDescent="0.25">
      <c r="N404" s="335"/>
    </row>
    <row r="405" spans="14:14" x14ac:dyDescent="0.25">
      <c r="N405" s="335"/>
    </row>
    <row r="406" spans="14:14" x14ac:dyDescent="0.25">
      <c r="N406" s="335"/>
    </row>
    <row r="407" spans="14:14" x14ac:dyDescent="0.25">
      <c r="N407" s="335"/>
    </row>
    <row r="408" spans="14:14" x14ac:dyDescent="0.25">
      <c r="N408" s="335"/>
    </row>
    <row r="409" spans="14:14" x14ac:dyDescent="0.25">
      <c r="N409" s="335"/>
    </row>
    <row r="410" spans="14:14" x14ac:dyDescent="0.25">
      <c r="N410" s="335"/>
    </row>
    <row r="411" spans="14:14" x14ac:dyDescent="0.25">
      <c r="N411" s="335"/>
    </row>
    <row r="412" spans="14:14" x14ac:dyDescent="0.25">
      <c r="N412" s="335"/>
    </row>
    <row r="413" spans="14:14" x14ac:dyDescent="0.25">
      <c r="N413" s="335"/>
    </row>
    <row r="414" spans="14:14" x14ac:dyDescent="0.25">
      <c r="N414" s="335"/>
    </row>
    <row r="415" spans="14:14" x14ac:dyDescent="0.25">
      <c r="N415" s="335"/>
    </row>
    <row r="416" spans="14:14" x14ac:dyDescent="0.25">
      <c r="N416" s="335"/>
    </row>
    <row r="417" spans="14:14" x14ac:dyDescent="0.25">
      <c r="N417" s="335"/>
    </row>
    <row r="418" spans="14:14" x14ac:dyDescent="0.25">
      <c r="N418" s="335"/>
    </row>
    <row r="419" spans="14:14" x14ac:dyDescent="0.25">
      <c r="N419" s="335"/>
    </row>
    <row r="420" spans="14:14" x14ac:dyDescent="0.25">
      <c r="N420" s="335"/>
    </row>
    <row r="421" spans="14:14" x14ac:dyDescent="0.25">
      <c r="N421" s="335"/>
    </row>
    <row r="422" spans="14:14" x14ac:dyDescent="0.25">
      <c r="N422" s="335"/>
    </row>
    <row r="423" spans="14:14" x14ac:dyDescent="0.25">
      <c r="N423" s="335"/>
    </row>
    <row r="424" spans="14:14" x14ac:dyDescent="0.25">
      <c r="N424" s="335"/>
    </row>
    <row r="425" spans="14:14" x14ac:dyDescent="0.25">
      <c r="N425" s="335"/>
    </row>
    <row r="426" spans="14:14" x14ac:dyDescent="0.25">
      <c r="N426" s="335"/>
    </row>
    <row r="427" spans="14:14" x14ac:dyDescent="0.25">
      <c r="N427" s="335"/>
    </row>
    <row r="428" spans="14:14" x14ac:dyDescent="0.25">
      <c r="N428" s="335"/>
    </row>
    <row r="429" spans="14:14" x14ac:dyDescent="0.25">
      <c r="N429" s="335"/>
    </row>
    <row r="430" spans="14:14" x14ac:dyDescent="0.25">
      <c r="N430" s="335"/>
    </row>
    <row r="431" spans="14:14" x14ac:dyDescent="0.25">
      <c r="N431" s="335"/>
    </row>
    <row r="432" spans="14:14" x14ac:dyDescent="0.25">
      <c r="N432" s="335"/>
    </row>
    <row r="433" spans="14:14" x14ac:dyDescent="0.25">
      <c r="N433" s="335"/>
    </row>
    <row r="434" spans="14:14" x14ac:dyDescent="0.25">
      <c r="N434" s="335"/>
    </row>
    <row r="435" spans="14:14" x14ac:dyDescent="0.25">
      <c r="N435" s="335"/>
    </row>
    <row r="436" spans="14:14" x14ac:dyDescent="0.25">
      <c r="N436" s="335"/>
    </row>
    <row r="437" spans="14:14" x14ac:dyDescent="0.25">
      <c r="N437" s="335"/>
    </row>
    <row r="438" spans="14:14" x14ac:dyDescent="0.25">
      <c r="N438" s="335"/>
    </row>
    <row r="439" spans="14:14" x14ac:dyDescent="0.25">
      <c r="N439" s="335"/>
    </row>
    <row r="440" spans="14:14" x14ac:dyDescent="0.25">
      <c r="N440" s="335"/>
    </row>
    <row r="441" spans="14:14" x14ac:dyDescent="0.25">
      <c r="N441" s="335"/>
    </row>
    <row r="442" spans="14:14" x14ac:dyDescent="0.25">
      <c r="N442" s="335"/>
    </row>
    <row r="443" spans="14:14" x14ac:dyDescent="0.25">
      <c r="N443" s="335"/>
    </row>
    <row r="444" spans="14:14" x14ac:dyDescent="0.25">
      <c r="N444" s="335"/>
    </row>
    <row r="445" spans="14:14" x14ac:dyDescent="0.25">
      <c r="N445" s="335"/>
    </row>
    <row r="446" spans="14:14" x14ac:dyDescent="0.25">
      <c r="N446" s="335"/>
    </row>
    <row r="447" spans="14:14" x14ac:dyDescent="0.25">
      <c r="N447" s="335"/>
    </row>
    <row r="448" spans="14:14" x14ac:dyDescent="0.25">
      <c r="N448" s="335"/>
    </row>
    <row r="449" spans="14:14" x14ac:dyDescent="0.25">
      <c r="N449" s="335"/>
    </row>
    <row r="450" spans="14:14" x14ac:dyDescent="0.25">
      <c r="N450" s="335"/>
    </row>
    <row r="451" spans="14:14" x14ac:dyDescent="0.25">
      <c r="N451" s="335"/>
    </row>
    <row r="452" spans="14:14" x14ac:dyDescent="0.25">
      <c r="N452" s="335"/>
    </row>
    <row r="453" spans="14:14" x14ac:dyDescent="0.25">
      <c r="N453" s="335"/>
    </row>
    <row r="454" spans="14:14" x14ac:dyDescent="0.25">
      <c r="N454" s="335"/>
    </row>
    <row r="455" spans="14:14" x14ac:dyDescent="0.25">
      <c r="N455" s="335"/>
    </row>
    <row r="456" spans="14:14" x14ac:dyDescent="0.25">
      <c r="N456" s="335"/>
    </row>
    <row r="457" spans="14:14" x14ac:dyDescent="0.25">
      <c r="N457" s="335"/>
    </row>
    <row r="458" spans="14:14" x14ac:dyDescent="0.25">
      <c r="N458" s="335"/>
    </row>
    <row r="459" spans="14:14" x14ac:dyDescent="0.25">
      <c r="N459" s="335"/>
    </row>
    <row r="460" spans="14:14" x14ac:dyDescent="0.25">
      <c r="N460" s="335"/>
    </row>
    <row r="461" spans="14:14" x14ac:dyDescent="0.25">
      <c r="N461" s="335"/>
    </row>
    <row r="462" spans="14:14" x14ac:dyDescent="0.25">
      <c r="N462" s="335"/>
    </row>
    <row r="463" spans="14:14" x14ac:dyDescent="0.25">
      <c r="N463" s="335"/>
    </row>
    <row r="464" spans="14:14" x14ac:dyDescent="0.25">
      <c r="N464" s="335"/>
    </row>
    <row r="465" spans="14:14" x14ac:dyDescent="0.25">
      <c r="N465" s="335"/>
    </row>
    <row r="466" spans="14:14" x14ac:dyDescent="0.25">
      <c r="N466" s="335"/>
    </row>
    <row r="467" spans="14:14" x14ac:dyDescent="0.25">
      <c r="N467" s="335"/>
    </row>
    <row r="468" spans="14:14" x14ac:dyDescent="0.25">
      <c r="N468" s="335"/>
    </row>
    <row r="469" spans="14:14" x14ac:dyDescent="0.25">
      <c r="N469" s="335"/>
    </row>
    <row r="470" spans="14:14" x14ac:dyDescent="0.25">
      <c r="N470" s="335"/>
    </row>
    <row r="471" spans="14:14" x14ac:dyDescent="0.25">
      <c r="N471" s="335"/>
    </row>
    <row r="472" spans="14:14" x14ac:dyDescent="0.25">
      <c r="N472" s="335"/>
    </row>
    <row r="473" spans="14:14" x14ac:dyDescent="0.25">
      <c r="N473" s="335"/>
    </row>
    <row r="474" spans="14:14" x14ac:dyDescent="0.25">
      <c r="N474" s="335"/>
    </row>
    <row r="475" spans="14:14" x14ac:dyDescent="0.25">
      <c r="N475" s="335"/>
    </row>
    <row r="476" spans="14:14" x14ac:dyDescent="0.25">
      <c r="N476" s="335"/>
    </row>
    <row r="477" spans="14:14" x14ac:dyDescent="0.25">
      <c r="N477" s="335"/>
    </row>
    <row r="478" spans="14:14" x14ac:dyDescent="0.25">
      <c r="N478" s="335"/>
    </row>
    <row r="479" spans="14:14" x14ac:dyDescent="0.25">
      <c r="N479" s="335"/>
    </row>
    <row r="480" spans="14:14" x14ac:dyDescent="0.25">
      <c r="N480" s="335"/>
    </row>
    <row r="481" spans="14:14" x14ac:dyDescent="0.25">
      <c r="N481" s="335"/>
    </row>
    <row r="482" spans="14:14" x14ac:dyDescent="0.25">
      <c r="N482" s="335"/>
    </row>
    <row r="483" spans="14:14" x14ac:dyDescent="0.25">
      <c r="N483" s="335"/>
    </row>
    <row r="484" spans="14:14" x14ac:dyDescent="0.25">
      <c r="N484" s="335"/>
    </row>
    <row r="485" spans="14:14" x14ac:dyDescent="0.25">
      <c r="N485" s="335"/>
    </row>
    <row r="486" spans="14:14" x14ac:dyDescent="0.25">
      <c r="N486" s="335"/>
    </row>
    <row r="487" spans="14:14" x14ac:dyDescent="0.25">
      <c r="N487" s="335"/>
    </row>
    <row r="488" spans="14:14" x14ac:dyDescent="0.25">
      <c r="N488" s="335"/>
    </row>
    <row r="489" spans="14:14" x14ac:dyDescent="0.25">
      <c r="N489" s="335"/>
    </row>
    <row r="490" spans="14:14" x14ac:dyDescent="0.25">
      <c r="N490" s="335"/>
    </row>
    <row r="491" spans="14:14" x14ac:dyDescent="0.25">
      <c r="N491" s="335"/>
    </row>
    <row r="492" spans="14:14" x14ac:dyDescent="0.25">
      <c r="N492" s="335"/>
    </row>
    <row r="493" spans="14:14" x14ac:dyDescent="0.25">
      <c r="N493" s="335"/>
    </row>
    <row r="494" spans="14:14" x14ac:dyDescent="0.25">
      <c r="N494" s="335"/>
    </row>
    <row r="495" spans="14:14" x14ac:dyDescent="0.25">
      <c r="N495" s="335"/>
    </row>
    <row r="496" spans="14:14" x14ac:dyDescent="0.25">
      <c r="N496" s="335"/>
    </row>
    <row r="497" spans="14:14" x14ac:dyDescent="0.25">
      <c r="N497" s="335"/>
    </row>
    <row r="498" spans="14:14" x14ac:dyDescent="0.25">
      <c r="N498" s="335"/>
    </row>
    <row r="499" spans="14:14" x14ac:dyDescent="0.25">
      <c r="N499" s="335"/>
    </row>
    <row r="500" spans="14:14" x14ac:dyDescent="0.25">
      <c r="N500" s="335"/>
    </row>
    <row r="501" spans="14:14" x14ac:dyDescent="0.25">
      <c r="N501" s="335"/>
    </row>
    <row r="502" spans="14:14" x14ac:dyDescent="0.25">
      <c r="N502" s="335"/>
    </row>
    <row r="503" spans="14:14" x14ac:dyDescent="0.25">
      <c r="N503" s="335"/>
    </row>
    <row r="504" spans="14:14" x14ac:dyDescent="0.25">
      <c r="N504" s="335"/>
    </row>
    <row r="505" spans="14:14" x14ac:dyDescent="0.25">
      <c r="N505" s="335"/>
    </row>
    <row r="506" spans="14:14" x14ac:dyDescent="0.25">
      <c r="N506" s="335"/>
    </row>
    <row r="507" spans="14:14" x14ac:dyDescent="0.25">
      <c r="N507" s="335"/>
    </row>
    <row r="508" spans="14:14" x14ac:dyDescent="0.25">
      <c r="N508" s="335"/>
    </row>
    <row r="509" spans="14:14" x14ac:dyDescent="0.25">
      <c r="N509" s="335"/>
    </row>
    <row r="510" spans="14:14" x14ac:dyDescent="0.25">
      <c r="N510" s="335"/>
    </row>
    <row r="511" spans="14:14" x14ac:dyDescent="0.25">
      <c r="N511" s="335"/>
    </row>
    <row r="512" spans="14:14" x14ac:dyDescent="0.25">
      <c r="N512" s="335"/>
    </row>
    <row r="513" spans="14:14" x14ac:dyDescent="0.25">
      <c r="N513" s="335"/>
    </row>
    <row r="514" spans="14:14" x14ac:dyDescent="0.25">
      <c r="N514" s="335"/>
    </row>
    <row r="515" spans="14:14" x14ac:dyDescent="0.25">
      <c r="N515" s="335"/>
    </row>
    <row r="516" spans="14:14" x14ac:dyDescent="0.25">
      <c r="N516" s="335"/>
    </row>
    <row r="517" spans="14:14" x14ac:dyDescent="0.25">
      <c r="N517" s="335"/>
    </row>
    <row r="518" spans="14:14" x14ac:dyDescent="0.25">
      <c r="N518" s="335"/>
    </row>
    <row r="519" spans="14:14" x14ac:dyDescent="0.25">
      <c r="N519" s="335"/>
    </row>
    <row r="520" spans="14:14" x14ac:dyDescent="0.25">
      <c r="N520" s="335"/>
    </row>
    <row r="521" spans="14:14" x14ac:dyDescent="0.25">
      <c r="N521" s="335"/>
    </row>
    <row r="522" spans="14:14" x14ac:dyDescent="0.25">
      <c r="N522" s="335"/>
    </row>
    <row r="523" spans="14:14" x14ac:dyDescent="0.25">
      <c r="N523" s="335"/>
    </row>
    <row r="524" spans="14:14" x14ac:dyDescent="0.25">
      <c r="N524" s="335"/>
    </row>
    <row r="525" spans="14:14" x14ac:dyDescent="0.25">
      <c r="N525" s="335"/>
    </row>
    <row r="526" spans="14:14" x14ac:dyDescent="0.25">
      <c r="N526" s="335"/>
    </row>
    <row r="527" spans="14:14" x14ac:dyDescent="0.25">
      <c r="N527" s="335"/>
    </row>
    <row r="528" spans="14:14" x14ac:dyDescent="0.25">
      <c r="N528" s="335"/>
    </row>
    <row r="529" spans="14:14" x14ac:dyDescent="0.25">
      <c r="N529" s="335"/>
    </row>
    <row r="530" spans="14:14" x14ac:dyDescent="0.25">
      <c r="N530" s="335"/>
    </row>
    <row r="531" spans="14:14" x14ac:dyDescent="0.25">
      <c r="N531" s="335"/>
    </row>
    <row r="532" spans="14:14" x14ac:dyDescent="0.25">
      <c r="N532" s="335"/>
    </row>
    <row r="533" spans="14:14" x14ac:dyDescent="0.25">
      <c r="N533" s="335"/>
    </row>
    <row r="534" spans="14:14" x14ac:dyDescent="0.25">
      <c r="N534" s="335"/>
    </row>
    <row r="535" spans="14:14" x14ac:dyDescent="0.25">
      <c r="N535" s="335"/>
    </row>
    <row r="536" spans="14:14" x14ac:dyDescent="0.25">
      <c r="N536" s="335"/>
    </row>
    <row r="537" spans="14:14" x14ac:dyDescent="0.25">
      <c r="N537" s="335"/>
    </row>
    <row r="538" spans="14:14" x14ac:dyDescent="0.25">
      <c r="N538" s="335"/>
    </row>
    <row r="539" spans="14:14" x14ac:dyDescent="0.25">
      <c r="N539" s="335"/>
    </row>
    <row r="540" spans="14:14" x14ac:dyDescent="0.25">
      <c r="N540" s="335"/>
    </row>
    <row r="541" spans="14:14" x14ac:dyDescent="0.25">
      <c r="N541" s="335"/>
    </row>
    <row r="542" spans="14:14" x14ac:dyDescent="0.25">
      <c r="N542" s="335"/>
    </row>
    <row r="543" spans="14:14" x14ac:dyDescent="0.25">
      <c r="N543" s="335"/>
    </row>
    <row r="544" spans="14:14" x14ac:dyDescent="0.25">
      <c r="N544" s="335"/>
    </row>
    <row r="545" spans="14:14" x14ac:dyDescent="0.25">
      <c r="N545" s="335"/>
    </row>
    <row r="546" spans="14:14" x14ac:dyDescent="0.25">
      <c r="N546" s="335"/>
    </row>
    <row r="547" spans="14:14" x14ac:dyDescent="0.25">
      <c r="N547" s="335"/>
    </row>
    <row r="548" spans="14:14" x14ac:dyDescent="0.25">
      <c r="N548" s="335"/>
    </row>
    <row r="549" spans="14:14" x14ac:dyDescent="0.25">
      <c r="N549" s="335"/>
    </row>
    <row r="550" spans="14:14" x14ac:dyDescent="0.25">
      <c r="N550" s="335"/>
    </row>
    <row r="551" spans="14:14" x14ac:dyDescent="0.25">
      <c r="N551" s="335"/>
    </row>
    <row r="552" spans="14:14" x14ac:dyDescent="0.25">
      <c r="N552" s="335"/>
    </row>
    <row r="553" spans="14:14" x14ac:dyDescent="0.25">
      <c r="N553" s="335"/>
    </row>
    <row r="554" spans="14:14" x14ac:dyDescent="0.25">
      <c r="N554" s="335"/>
    </row>
    <row r="555" spans="14:14" x14ac:dyDescent="0.25">
      <c r="N555" s="335"/>
    </row>
    <row r="556" spans="14:14" x14ac:dyDescent="0.25">
      <c r="N556" s="335"/>
    </row>
    <row r="557" spans="14:14" x14ac:dyDescent="0.25">
      <c r="N557" s="335"/>
    </row>
    <row r="558" spans="14:14" x14ac:dyDescent="0.25">
      <c r="N558" s="335"/>
    </row>
    <row r="559" spans="14:14" x14ac:dyDescent="0.25">
      <c r="N559" s="335"/>
    </row>
    <row r="560" spans="14:14" x14ac:dyDescent="0.25">
      <c r="N560" s="335"/>
    </row>
    <row r="561" spans="14:14" x14ac:dyDescent="0.25">
      <c r="N561" s="335"/>
    </row>
    <row r="562" spans="14:14" x14ac:dyDescent="0.25">
      <c r="N562" s="335"/>
    </row>
    <row r="563" spans="14:14" x14ac:dyDescent="0.25">
      <c r="N563" s="335"/>
    </row>
    <row r="564" spans="14:14" x14ac:dyDescent="0.25">
      <c r="N564" s="335"/>
    </row>
    <row r="565" spans="14:14" x14ac:dyDescent="0.25">
      <c r="N565" s="335"/>
    </row>
    <row r="566" spans="14:14" x14ac:dyDescent="0.25">
      <c r="N566" s="335"/>
    </row>
    <row r="567" spans="14:14" x14ac:dyDescent="0.25">
      <c r="N567" s="335"/>
    </row>
    <row r="568" spans="14:14" x14ac:dyDescent="0.25">
      <c r="N568" s="335"/>
    </row>
    <row r="569" spans="14:14" x14ac:dyDescent="0.25">
      <c r="N569" s="335"/>
    </row>
    <row r="570" spans="14:14" x14ac:dyDescent="0.25">
      <c r="N570" s="335"/>
    </row>
    <row r="571" spans="14:14" x14ac:dyDescent="0.25">
      <c r="N571" s="335"/>
    </row>
    <row r="572" spans="14:14" x14ac:dyDescent="0.25">
      <c r="N572" s="335"/>
    </row>
    <row r="573" spans="14:14" x14ac:dyDescent="0.25">
      <c r="N573" s="335"/>
    </row>
    <row r="574" spans="14:14" x14ac:dyDescent="0.25">
      <c r="N574" s="335"/>
    </row>
    <row r="575" spans="14:14" x14ac:dyDescent="0.25">
      <c r="N575" s="335"/>
    </row>
    <row r="576" spans="14:14" x14ac:dyDescent="0.25">
      <c r="N576" s="335"/>
    </row>
    <row r="577" spans="14:14" x14ac:dyDescent="0.25">
      <c r="N577" s="335"/>
    </row>
    <row r="578" spans="14:14" x14ac:dyDescent="0.25">
      <c r="N578" s="335"/>
    </row>
    <row r="579" spans="14:14" x14ac:dyDescent="0.25">
      <c r="N579" s="335"/>
    </row>
    <row r="580" spans="14:14" x14ac:dyDescent="0.25">
      <c r="N580" s="335"/>
    </row>
    <row r="581" spans="14:14" x14ac:dyDescent="0.25">
      <c r="N581" s="335"/>
    </row>
    <row r="582" spans="14:14" x14ac:dyDescent="0.25">
      <c r="N582" s="335"/>
    </row>
    <row r="583" spans="14:14" x14ac:dyDescent="0.25">
      <c r="N583" s="335"/>
    </row>
    <row r="584" spans="14:14" x14ac:dyDescent="0.25">
      <c r="N584" s="335"/>
    </row>
    <row r="585" spans="14:14" x14ac:dyDescent="0.25">
      <c r="N585" s="335"/>
    </row>
    <row r="586" spans="14:14" x14ac:dyDescent="0.25">
      <c r="N586" s="335"/>
    </row>
    <row r="587" spans="14:14" x14ac:dyDescent="0.25">
      <c r="N587" s="335"/>
    </row>
    <row r="588" spans="14:14" x14ac:dyDescent="0.25">
      <c r="N588" s="335"/>
    </row>
    <row r="589" spans="14:14" x14ac:dyDescent="0.25">
      <c r="N589" s="335"/>
    </row>
    <row r="590" spans="14:14" x14ac:dyDescent="0.25">
      <c r="N590" s="335"/>
    </row>
    <row r="591" spans="14:14" x14ac:dyDescent="0.25">
      <c r="N591" s="335"/>
    </row>
    <row r="592" spans="14:14" x14ac:dyDescent="0.25">
      <c r="N592" s="335"/>
    </row>
    <row r="593" spans="14:14" x14ac:dyDescent="0.25">
      <c r="N593" s="335"/>
    </row>
    <row r="594" spans="14:14" x14ac:dyDescent="0.25">
      <c r="N594" s="335"/>
    </row>
    <row r="595" spans="14:14" x14ac:dyDescent="0.25">
      <c r="N595" s="335"/>
    </row>
    <row r="596" spans="14:14" x14ac:dyDescent="0.25">
      <c r="N596" s="335"/>
    </row>
    <row r="597" spans="14:14" x14ac:dyDescent="0.25">
      <c r="N597" s="335"/>
    </row>
    <row r="598" spans="14:14" x14ac:dyDescent="0.25">
      <c r="N598" s="335"/>
    </row>
    <row r="599" spans="14:14" x14ac:dyDescent="0.25">
      <c r="N599" s="335"/>
    </row>
    <row r="600" spans="14:14" x14ac:dyDescent="0.25">
      <c r="N600" s="335"/>
    </row>
    <row r="601" spans="14:14" x14ac:dyDescent="0.25">
      <c r="N601" s="335"/>
    </row>
    <row r="602" spans="14:14" x14ac:dyDescent="0.25">
      <c r="N602" s="335"/>
    </row>
    <row r="603" spans="14:14" x14ac:dyDescent="0.25">
      <c r="N603" s="335"/>
    </row>
    <row r="604" spans="14:14" x14ac:dyDescent="0.25">
      <c r="N604" s="335"/>
    </row>
    <row r="605" spans="14:14" x14ac:dyDescent="0.25">
      <c r="N605" s="335"/>
    </row>
    <row r="606" spans="14:14" x14ac:dyDescent="0.25">
      <c r="N606" s="335"/>
    </row>
    <row r="607" spans="14:14" x14ac:dyDescent="0.25">
      <c r="N607" s="335"/>
    </row>
    <row r="608" spans="14:14" x14ac:dyDescent="0.25">
      <c r="N608" s="335"/>
    </row>
    <row r="609" spans="14:14" x14ac:dyDescent="0.25">
      <c r="N609" s="335"/>
    </row>
    <row r="610" spans="14:14" x14ac:dyDescent="0.25">
      <c r="N610" s="335"/>
    </row>
    <row r="611" spans="14:14" x14ac:dyDescent="0.25">
      <c r="N611" s="335"/>
    </row>
    <row r="612" spans="14:14" x14ac:dyDescent="0.25">
      <c r="N612" s="335"/>
    </row>
    <row r="613" spans="14:14" x14ac:dyDescent="0.25">
      <c r="N613" s="335"/>
    </row>
    <row r="614" spans="14:14" x14ac:dyDescent="0.25">
      <c r="N614" s="335"/>
    </row>
    <row r="615" spans="14:14" x14ac:dyDescent="0.25">
      <c r="N615" s="335"/>
    </row>
    <row r="616" spans="14:14" x14ac:dyDescent="0.25">
      <c r="N616" s="335"/>
    </row>
    <row r="617" spans="14:14" x14ac:dyDescent="0.25">
      <c r="N617" s="335"/>
    </row>
    <row r="618" spans="14:14" x14ac:dyDescent="0.25">
      <c r="N618" s="335"/>
    </row>
    <row r="619" spans="14:14" x14ac:dyDescent="0.25">
      <c r="N619" s="335"/>
    </row>
  </sheetData>
  <sheetProtection autoFilter="0"/>
  <autoFilter ref="A2:AY208">
    <sortState ref="A3:AY210">
      <sortCondition ref="B2:B210"/>
    </sortState>
  </autoFilter>
  <mergeCells count="5">
    <mergeCell ref="AM1:AN1"/>
    <mergeCell ref="AJ1:AL1"/>
    <mergeCell ref="AB1:AD1"/>
    <mergeCell ref="AF1:AG1"/>
    <mergeCell ref="AH1:AI1"/>
  </mergeCells>
  <conditionalFormatting sqref="A1:AY1048576">
    <cfRule type="cellIs" dxfId="931" priority="2" operator="equal">
      <formula>"F"</formula>
    </cfRule>
    <cfRule type="expression" dxfId="930" priority="3">
      <formula>IF(ROW()&lt;3, "", AND(COLUMN()&lt;&gt;16, ISNUMBER(SEARCH("PTE",A1))))</formula>
    </cfRule>
    <cfRule type="expression" dxfId="929" priority="4">
      <formula>ISNUMBER(FIND("02-",$P1))</formula>
    </cfRule>
    <cfRule type="expression" dxfId="928" priority="5">
      <formula>$P1="03-TRAMITADA"</formula>
    </cfRule>
    <cfRule type="expression" dxfId="927" priority="6">
      <formula>$P1="04-EJECUTADA"</formula>
    </cfRule>
    <cfRule type="expression" dxfId="926" priority="7">
      <formula>$P1="ZZ-RECHAZADA"</formula>
    </cfRule>
  </conditionalFormatting>
  <conditionalFormatting sqref="N1:N1048576">
    <cfRule type="expression" dxfId="925" priority="1">
      <formula>AND(NOT(ISBLANK(N1)), N1&lt;=TODAY())</formula>
    </cfRule>
  </conditionalFormatting>
  <dataValidations count="4">
    <dataValidation type="list" allowBlank="1" showInputMessage="1" showErrorMessage="1" sqref="AR219:AR222 P1:P1048576">
      <formula1>Tabla_01_Estado</formula1>
    </dataValidation>
    <dataValidation type="list" allowBlank="1" showInputMessage="1" showErrorMessage="1" sqref="AQ3:AQ1048576">
      <formula1>"administracion@instalacionesaraujo.com,wyllye1971@gmail.com"</formula1>
    </dataValidation>
    <dataValidation type="list" allowBlank="1" showInputMessage="1" showErrorMessage="1" sqref="AA3:AA1048576">
      <formula1>"---,NP,PTE,PEDIDA,OK"</formula1>
    </dataValidation>
    <dataValidation type="list" allowBlank="1" showInputMessage="1" showErrorMessage="1" sqref="AO3:AO1048576">
      <formula1>"🔒"</formula1>
    </dataValidation>
  </dataValidations>
  <hyperlinks>
    <hyperlink ref="B190" location="'Virgen de la antigua 26'!A1" display="Virgen de la Antigua 26"/>
    <hyperlink ref="B177" location="'Tarfia 53'!A1" display="Tarfia 53"/>
    <hyperlink ref="B174" location="'Sextante 4'!A1" display="Sextante 4"/>
    <hyperlink ref="B162" location="'Rafael Laffón 7'!A1" display="Rafael Laffón 7"/>
    <hyperlink ref="B156" location="'Perdiz 5'!A1" display="Perdiz 5"/>
    <hyperlink ref="B152" location="'Paz 29'!A1" display="Paz 29"/>
    <hyperlink ref="B147" location="'Palma del Río 12'!A1" display="Palma del Río 12"/>
    <hyperlink ref="B134" location="'Nuestra Señora de la Oliva 110'!A1" display="Nuestra Señora de la Oliva 110"/>
    <hyperlink ref="B140" location="'Nuestra Señora de la Oliva 67'!A1" display="Nuestra Señora de la Oliva 67"/>
    <hyperlink ref="B137" location="'Nuestra Señora de la Oliva 2'!A1" display="Nuestra Señora de la Oliva 2"/>
    <hyperlink ref="B122" location="'Miguel Cid 62'!A1" display="Miguel cid 62"/>
    <hyperlink ref="B114" location="'Mandarinas 2'!A1" display="Mandarinas 2"/>
    <hyperlink ref="B112" location="'Luceros 4'!A1" display="Luceros 4"/>
    <hyperlink ref="B104" location="'Juan Pablos 17'!A1" display="Juan Pablos 17"/>
    <hyperlink ref="B98" location="'Jorge de Montemayor 34'!A1" display="Jorge de Montemayor 34"/>
    <hyperlink ref="B85" location="'Guardabosques 3'!A1" display="Guardabosques 3"/>
    <hyperlink ref="B123" location="'Mijares 3'!A1" display="Mijares 3"/>
    <hyperlink ref="B45" location="'Diego Puerta 1-35'!A1" display="Diego Puerta 1-35"/>
    <hyperlink ref="B44" location="'Diego Puerta 1-34'!A1" display="Diego Puerta 1-34"/>
    <hyperlink ref="B35" location="'Ciudad de Chiva 7'!A1" display="Ciudad de Chiva 7"/>
    <hyperlink ref="B33" location="'Ciudad de Carcagente 2'!A1" display="Ciudad de Carcagente 2"/>
    <hyperlink ref="B7" location="'Alberche 17'!A1" display="Alberche 17"/>
    <hyperlink ref="B6" location="'Agata 7'!A1" display="Agata 7"/>
    <hyperlink ref="B58" location="'Doña Francisquita 20'!A1" display="Doña Francisquita 20"/>
    <hyperlink ref="B4" location="'Abogado Rafael Medina 1-06'!A1" display="Abogado Rafael Medina 1-06"/>
    <hyperlink ref="B55" location="'Doctores González Meneses 10'!A1" display="Doctores González Meneses 10"/>
    <hyperlink ref="B47" location="'Diego Puerta 5-39'!A1" display="Diego Puerta 5-39"/>
    <hyperlink ref="B46" location="'Diego Puerta 5-38'!A1" display="Diego Puerta 5-38"/>
    <hyperlink ref="B3" location="'Abogado Rafael Medina 1-05'!A1" display="Abogado Rafael Medina 1-05"/>
    <hyperlink ref="B24" location="'Betis 20'!A1" display="Betis 20"/>
    <hyperlink ref="B51" location="'Doctor Fedriani 39'!A1" display="Doctor Fedriani 39"/>
    <hyperlink ref="B61" location="'Duendes de Sevilla 1'!A1" display="Duendes de Sevilla 1"/>
    <hyperlink ref="B80" location="'Generalife 13'!A1" display="Generalife 13"/>
    <hyperlink ref="B83" location="'Goya 21'!A1" display="Goya 21"/>
    <hyperlink ref="B141" location="'Nuestra Señora de la oliva 94'!A1" display="Nuestra Señora de la oliva 94"/>
    <hyperlink ref="B163" location="'Regimiento de Soria 9 2'!A1" display="Regimiento de Soria 9 2"/>
    <hyperlink ref="B165" location="'Rodrigo de Triana 9'!A1" display="Rodrigo de Triana 9"/>
    <hyperlink ref="B175" location="'Sinaí 39'!A1" display="Sinaí 39"/>
    <hyperlink ref="B117" location="'Mar de Alborán 14'!A1" display="Mar de Alborán 14"/>
    <hyperlink ref="B125" location="'Moncayo 6'!A1" display="Moncayo 6"/>
    <hyperlink ref="F202" r:id="rId1"/>
    <hyperlink ref="F203" r:id="rId2"/>
    <hyperlink ref="F40" r:id="rId3"/>
    <hyperlink ref="F23" r:id="rId4"/>
    <hyperlink ref="F38" r:id="rId5" display="leonyajaira22@gmail.com"/>
    <hyperlink ref="F19" r:id="rId6" display="leonyajaira22@gmail.com"/>
    <hyperlink ref="F200" r:id="rId7"/>
    <hyperlink ref="F113" r:id="rId8"/>
    <hyperlink ref="F148" r:id="rId9"/>
    <hyperlink ref="F88" r:id="rId10"/>
    <hyperlink ref="F199" r:id="rId11"/>
    <hyperlink ref="F25" r:id="rId12"/>
    <hyperlink ref="F172" r:id="rId13"/>
    <hyperlink ref="F17" r:id="rId14"/>
    <hyperlink ref="F185" r:id="rId15"/>
    <hyperlink ref="F170" r:id="rId16"/>
    <hyperlink ref="F107" r:id="rId17"/>
    <hyperlink ref="F39" r:id="rId18"/>
    <hyperlink ref="F103" r:id="rId19"/>
    <hyperlink ref="F41" r:id="rId20"/>
    <hyperlink ref="F18" r:id="rId21"/>
    <hyperlink ref="F187" r:id="rId22"/>
    <hyperlink ref="F198" r:id="rId23"/>
    <hyperlink ref="F84" r:id="rId24"/>
    <hyperlink ref="F197" r:id="rId25"/>
    <hyperlink ref="F62" r:id="rId26"/>
    <hyperlink ref="F196" r:id="rId27"/>
    <hyperlink ref="F94" r:id="rId28"/>
    <hyperlink ref="F121" r:id="rId29"/>
    <hyperlink ref="F195" r:id="rId30"/>
    <hyperlink ref="F167" r:id="rId31"/>
    <hyperlink ref="F169" r:id="rId32"/>
    <hyperlink ref="F119" r:id="rId33"/>
    <hyperlink ref="F158" r:id="rId34"/>
    <hyperlink ref="F166" r:id="rId35"/>
    <hyperlink ref="F12" r:id="rId36"/>
    <hyperlink ref="F105" r:id="rId37" display="josecarloszafra@zafraadinistracion.com"/>
    <hyperlink ref="F191" r:id="rId38"/>
    <hyperlink ref="F193" r:id="rId39"/>
    <hyperlink ref="F201" r:id="rId40"/>
    <hyperlink ref="F11" r:id="rId41"/>
    <hyperlink ref="F90" r:id="rId42"/>
    <hyperlink ref="F77" r:id="rId43"/>
    <hyperlink ref="I77" r:id="rId44"/>
    <hyperlink ref="F76" r:id="rId45"/>
    <hyperlink ref="I76" r:id="rId46"/>
    <hyperlink ref="F73" r:id="rId47"/>
    <hyperlink ref="F161" r:id="rId48"/>
    <hyperlink ref="F26" r:id="rId49"/>
    <hyperlink ref="F27" r:id="rId50"/>
    <hyperlink ref="F30" r:id="rId51"/>
    <hyperlink ref="F37" r:id="rId52"/>
    <hyperlink ref="F70" r:id="rId53"/>
    <hyperlink ref="F71" r:id="rId54"/>
    <hyperlink ref="F181" r:id="rId55"/>
    <hyperlink ref="F95" r:id="rId56"/>
    <hyperlink ref="F143" r:id="rId57"/>
    <hyperlink ref="F9" r:id="rId58"/>
    <hyperlink ref="F204" r:id="rId59"/>
    <hyperlink ref="F205" r:id="rId60"/>
    <hyperlink ref="F115" r:id="rId61"/>
    <hyperlink ref="I26" r:id="rId62"/>
  </hyperlinks>
  <pageMargins left="0.7" right="0.7" top="0.75" bottom="0.75" header="0.3" footer="0.3"/>
  <pageSetup paperSize="9" orientation="portrait" horizontalDpi="1200" verticalDpi="1200" r:id="rId63"/>
  <drawing r:id="rId64"/>
  <legacyDrawing r:id="rId6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
  <sheetViews>
    <sheetView workbookViewId="0"/>
  </sheetViews>
  <sheetFormatPr baseColWidth="10" defaultRowHeight="14.25" customHeight="1" x14ac:dyDescent="0.25"/>
  <cols>
    <col min="1" max="1" width="29" style="362" bestFit="1" customWidth="1"/>
    <col min="2" max="2" width="7.28515625" style="362" bestFit="1" customWidth="1"/>
    <col min="3" max="3" width="20.140625" style="362" bestFit="1" customWidth="1"/>
    <col min="4" max="4" width="51.5703125" style="362" bestFit="1" customWidth="1"/>
    <col min="5" max="5" width="52.140625" style="362" bestFit="1" customWidth="1"/>
    <col min="6" max="6" width="31.140625" style="362" bestFit="1" customWidth="1"/>
    <col min="7" max="7" width="52.140625" style="362" bestFit="1" customWidth="1"/>
    <col min="8" max="16384" width="11.42578125" style="362"/>
  </cols>
  <sheetData>
    <row r="1" spans="1:7" ht="135" x14ac:dyDescent="0.25">
      <c r="A1" s="361" t="s">
        <v>2581</v>
      </c>
    </row>
    <row r="3" spans="1:7" ht="14.25" customHeight="1" x14ac:dyDescent="0.25">
      <c r="A3" s="376" t="s">
        <v>2550</v>
      </c>
      <c r="B3" s="362" t="s">
        <v>2551</v>
      </c>
      <c r="C3" s="362" t="s">
        <v>2552</v>
      </c>
      <c r="D3" s="362" t="s">
        <v>2563</v>
      </c>
      <c r="E3" s="362" t="s">
        <v>2555</v>
      </c>
      <c r="F3" s="362" t="s">
        <v>2564</v>
      </c>
      <c r="G3" s="362" t="s">
        <v>2565</v>
      </c>
    </row>
    <row r="4" spans="1:7" ht="14.25" customHeight="1" x14ac:dyDescent="0.25">
      <c r="A4" s="376"/>
      <c r="B4" s="362">
        <v>1</v>
      </c>
      <c r="C4" s="362" t="s">
        <v>2553</v>
      </c>
      <c r="D4" s="362" t="s">
        <v>2566</v>
      </c>
      <c r="E4" s="362" t="s">
        <v>2567</v>
      </c>
      <c r="F4" s="362" t="s">
        <v>2568</v>
      </c>
      <c r="G4" s="362" t="s">
        <v>2557</v>
      </c>
    </row>
    <row r="5" spans="1:7" ht="14.25" customHeight="1" x14ac:dyDescent="0.25">
      <c r="A5" s="376"/>
      <c r="B5" s="362">
        <v>2</v>
      </c>
      <c r="C5" s="362" t="s">
        <v>2557</v>
      </c>
      <c r="D5" s="362" t="s">
        <v>2561</v>
      </c>
      <c r="E5" s="362" t="s">
        <v>2569</v>
      </c>
      <c r="F5" s="362" t="s">
        <v>0</v>
      </c>
      <c r="G5" s="362" t="s">
        <v>2558</v>
      </c>
    </row>
    <row r="6" spans="1:7" ht="14.25" customHeight="1" x14ac:dyDescent="0.25">
      <c r="A6" s="376"/>
      <c r="B6" s="362">
        <v>3</v>
      </c>
      <c r="C6" s="362" t="s">
        <v>2558</v>
      </c>
      <c r="D6" s="362" t="s">
        <v>2561</v>
      </c>
      <c r="E6" s="362" t="s">
        <v>2570</v>
      </c>
      <c r="F6" s="362" t="s">
        <v>2571</v>
      </c>
      <c r="G6" s="362" t="s">
        <v>2559</v>
      </c>
    </row>
    <row r="7" spans="1:7" ht="14.25" customHeight="1" x14ac:dyDescent="0.25">
      <c r="A7" s="376"/>
      <c r="B7" s="362">
        <v>4</v>
      </c>
      <c r="C7" s="362" t="s">
        <v>2559</v>
      </c>
      <c r="D7" s="362" t="s">
        <v>2572</v>
      </c>
      <c r="E7" s="362" t="s">
        <v>2562</v>
      </c>
      <c r="F7" s="362" t="s">
        <v>2573</v>
      </c>
      <c r="G7" s="362" t="s">
        <v>2560</v>
      </c>
    </row>
    <row r="8" spans="1:7" ht="14.25" customHeight="1" x14ac:dyDescent="0.25">
      <c r="A8" s="376"/>
      <c r="B8" s="362">
        <v>4</v>
      </c>
      <c r="C8" s="362" t="s">
        <v>2559</v>
      </c>
      <c r="D8" s="362" t="s">
        <v>2572</v>
      </c>
      <c r="E8" s="362" t="s">
        <v>2562</v>
      </c>
      <c r="F8" s="362" t="s">
        <v>2574</v>
      </c>
      <c r="G8" s="362" t="s">
        <v>2560</v>
      </c>
    </row>
    <row r="9" spans="1:7" ht="14.25" customHeight="1" x14ac:dyDescent="0.25">
      <c r="A9" s="376"/>
      <c r="B9" s="362">
        <v>5</v>
      </c>
      <c r="C9" s="362" t="s">
        <v>2560</v>
      </c>
      <c r="D9" s="362" t="s">
        <v>2575</v>
      </c>
      <c r="E9" s="362" t="s">
        <v>2576</v>
      </c>
      <c r="F9" s="362" t="s">
        <v>2577</v>
      </c>
      <c r="G9" s="362" t="s">
        <v>2578</v>
      </c>
    </row>
    <row r="10" spans="1:7" ht="14.25" customHeight="1" x14ac:dyDescent="0.25">
      <c r="A10" s="376"/>
      <c r="B10" s="362">
        <v>5</v>
      </c>
      <c r="C10" s="362" t="s">
        <v>2560</v>
      </c>
      <c r="D10" s="362" t="s">
        <v>2579</v>
      </c>
      <c r="E10" s="362" t="s">
        <v>2580</v>
      </c>
      <c r="F10" s="362" t="s">
        <v>2556</v>
      </c>
      <c r="G10" s="362" t="s">
        <v>2554</v>
      </c>
    </row>
  </sheetData>
  <mergeCells count="1">
    <mergeCell ref="A3:A10"/>
  </mergeCells>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tabColor rgb="FF004079"/>
    <outlinePr summaryBelow="0" summaryRight="0"/>
  </sheetPr>
  <dimension ref="A1:V44"/>
  <sheetViews>
    <sheetView zoomScaleNormal="100" workbookViewId="0">
      <pane ySplit="2" topLeftCell="A5"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Z2-MODELO</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FALTA</v>
      </c>
      <c r="B3" s="385" t="s">
        <v>116</v>
      </c>
      <c r="C3" s="23" t="s">
        <v>1333</v>
      </c>
      <c r="D3" s="29" t="s">
        <v>5</v>
      </c>
      <c r="E3" s="10"/>
      <c r="F3" s="30">
        <f>IF(AND(ISBLANK(U3),ISBLANK(V3)),1-(COUNTIF(G3:V4,"F")/7),1-(COUNTIF(U3:V3,"F")/2))</f>
        <v>0</v>
      </c>
      <c r="G3" s="24"/>
      <c r="H3" s="24"/>
      <c r="I3" s="24"/>
      <c r="J3" s="24"/>
      <c r="K3" s="24"/>
      <c r="L3" s="24" t="s">
        <v>28</v>
      </c>
      <c r="M3" s="11" t="s">
        <v>8</v>
      </c>
      <c r="N3" s="24"/>
      <c r="O3" s="24"/>
      <c r="P3" s="25"/>
      <c r="Q3" s="24" t="s">
        <v>24</v>
      </c>
      <c r="R3" s="11" t="s">
        <v>8</v>
      </c>
      <c r="S3" s="24" t="s">
        <v>12</v>
      </c>
      <c r="T3" s="11" t="s">
        <v>8</v>
      </c>
      <c r="U3" s="381"/>
      <c r="V3" s="381"/>
    </row>
    <row r="4" spans="1:22" x14ac:dyDescent="0.25">
      <c r="A4" s="384"/>
      <c r="B4" s="386"/>
      <c r="C4" s="23" t="s">
        <v>1333</v>
      </c>
      <c r="D4" s="29" t="s">
        <v>6</v>
      </c>
      <c r="E4" s="10"/>
      <c r="F4" s="30">
        <f>COUNTIF(A5:A44,"*COMPLETO*")/COUNTA(A5:A44)</f>
        <v>0</v>
      </c>
      <c r="G4" s="24"/>
      <c r="H4" s="24" t="s">
        <v>18</v>
      </c>
      <c r="I4" s="11" t="s">
        <v>8</v>
      </c>
      <c r="J4" s="24"/>
      <c r="K4" s="24"/>
      <c r="L4" s="24" t="s">
        <v>23</v>
      </c>
      <c r="M4" s="11" t="s">
        <v>8</v>
      </c>
      <c r="N4" s="24"/>
      <c r="O4" s="24"/>
      <c r="P4" s="11"/>
      <c r="Q4" s="24" t="s">
        <v>26</v>
      </c>
      <c r="R4" s="11" t="s">
        <v>8</v>
      </c>
      <c r="S4" s="24" t="s">
        <v>19</v>
      </c>
      <c r="T4" s="11" t="s">
        <v>8</v>
      </c>
      <c r="U4" s="382"/>
      <c r="V4" s="382"/>
    </row>
    <row r="5" spans="1:22" ht="15" customHeight="1" x14ac:dyDescent="0.25">
      <c r="A5" s="19" t="str">
        <f>IF(COUNTIF(F5:V5,"F")&gt;0,"FALTA","COMPLETO")</f>
        <v>FALTA</v>
      </c>
      <c r="B5" s="20" t="s">
        <v>3</v>
      </c>
      <c r="C5" s="17" t="s">
        <v>1333</v>
      </c>
      <c r="D5" s="18"/>
      <c r="E5" s="18"/>
      <c r="F5" s="7" t="s">
        <v>8</v>
      </c>
      <c r="G5" s="7" t="s">
        <v>8</v>
      </c>
      <c r="H5" s="7" t="s">
        <v>8</v>
      </c>
      <c r="I5" s="7" t="s">
        <v>9</v>
      </c>
      <c r="J5" s="11" t="s">
        <v>9</v>
      </c>
      <c r="K5" s="11" t="s">
        <v>9</v>
      </c>
      <c r="L5" s="7" t="s">
        <v>9</v>
      </c>
      <c r="M5" s="11" t="s">
        <v>9</v>
      </c>
      <c r="N5" s="11" t="s">
        <v>9</v>
      </c>
      <c r="O5" s="11" t="s">
        <v>9</v>
      </c>
      <c r="P5" s="7" t="s">
        <v>9</v>
      </c>
      <c r="Q5" s="8" t="s">
        <v>9</v>
      </c>
      <c r="R5" s="7" t="s">
        <v>9</v>
      </c>
      <c r="S5" s="7" t="s">
        <v>9</v>
      </c>
      <c r="T5" s="12" t="s">
        <v>9</v>
      </c>
      <c r="U5" s="7"/>
      <c r="V5" s="7"/>
    </row>
    <row r="6" spans="1:22" ht="15" customHeight="1" x14ac:dyDescent="0.25">
      <c r="A6" s="19" t="str">
        <f t="shared" ref="A6:A44" si="0">IF(COUNTIF(F6:V6,"F")&gt;0,"FALTA","COMPLETO")</f>
        <v>FALTA</v>
      </c>
      <c r="B6" s="20" t="s">
        <v>3</v>
      </c>
      <c r="C6" s="17" t="s">
        <v>1333</v>
      </c>
      <c r="D6" s="18"/>
      <c r="E6" s="18"/>
      <c r="F6" s="7" t="s">
        <v>8</v>
      </c>
      <c r="G6" s="7" t="s">
        <v>8</v>
      </c>
      <c r="H6" s="7" t="s">
        <v>8</v>
      </c>
      <c r="I6" s="7" t="s">
        <v>9</v>
      </c>
      <c r="J6" s="11" t="s">
        <v>9</v>
      </c>
      <c r="K6" s="11" t="s">
        <v>9</v>
      </c>
      <c r="L6" s="7" t="s">
        <v>9</v>
      </c>
      <c r="M6" s="11" t="s">
        <v>9</v>
      </c>
      <c r="N6" s="11" t="s">
        <v>9</v>
      </c>
      <c r="O6" s="11" t="s">
        <v>9</v>
      </c>
      <c r="P6" s="7" t="s">
        <v>9</v>
      </c>
      <c r="Q6" s="8" t="s">
        <v>9</v>
      </c>
      <c r="R6" s="7" t="s">
        <v>9</v>
      </c>
      <c r="S6" s="7" t="s">
        <v>9</v>
      </c>
      <c r="T6" s="12" t="s">
        <v>9</v>
      </c>
      <c r="U6" s="7"/>
      <c r="V6" s="7"/>
    </row>
    <row r="7" spans="1:22" ht="15" customHeight="1" x14ac:dyDescent="0.25">
      <c r="A7" s="19" t="str">
        <f t="shared" si="0"/>
        <v>FALTA</v>
      </c>
      <c r="B7" s="20" t="s">
        <v>3</v>
      </c>
      <c r="C7" s="17" t="s">
        <v>1333</v>
      </c>
      <c r="D7" s="18"/>
      <c r="E7" s="18"/>
      <c r="F7" s="7" t="s">
        <v>8</v>
      </c>
      <c r="G7" s="7" t="s">
        <v>8</v>
      </c>
      <c r="H7" s="7" t="s">
        <v>8</v>
      </c>
      <c r="I7" s="7" t="s">
        <v>9</v>
      </c>
      <c r="J7" s="11" t="s">
        <v>9</v>
      </c>
      <c r="K7" s="11" t="s">
        <v>9</v>
      </c>
      <c r="L7" s="7" t="s">
        <v>9</v>
      </c>
      <c r="M7" s="11" t="s">
        <v>9</v>
      </c>
      <c r="N7" s="11" t="s">
        <v>9</v>
      </c>
      <c r="O7" s="11" t="s">
        <v>9</v>
      </c>
      <c r="P7" s="7" t="s">
        <v>9</v>
      </c>
      <c r="Q7" s="8" t="s">
        <v>9</v>
      </c>
      <c r="R7" s="7" t="s">
        <v>9</v>
      </c>
      <c r="S7" s="7" t="s">
        <v>9</v>
      </c>
      <c r="T7" s="12" t="s">
        <v>9</v>
      </c>
      <c r="U7" s="7"/>
      <c r="V7" s="7"/>
    </row>
    <row r="8" spans="1:22" x14ac:dyDescent="0.25">
      <c r="A8" s="19" t="str">
        <f t="shared" si="0"/>
        <v>FALTA</v>
      </c>
      <c r="B8" s="20" t="s">
        <v>3</v>
      </c>
      <c r="C8" s="17" t="s">
        <v>1333</v>
      </c>
      <c r="D8" s="18"/>
      <c r="E8" s="18"/>
      <c r="F8" s="7" t="s">
        <v>8</v>
      </c>
      <c r="G8" s="7" t="s">
        <v>8</v>
      </c>
      <c r="H8" s="7" t="s">
        <v>8</v>
      </c>
      <c r="I8" s="7" t="s">
        <v>9</v>
      </c>
      <c r="J8" s="11" t="s">
        <v>9</v>
      </c>
      <c r="K8" s="11" t="s">
        <v>9</v>
      </c>
      <c r="L8" s="7" t="s">
        <v>9</v>
      </c>
      <c r="M8" s="11" t="s">
        <v>9</v>
      </c>
      <c r="N8" s="11" t="s">
        <v>9</v>
      </c>
      <c r="O8" s="11" t="s">
        <v>9</v>
      </c>
      <c r="P8" s="7" t="s">
        <v>9</v>
      </c>
      <c r="Q8" s="8" t="s">
        <v>9</v>
      </c>
      <c r="R8" s="7" t="s">
        <v>9</v>
      </c>
      <c r="S8" s="7" t="s">
        <v>9</v>
      </c>
      <c r="T8" s="12" t="s">
        <v>9</v>
      </c>
      <c r="U8" s="7"/>
      <c r="V8" s="7"/>
    </row>
    <row r="9" spans="1:22" x14ac:dyDescent="0.25">
      <c r="A9" s="19" t="str">
        <f t="shared" si="0"/>
        <v>FALTA</v>
      </c>
      <c r="B9" s="20" t="s">
        <v>3</v>
      </c>
      <c r="C9" s="17" t="s">
        <v>1333</v>
      </c>
      <c r="D9" s="18"/>
      <c r="E9" s="18"/>
      <c r="F9" s="7" t="s">
        <v>8</v>
      </c>
      <c r="G9" s="7" t="s">
        <v>8</v>
      </c>
      <c r="H9" s="7" t="s">
        <v>8</v>
      </c>
      <c r="I9" s="7" t="s">
        <v>9</v>
      </c>
      <c r="J9" s="11" t="s">
        <v>9</v>
      </c>
      <c r="K9" s="11" t="s">
        <v>9</v>
      </c>
      <c r="L9" s="7" t="s">
        <v>9</v>
      </c>
      <c r="M9" s="11" t="s">
        <v>9</v>
      </c>
      <c r="N9" s="11" t="s">
        <v>9</v>
      </c>
      <c r="O9" s="11" t="s">
        <v>9</v>
      </c>
      <c r="P9" s="7" t="s">
        <v>9</v>
      </c>
      <c r="Q9" s="8" t="s">
        <v>9</v>
      </c>
      <c r="R9" s="7" t="s">
        <v>9</v>
      </c>
      <c r="S9" s="7" t="s">
        <v>9</v>
      </c>
      <c r="T9" s="12" t="s">
        <v>9</v>
      </c>
      <c r="U9" s="7"/>
      <c r="V9" s="7"/>
    </row>
    <row r="10" spans="1:22" x14ac:dyDescent="0.25">
      <c r="A10" s="19" t="str">
        <f t="shared" si="0"/>
        <v>FALTA</v>
      </c>
      <c r="B10" s="20" t="s">
        <v>3</v>
      </c>
      <c r="C10" s="17" t="s">
        <v>1333</v>
      </c>
      <c r="D10" s="18"/>
      <c r="E10" s="18"/>
      <c r="F10" s="7" t="s">
        <v>8</v>
      </c>
      <c r="G10" s="7" t="s">
        <v>8</v>
      </c>
      <c r="H10" s="7" t="s">
        <v>8</v>
      </c>
      <c r="I10" s="7" t="s">
        <v>9</v>
      </c>
      <c r="J10" s="11" t="s">
        <v>9</v>
      </c>
      <c r="K10" s="11" t="s">
        <v>9</v>
      </c>
      <c r="L10" s="7" t="s">
        <v>9</v>
      </c>
      <c r="M10" s="11" t="s">
        <v>9</v>
      </c>
      <c r="N10" s="11" t="s">
        <v>9</v>
      </c>
      <c r="O10" s="11" t="s">
        <v>9</v>
      </c>
      <c r="P10" s="7" t="s">
        <v>9</v>
      </c>
      <c r="Q10" s="8" t="s">
        <v>9</v>
      </c>
      <c r="R10" s="7" t="s">
        <v>9</v>
      </c>
      <c r="S10" s="7" t="s">
        <v>9</v>
      </c>
      <c r="T10" s="12" t="s">
        <v>9</v>
      </c>
      <c r="U10" s="7"/>
      <c r="V10" s="7"/>
    </row>
    <row r="11" spans="1:22" x14ac:dyDescent="0.25">
      <c r="A11" s="19" t="str">
        <f t="shared" si="0"/>
        <v>FALTA</v>
      </c>
      <c r="B11" s="20" t="s">
        <v>3</v>
      </c>
      <c r="C11" s="17" t="s">
        <v>1333</v>
      </c>
      <c r="D11" s="18"/>
      <c r="E11" s="18"/>
      <c r="F11" s="7" t="s">
        <v>8</v>
      </c>
      <c r="G11" s="7" t="s">
        <v>8</v>
      </c>
      <c r="H11" s="7" t="s">
        <v>8</v>
      </c>
      <c r="I11" s="7" t="s">
        <v>9</v>
      </c>
      <c r="J11" s="11" t="s">
        <v>9</v>
      </c>
      <c r="K11" s="11" t="s">
        <v>9</v>
      </c>
      <c r="L11" s="7" t="s">
        <v>9</v>
      </c>
      <c r="M11" s="11" t="s">
        <v>9</v>
      </c>
      <c r="N11" s="11" t="s">
        <v>9</v>
      </c>
      <c r="O11" s="11" t="s">
        <v>9</v>
      </c>
      <c r="P11" s="7" t="s">
        <v>9</v>
      </c>
      <c r="Q11" s="8" t="s">
        <v>9</v>
      </c>
      <c r="R11" s="7" t="s">
        <v>9</v>
      </c>
      <c r="S11" s="7" t="s">
        <v>9</v>
      </c>
      <c r="T11" s="12" t="s">
        <v>9</v>
      </c>
      <c r="U11" s="7"/>
      <c r="V11" s="7"/>
    </row>
    <row r="12" spans="1:22" x14ac:dyDescent="0.25">
      <c r="A12" s="19" t="str">
        <f t="shared" si="0"/>
        <v>FALTA</v>
      </c>
      <c r="B12" s="20" t="s">
        <v>3</v>
      </c>
      <c r="C12" s="17" t="s">
        <v>1333</v>
      </c>
      <c r="D12" s="18"/>
      <c r="E12" s="18"/>
      <c r="F12" s="7" t="s">
        <v>8</v>
      </c>
      <c r="G12" s="7" t="s">
        <v>8</v>
      </c>
      <c r="H12" s="7" t="s">
        <v>8</v>
      </c>
      <c r="I12" s="7" t="s">
        <v>9</v>
      </c>
      <c r="J12" s="11" t="s">
        <v>9</v>
      </c>
      <c r="K12" s="11" t="s">
        <v>9</v>
      </c>
      <c r="L12" s="7" t="s">
        <v>9</v>
      </c>
      <c r="M12" s="11" t="s">
        <v>9</v>
      </c>
      <c r="N12" s="11" t="s">
        <v>9</v>
      </c>
      <c r="O12" s="11" t="s">
        <v>9</v>
      </c>
      <c r="P12" s="7" t="s">
        <v>9</v>
      </c>
      <c r="Q12" s="8" t="s">
        <v>9</v>
      </c>
      <c r="R12" s="7" t="s">
        <v>9</v>
      </c>
      <c r="S12" s="7" t="s">
        <v>9</v>
      </c>
      <c r="T12" s="12" t="s">
        <v>9</v>
      </c>
      <c r="U12" s="7"/>
      <c r="V12" s="7"/>
    </row>
    <row r="13" spans="1:22" x14ac:dyDescent="0.25">
      <c r="A13" s="19" t="str">
        <f t="shared" si="0"/>
        <v>FALTA</v>
      </c>
      <c r="B13" s="20" t="s">
        <v>3</v>
      </c>
      <c r="C13" s="17" t="s">
        <v>1333</v>
      </c>
      <c r="D13" s="18"/>
      <c r="E13" s="18"/>
      <c r="F13" s="7" t="s">
        <v>8</v>
      </c>
      <c r="G13" s="7" t="s">
        <v>8</v>
      </c>
      <c r="H13" s="7" t="s">
        <v>8</v>
      </c>
      <c r="I13" s="7" t="s">
        <v>9</v>
      </c>
      <c r="J13" s="11" t="s">
        <v>9</v>
      </c>
      <c r="K13" s="11" t="s">
        <v>9</v>
      </c>
      <c r="L13" s="7" t="s">
        <v>9</v>
      </c>
      <c r="M13" s="11" t="s">
        <v>9</v>
      </c>
      <c r="N13" s="11" t="s">
        <v>9</v>
      </c>
      <c r="O13" s="11" t="s">
        <v>9</v>
      </c>
      <c r="P13" s="7" t="s">
        <v>9</v>
      </c>
      <c r="Q13" s="8" t="s">
        <v>9</v>
      </c>
      <c r="R13" s="7" t="s">
        <v>9</v>
      </c>
      <c r="S13" s="7" t="s">
        <v>9</v>
      </c>
      <c r="T13" s="12" t="s">
        <v>9</v>
      </c>
      <c r="U13" s="7"/>
      <c r="V13" s="7"/>
    </row>
    <row r="14" spans="1:22" x14ac:dyDescent="0.25">
      <c r="A14" s="19" t="str">
        <f t="shared" si="0"/>
        <v>FALTA</v>
      </c>
      <c r="B14" s="20" t="s">
        <v>3</v>
      </c>
      <c r="C14" s="17" t="s">
        <v>1333</v>
      </c>
      <c r="D14" s="18"/>
      <c r="E14" s="18"/>
      <c r="F14" s="7" t="s">
        <v>8</v>
      </c>
      <c r="G14" s="7" t="s">
        <v>8</v>
      </c>
      <c r="H14" s="7" t="s">
        <v>8</v>
      </c>
      <c r="I14" s="7" t="s">
        <v>9</v>
      </c>
      <c r="J14" s="11" t="s">
        <v>9</v>
      </c>
      <c r="K14" s="11" t="s">
        <v>9</v>
      </c>
      <c r="L14" s="7" t="s">
        <v>9</v>
      </c>
      <c r="M14" s="11" t="s">
        <v>9</v>
      </c>
      <c r="N14" s="11" t="s">
        <v>9</v>
      </c>
      <c r="O14" s="11" t="s">
        <v>9</v>
      </c>
      <c r="P14" s="7" t="s">
        <v>9</v>
      </c>
      <c r="Q14" s="8" t="s">
        <v>9</v>
      </c>
      <c r="R14" s="7" t="s">
        <v>9</v>
      </c>
      <c r="S14" s="7" t="s">
        <v>9</v>
      </c>
      <c r="T14" s="12" t="s">
        <v>9</v>
      </c>
      <c r="U14" s="7"/>
      <c r="V14" s="7"/>
    </row>
    <row r="15" spans="1:22" x14ac:dyDescent="0.25">
      <c r="A15" s="19" t="str">
        <f t="shared" si="0"/>
        <v>FALTA</v>
      </c>
      <c r="B15" s="20" t="s">
        <v>3</v>
      </c>
      <c r="C15" s="17" t="s">
        <v>1333</v>
      </c>
      <c r="D15" s="18"/>
      <c r="E15" s="18"/>
      <c r="F15" s="7" t="s">
        <v>8</v>
      </c>
      <c r="G15" s="7" t="s">
        <v>8</v>
      </c>
      <c r="H15" s="7" t="s">
        <v>8</v>
      </c>
      <c r="I15" s="7" t="s">
        <v>9</v>
      </c>
      <c r="J15" s="11" t="s">
        <v>9</v>
      </c>
      <c r="K15" s="11" t="s">
        <v>9</v>
      </c>
      <c r="L15" s="7" t="s">
        <v>9</v>
      </c>
      <c r="M15" s="11" t="s">
        <v>9</v>
      </c>
      <c r="N15" s="11" t="s">
        <v>9</v>
      </c>
      <c r="O15" s="11" t="s">
        <v>9</v>
      </c>
      <c r="P15" s="7" t="s">
        <v>9</v>
      </c>
      <c r="Q15" s="8" t="s">
        <v>9</v>
      </c>
      <c r="R15" s="7" t="s">
        <v>9</v>
      </c>
      <c r="S15" s="7" t="s">
        <v>9</v>
      </c>
      <c r="T15" s="12" t="s">
        <v>9</v>
      </c>
      <c r="U15" s="7"/>
      <c r="V15" s="7"/>
    </row>
    <row r="16" spans="1:22" x14ac:dyDescent="0.25">
      <c r="A16" s="19" t="str">
        <f t="shared" si="0"/>
        <v>FALTA</v>
      </c>
      <c r="B16" s="20" t="s">
        <v>3</v>
      </c>
      <c r="C16" s="17" t="s">
        <v>1333</v>
      </c>
      <c r="D16" s="18"/>
      <c r="E16" s="18"/>
      <c r="F16" s="7" t="s">
        <v>8</v>
      </c>
      <c r="G16" s="7" t="s">
        <v>8</v>
      </c>
      <c r="H16" s="7" t="s">
        <v>8</v>
      </c>
      <c r="I16" s="7" t="s">
        <v>9</v>
      </c>
      <c r="J16" s="11" t="s">
        <v>9</v>
      </c>
      <c r="K16" s="11" t="s">
        <v>9</v>
      </c>
      <c r="L16" s="7" t="s">
        <v>9</v>
      </c>
      <c r="M16" s="11" t="s">
        <v>9</v>
      </c>
      <c r="N16" s="11" t="s">
        <v>9</v>
      </c>
      <c r="O16" s="11" t="s">
        <v>9</v>
      </c>
      <c r="P16" s="7" t="s">
        <v>9</v>
      </c>
      <c r="Q16" s="8" t="s">
        <v>9</v>
      </c>
      <c r="R16" s="7" t="s">
        <v>9</v>
      </c>
      <c r="S16" s="7" t="s">
        <v>9</v>
      </c>
      <c r="T16" s="12" t="s">
        <v>9</v>
      </c>
      <c r="U16" s="7"/>
      <c r="V16" s="7"/>
    </row>
    <row r="17" spans="1:22" x14ac:dyDescent="0.25">
      <c r="A17" s="19" t="str">
        <f t="shared" si="0"/>
        <v>FALTA</v>
      </c>
      <c r="B17" s="20" t="s">
        <v>3</v>
      </c>
      <c r="C17" s="17" t="s">
        <v>1333</v>
      </c>
      <c r="D17" s="18"/>
      <c r="E17" s="18"/>
      <c r="F17" s="7" t="s">
        <v>8</v>
      </c>
      <c r="G17" s="7" t="s">
        <v>8</v>
      </c>
      <c r="H17" s="7" t="s">
        <v>8</v>
      </c>
      <c r="I17" s="7" t="s">
        <v>9</v>
      </c>
      <c r="J17" s="11" t="s">
        <v>9</v>
      </c>
      <c r="K17" s="11" t="s">
        <v>9</v>
      </c>
      <c r="L17" s="7" t="s">
        <v>9</v>
      </c>
      <c r="M17" s="11" t="s">
        <v>9</v>
      </c>
      <c r="N17" s="11" t="s">
        <v>9</v>
      </c>
      <c r="O17" s="11" t="s">
        <v>9</v>
      </c>
      <c r="P17" s="7" t="s">
        <v>9</v>
      </c>
      <c r="Q17" s="8" t="s">
        <v>9</v>
      </c>
      <c r="R17" s="7" t="s">
        <v>9</v>
      </c>
      <c r="S17" s="7" t="s">
        <v>9</v>
      </c>
      <c r="T17" s="12" t="s">
        <v>9</v>
      </c>
      <c r="U17" s="7"/>
      <c r="V17" s="7"/>
    </row>
    <row r="18" spans="1:22" x14ac:dyDescent="0.25">
      <c r="A18" s="19" t="str">
        <f t="shared" si="0"/>
        <v>FALTA</v>
      </c>
      <c r="B18" s="20" t="s">
        <v>3</v>
      </c>
      <c r="C18" s="17" t="s">
        <v>1333</v>
      </c>
      <c r="D18" s="18"/>
      <c r="E18" s="18"/>
      <c r="F18" s="7" t="s">
        <v>8</v>
      </c>
      <c r="G18" s="7" t="s">
        <v>8</v>
      </c>
      <c r="H18" s="7" t="s">
        <v>8</v>
      </c>
      <c r="I18" s="7" t="s">
        <v>9</v>
      </c>
      <c r="J18" s="11" t="s">
        <v>9</v>
      </c>
      <c r="K18" s="11" t="s">
        <v>9</v>
      </c>
      <c r="L18" s="7" t="s">
        <v>9</v>
      </c>
      <c r="M18" s="11" t="s">
        <v>9</v>
      </c>
      <c r="N18" s="11" t="s">
        <v>9</v>
      </c>
      <c r="O18" s="11" t="s">
        <v>9</v>
      </c>
      <c r="P18" s="7" t="s">
        <v>9</v>
      </c>
      <c r="Q18" s="8" t="s">
        <v>9</v>
      </c>
      <c r="R18" s="7" t="s">
        <v>9</v>
      </c>
      <c r="S18" s="7" t="s">
        <v>9</v>
      </c>
      <c r="T18" s="12" t="s">
        <v>9</v>
      </c>
      <c r="U18" s="7"/>
      <c r="V18" s="7"/>
    </row>
    <row r="19" spans="1:22" x14ac:dyDescent="0.25">
      <c r="A19" s="19" t="str">
        <f t="shared" si="0"/>
        <v>FALTA</v>
      </c>
      <c r="B19" s="20" t="s">
        <v>3</v>
      </c>
      <c r="C19" s="17" t="s">
        <v>1333</v>
      </c>
      <c r="D19" s="18"/>
      <c r="E19" s="18"/>
      <c r="F19" s="7" t="s">
        <v>8</v>
      </c>
      <c r="G19" s="7" t="s">
        <v>8</v>
      </c>
      <c r="H19" s="7" t="s">
        <v>8</v>
      </c>
      <c r="I19" s="7" t="s">
        <v>9</v>
      </c>
      <c r="J19" s="11" t="s">
        <v>9</v>
      </c>
      <c r="K19" s="11" t="s">
        <v>9</v>
      </c>
      <c r="L19" s="7" t="s">
        <v>9</v>
      </c>
      <c r="M19" s="11" t="s">
        <v>9</v>
      </c>
      <c r="N19" s="11" t="s">
        <v>9</v>
      </c>
      <c r="O19" s="11" t="s">
        <v>9</v>
      </c>
      <c r="P19" s="7" t="s">
        <v>9</v>
      </c>
      <c r="Q19" s="8" t="s">
        <v>9</v>
      </c>
      <c r="R19" s="7" t="s">
        <v>9</v>
      </c>
      <c r="S19" s="7" t="s">
        <v>9</v>
      </c>
      <c r="T19" s="12" t="s">
        <v>9</v>
      </c>
      <c r="U19" s="7"/>
      <c r="V19" s="7"/>
    </row>
    <row r="20" spans="1:22" x14ac:dyDescent="0.25">
      <c r="A20" s="19" t="str">
        <f t="shared" si="0"/>
        <v>FALTA</v>
      </c>
      <c r="B20" s="20" t="s">
        <v>3</v>
      </c>
      <c r="C20" s="17" t="s">
        <v>1333</v>
      </c>
      <c r="D20" s="18"/>
      <c r="E20" s="18"/>
      <c r="F20" s="7" t="s">
        <v>8</v>
      </c>
      <c r="G20" s="7" t="s">
        <v>8</v>
      </c>
      <c r="H20" s="7" t="s">
        <v>8</v>
      </c>
      <c r="I20" s="7" t="s">
        <v>9</v>
      </c>
      <c r="J20" s="11" t="s">
        <v>9</v>
      </c>
      <c r="K20" s="11" t="s">
        <v>9</v>
      </c>
      <c r="L20" s="7" t="s">
        <v>9</v>
      </c>
      <c r="M20" s="11" t="s">
        <v>9</v>
      </c>
      <c r="N20" s="11" t="s">
        <v>9</v>
      </c>
      <c r="O20" s="11" t="s">
        <v>9</v>
      </c>
      <c r="P20" s="7" t="s">
        <v>9</v>
      </c>
      <c r="Q20" s="8" t="s">
        <v>9</v>
      </c>
      <c r="R20" s="7" t="s">
        <v>9</v>
      </c>
      <c r="S20" s="7" t="s">
        <v>9</v>
      </c>
      <c r="T20" s="12" t="s">
        <v>9</v>
      </c>
      <c r="U20" s="7"/>
      <c r="V20" s="7"/>
    </row>
    <row r="21" spans="1:22" x14ac:dyDescent="0.25">
      <c r="A21" s="19" t="str">
        <f t="shared" si="0"/>
        <v>FALTA</v>
      </c>
      <c r="B21" s="20" t="s">
        <v>3</v>
      </c>
      <c r="C21" s="17" t="s">
        <v>1333</v>
      </c>
      <c r="D21" s="18"/>
      <c r="E21" s="18"/>
      <c r="F21" s="7" t="s">
        <v>8</v>
      </c>
      <c r="G21" s="7" t="s">
        <v>8</v>
      </c>
      <c r="H21" s="7" t="s">
        <v>8</v>
      </c>
      <c r="I21" s="7" t="s">
        <v>9</v>
      </c>
      <c r="J21" s="11" t="s">
        <v>9</v>
      </c>
      <c r="K21" s="11" t="s">
        <v>9</v>
      </c>
      <c r="L21" s="7" t="s">
        <v>9</v>
      </c>
      <c r="M21" s="11" t="s">
        <v>9</v>
      </c>
      <c r="N21" s="11" t="s">
        <v>9</v>
      </c>
      <c r="O21" s="11" t="s">
        <v>9</v>
      </c>
      <c r="P21" s="7" t="s">
        <v>9</v>
      </c>
      <c r="Q21" s="8" t="s">
        <v>9</v>
      </c>
      <c r="R21" s="7" t="s">
        <v>9</v>
      </c>
      <c r="S21" s="7" t="s">
        <v>9</v>
      </c>
      <c r="T21" s="12" t="s">
        <v>9</v>
      </c>
      <c r="U21" s="7"/>
      <c r="V21" s="7"/>
    </row>
    <row r="22" spans="1:22" x14ac:dyDescent="0.25">
      <c r="A22" s="19" t="str">
        <f t="shared" si="0"/>
        <v>FALTA</v>
      </c>
      <c r="B22" s="20" t="s">
        <v>3</v>
      </c>
      <c r="C22" s="17" t="s">
        <v>1333</v>
      </c>
      <c r="D22" s="18"/>
      <c r="E22" s="18"/>
      <c r="F22" s="7" t="s">
        <v>8</v>
      </c>
      <c r="G22" s="7" t="s">
        <v>8</v>
      </c>
      <c r="H22" s="7" t="s">
        <v>8</v>
      </c>
      <c r="I22" s="7" t="s">
        <v>9</v>
      </c>
      <c r="J22" s="11" t="s">
        <v>9</v>
      </c>
      <c r="K22" s="11" t="s">
        <v>9</v>
      </c>
      <c r="L22" s="7" t="s">
        <v>9</v>
      </c>
      <c r="M22" s="11" t="s">
        <v>9</v>
      </c>
      <c r="N22" s="11" t="s">
        <v>9</v>
      </c>
      <c r="O22" s="11" t="s">
        <v>9</v>
      </c>
      <c r="P22" s="7" t="s">
        <v>9</v>
      </c>
      <c r="Q22" s="8" t="s">
        <v>9</v>
      </c>
      <c r="R22" s="7" t="s">
        <v>9</v>
      </c>
      <c r="S22" s="7" t="s">
        <v>9</v>
      </c>
      <c r="T22" s="12" t="s">
        <v>9</v>
      </c>
      <c r="U22" s="7"/>
      <c r="V22" s="7"/>
    </row>
    <row r="23" spans="1:22" x14ac:dyDescent="0.25">
      <c r="A23" s="19" t="str">
        <f t="shared" si="0"/>
        <v>FALTA</v>
      </c>
      <c r="B23" s="20" t="s">
        <v>3</v>
      </c>
      <c r="C23" s="17" t="s">
        <v>1333</v>
      </c>
      <c r="D23" s="18"/>
      <c r="E23" s="18"/>
      <c r="F23" s="7" t="s">
        <v>8</v>
      </c>
      <c r="G23" s="7" t="s">
        <v>8</v>
      </c>
      <c r="H23" s="7" t="s">
        <v>8</v>
      </c>
      <c r="I23" s="7" t="s">
        <v>9</v>
      </c>
      <c r="J23" s="11" t="s">
        <v>9</v>
      </c>
      <c r="K23" s="11" t="s">
        <v>9</v>
      </c>
      <c r="L23" s="7" t="s">
        <v>9</v>
      </c>
      <c r="M23" s="11" t="s">
        <v>9</v>
      </c>
      <c r="N23" s="11" t="s">
        <v>9</v>
      </c>
      <c r="O23" s="11" t="s">
        <v>9</v>
      </c>
      <c r="P23" s="7" t="s">
        <v>9</v>
      </c>
      <c r="Q23" s="8" t="s">
        <v>9</v>
      </c>
      <c r="R23" s="7" t="s">
        <v>9</v>
      </c>
      <c r="S23" s="7" t="s">
        <v>9</v>
      </c>
      <c r="T23" s="12" t="s">
        <v>9</v>
      </c>
      <c r="U23" s="7"/>
      <c r="V23" s="7"/>
    </row>
    <row r="24" spans="1:22" x14ac:dyDescent="0.25">
      <c r="A24" s="19" t="str">
        <f t="shared" si="0"/>
        <v>FALTA</v>
      </c>
      <c r="B24" s="20" t="s">
        <v>3</v>
      </c>
      <c r="C24" s="17" t="s">
        <v>1333</v>
      </c>
      <c r="D24" s="18"/>
      <c r="E24" s="18"/>
      <c r="F24" s="7" t="s">
        <v>8</v>
      </c>
      <c r="G24" s="7" t="s">
        <v>8</v>
      </c>
      <c r="H24" s="7" t="s">
        <v>8</v>
      </c>
      <c r="I24" s="7" t="s">
        <v>9</v>
      </c>
      <c r="J24" s="11" t="s">
        <v>9</v>
      </c>
      <c r="K24" s="11" t="s">
        <v>9</v>
      </c>
      <c r="L24" s="7" t="s">
        <v>9</v>
      </c>
      <c r="M24" s="11" t="s">
        <v>9</v>
      </c>
      <c r="N24" s="11" t="s">
        <v>9</v>
      </c>
      <c r="O24" s="11" t="s">
        <v>9</v>
      </c>
      <c r="P24" s="7" t="s">
        <v>9</v>
      </c>
      <c r="Q24" s="8" t="s">
        <v>9</v>
      </c>
      <c r="R24" s="7" t="s">
        <v>9</v>
      </c>
      <c r="S24" s="7" t="s">
        <v>9</v>
      </c>
      <c r="T24" s="12" t="s">
        <v>9</v>
      </c>
      <c r="U24" s="7"/>
      <c r="V24" s="7"/>
    </row>
    <row r="25" spans="1:22" x14ac:dyDescent="0.25">
      <c r="A25" s="19" t="str">
        <f t="shared" si="0"/>
        <v>FALTA</v>
      </c>
      <c r="B25" s="20" t="s">
        <v>3</v>
      </c>
      <c r="C25" s="17" t="s">
        <v>1333</v>
      </c>
      <c r="D25" s="18"/>
      <c r="E25" s="18"/>
      <c r="F25" s="7" t="s">
        <v>8</v>
      </c>
      <c r="G25" s="7" t="s">
        <v>8</v>
      </c>
      <c r="H25" s="7" t="s">
        <v>8</v>
      </c>
      <c r="I25" s="7" t="s">
        <v>9</v>
      </c>
      <c r="J25" s="11" t="s">
        <v>9</v>
      </c>
      <c r="K25" s="11" t="s">
        <v>9</v>
      </c>
      <c r="L25" s="7" t="s">
        <v>9</v>
      </c>
      <c r="M25" s="11" t="s">
        <v>9</v>
      </c>
      <c r="N25" s="11" t="s">
        <v>9</v>
      </c>
      <c r="O25" s="11" t="s">
        <v>9</v>
      </c>
      <c r="P25" s="7" t="s">
        <v>9</v>
      </c>
      <c r="Q25" s="8" t="s">
        <v>9</v>
      </c>
      <c r="R25" s="7" t="s">
        <v>9</v>
      </c>
      <c r="S25" s="7" t="s">
        <v>9</v>
      </c>
      <c r="T25" s="12" t="s">
        <v>9</v>
      </c>
      <c r="U25" s="7"/>
      <c r="V25" s="7"/>
    </row>
    <row r="26" spans="1:22" x14ac:dyDescent="0.25">
      <c r="A26" s="19" t="str">
        <f t="shared" si="0"/>
        <v>FALTA</v>
      </c>
      <c r="B26" s="20" t="s">
        <v>3</v>
      </c>
      <c r="C26" s="17" t="s">
        <v>1333</v>
      </c>
      <c r="D26" s="18"/>
      <c r="E26" s="18"/>
      <c r="F26" s="7" t="s">
        <v>8</v>
      </c>
      <c r="G26" s="7" t="s">
        <v>8</v>
      </c>
      <c r="H26" s="7" t="s">
        <v>8</v>
      </c>
      <c r="I26" s="7" t="s">
        <v>9</v>
      </c>
      <c r="J26" s="11" t="s">
        <v>9</v>
      </c>
      <c r="K26" s="11" t="s">
        <v>9</v>
      </c>
      <c r="L26" s="7" t="s">
        <v>9</v>
      </c>
      <c r="M26" s="11" t="s">
        <v>9</v>
      </c>
      <c r="N26" s="11" t="s">
        <v>9</v>
      </c>
      <c r="O26" s="11" t="s">
        <v>9</v>
      </c>
      <c r="P26" s="7" t="s">
        <v>9</v>
      </c>
      <c r="Q26" s="8" t="s">
        <v>9</v>
      </c>
      <c r="R26" s="7" t="s">
        <v>9</v>
      </c>
      <c r="S26" s="7" t="s">
        <v>9</v>
      </c>
      <c r="T26" s="12" t="s">
        <v>9</v>
      </c>
      <c r="U26" s="7"/>
      <c r="V26" s="7"/>
    </row>
    <row r="27" spans="1:22" x14ac:dyDescent="0.25">
      <c r="A27" s="19" t="str">
        <f t="shared" si="0"/>
        <v>FALTA</v>
      </c>
      <c r="B27" s="20" t="s">
        <v>3</v>
      </c>
      <c r="C27" s="17" t="s">
        <v>1333</v>
      </c>
      <c r="D27" s="18"/>
      <c r="E27" s="18"/>
      <c r="F27" s="7" t="s">
        <v>8</v>
      </c>
      <c r="G27" s="7" t="s">
        <v>8</v>
      </c>
      <c r="H27" s="7" t="s">
        <v>8</v>
      </c>
      <c r="I27" s="7" t="s">
        <v>9</v>
      </c>
      <c r="J27" s="11" t="s">
        <v>9</v>
      </c>
      <c r="K27" s="11" t="s">
        <v>9</v>
      </c>
      <c r="L27" s="7" t="s">
        <v>9</v>
      </c>
      <c r="M27" s="11" t="s">
        <v>9</v>
      </c>
      <c r="N27" s="11" t="s">
        <v>9</v>
      </c>
      <c r="O27" s="11" t="s">
        <v>9</v>
      </c>
      <c r="P27" s="7" t="s">
        <v>9</v>
      </c>
      <c r="Q27" s="8" t="s">
        <v>9</v>
      </c>
      <c r="R27" s="7" t="s">
        <v>9</v>
      </c>
      <c r="S27" s="7" t="s">
        <v>9</v>
      </c>
      <c r="T27" s="12" t="s">
        <v>9</v>
      </c>
      <c r="U27" s="7"/>
      <c r="V27" s="7"/>
    </row>
    <row r="28" spans="1:22" x14ac:dyDescent="0.25">
      <c r="A28" s="19" t="str">
        <f t="shared" si="0"/>
        <v>FALTA</v>
      </c>
      <c r="B28" s="20" t="s">
        <v>3</v>
      </c>
      <c r="C28" s="17" t="s">
        <v>1333</v>
      </c>
      <c r="D28" s="18"/>
      <c r="E28" s="18"/>
      <c r="F28" s="7" t="s">
        <v>8</v>
      </c>
      <c r="G28" s="7" t="s">
        <v>8</v>
      </c>
      <c r="H28" s="7" t="s">
        <v>8</v>
      </c>
      <c r="I28" s="7" t="s">
        <v>9</v>
      </c>
      <c r="J28" s="11" t="s">
        <v>9</v>
      </c>
      <c r="K28" s="11" t="s">
        <v>9</v>
      </c>
      <c r="L28" s="7" t="s">
        <v>9</v>
      </c>
      <c r="M28" s="11" t="s">
        <v>9</v>
      </c>
      <c r="N28" s="11" t="s">
        <v>9</v>
      </c>
      <c r="O28" s="11" t="s">
        <v>9</v>
      </c>
      <c r="P28" s="7" t="s">
        <v>9</v>
      </c>
      <c r="Q28" s="8" t="s">
        <v>9</v>
      </c>
      <c r="R28" s="7" t="s">
        <v>9</v>
      </c>
      <c r="S28" s="7" t="s">
        <v>9</v>
      </c>
      <c r="T28" s="12" t="s">
        <v>9</v>
      </c>
      <c r="U28" s="7"/>
      <c r="V28" s="7"/>
    </row>
    <row r="29" spans="1:22" x14ac:dyDescent="0.25">
      <c r="A29" s="19" t="str">
        <f t="shared" si="0"/>
        <v>FALTA</v>
      </c>
      <c r="B29" s="20" t="s">
        <v>3</v>
      </c>
      <c r="C29" s="17" t="s">
        <v>1333</v>
      </c>
      <c r="D29" s="18"/>
      <c r="E29" s="18"/>
      <c r="F29" s="7" t="s">
        <v>8</v>
      </c>
      <c r="G29" s="7" t="s">
        <v>8</v>
      </c>
      <c r="H29" s="7" t="s">
        <v>8</v>
      </c>
      <c r="I29" s="7" t="s">
        <v>9</v>
      </c>
      <c r="J29" s="11" t="s">
        <v>9</v>
      </c>
      <c r="K29" s="11" t="s">
        <v>9</v>
      </c>
      <c r="L29" s="7" t="s">
        <v>9</v>
      </c>
      <c r="M29" s="11" t="s">
        <v>9</v>
      </c>
      <c r="N29" s="11" t="s">
        <v>9</v>
      </c>
      <c r="O29" s="11" t="s">
        <v>9</v>
      </c>
      <c r="P29" s="7" t="s">
        <v>9</v>
      </c>
      <c r="Q29" s="8" t="s">
        <v>9</v>
      </c>
      <c r="R29" s="7" t="s">
        <v>9</v>
      </c>
      <c r="S29" s="7" t="s">
        <v>9</v>
      </c>
      <c r="T29" s="12" t="s">
        <v>9</v>
      </c>
      <c r="U29" s="7"/>
      <c r="V29" s="7"/>
    </row>
    <row r="30" spans="1:22" x14ac:dyDescent="0.25">
      <c r="A30" s="19" t="str">
        <f t="shared" si="0"/>
        <v>FALTA</v>
      </c>
      <c r="B30" s="20" t="s">
        <v>3</v>
      </c>
      <c r="C30" s="17" t="s">
        <v>1333</v>
      </c>
      <c r="D30" s="18"/>
      <c r="E30" s="18"/>
      <c r="F30" s="7" t="s">
        <v>8</v>
      </c>
      <c r="G30" s="7" t="s">
        <v>8</v>
      </c>
      <c r="H30" s="7" t="s">
        <v>8</v>
      </c>
      <c r="I30" s="7" t="s">
        <v>9</v>
      </c>
      <c r="J30" s="11" t="s">
        <v>9</v>
      </c>
      <c r="K30" s="11" t="s">
        <v>9</v>
      </c>
      <c r="L30" s="7" t="s">
        <v>9</v>
      </c>
      <c r="M30" s="11" t="s">
        <v>9</v>
      </c>
      <c r="N30" s="11" t="s">
        <v>9</v>
      </c>
      <c r="O30" s="11" t="s">
        <v>9</v>
      </c>
      <c r="P30" s="7" t="s">
        <v>9</v>
      </c>
      <c r="Q30" s="8" t="s">
        <v>9</v>
      </c>
      <c r="R30" s="7" t="s">
        <v>9</v>
      </c>
      <c r="S30" s="7" t="s">
        <v>9</v>
      </c>
      <c r="T30" s="12" t="s">
        <v>9</v>
      </c>
      <c r="U30" s="7"/>
      <c r="V30" s="7"/>
    </row>
    <row r="31" spans="1:22" x14ac:dyDescent="0.25">
      <c r="A31" s="19" t="str">
        <f t="shared" si="0"/>
        <v>FALTA</v>
      </c>
      <c r="B31" s="20" t="s">
        <v>3</v>
      </c>
      <c r="C31" s="17" t="s">
        <v>1333</v>
      </c>
      <c r="D31" s="18"/>
      <c r="E31" s="18"/>
      <c r="F31" s="7" t="s">
        <v>8</v>
      </c>
      <c r="G31" s="7" t="s">
        <v>8</v>
      </c>
      <c r="H31" s="7" t="s">
        <v>8</v>
      </c>
      <c r="I31" s="7" t="s">
        <v>9</v>
      </c>
      <c r="J31" s="11" t="s">
        <v>9</v>
      </c>
      <c r="K31" s="11" t="s">
        <v>9</v>
      </c>
      <c r="L31" s="7" t="s">
        <v>9</v>
      </c>
      <c r="M31" s="11" t="s">
        <v>9</v>
      </c>
      <c r="N31" s="11" t="s">
        <v>9</v>
      </c>
      <c r="O31" s="11" t="s">
        <v>9</v>
      </c>
      <c r="P31" s="7" t="s">
        <v>9</v>
      </c>
      <c r="Q31" s="8" t="s">
        <v>9</v>
      </c>
      <c r="R31" s="7" t="s">
        <v>9</v>
      </c>
      <c r="S31" s="7" t="s">
        <v>9</v>
      </c>
      <c r="T31" s="12" t="s">
        <v>9</v>
      </c>
      <c r="U31" s="7"/>
      <c r="V31" s="7"/>
    </row>
    <row r="32" spans="1:22" x14ac:dyDescent="0.25">
      <c r="A32" s="19" t="str">
        <f t="shared" si="0"/>
        <v>FALTA</v>
      </c>
      <c r="B32" s="20" t="s">
        <v>3</v>
      </c>
      <c r="C32" s="17" t="s">
        <v>1333</v>
      </c>
      <c r="D32" s="18"/>
      <c r="E32" s="18"/>
      <c r="F32" s="7" t="s">
        <v>8</v>
      </c>
      <c r="G32" s="7" t="s">
        <v>8</v>
      </c>
      <c r="H32" s="7" t="s">
        <v>8</v>
      </c>
      <c r="I32" s="7" t="s">
        <v>9</v>
      </c>
      <c r="J32" s="11" t="s">
        <v>9</v>
      </c>
      <c r="K32" s="11" t="s">
        <v>9</v>
      </c>
      <c r="L32" s="7" t="s">
        <v>9</v>
      </c>
      <c r="M32" s="11" t="s">
        <v>9</v>
      </c>
      <c r="N32" s="11" t="s">
        <v>9</v>
      </c>
      <c r="O32" s="11" t="s">
        <v>9</v>
      </c>
      <c r="P32" s="7" t="s">
        <v>9</v>
      </c>
      <c r="Q32" s="8" t="s">
        <v>9</v>
      </c>
      <c r="R32" s="7" t="s">
        <v>9</v>
      </c>
      <c r="S32" s="7" t="s">
        <v>9</v>
      </c>
      <c r="T32" s="12" t="s">
        <v>9</v>
      </c>
      <c r="U32" s="7"/>
      <c r="V32" s="7"/>
    </row>
    <row r="33" spans="1:22" x14ac:dyDescent="0.25">
      <c r="A33" s="19" t="str">
        <f t="shared" si="0"/>
        <v>FALTA</v>
      </c>
      <c r="B33" s="20" t="s">
        <v>3</v>
      </c>
      <c r="C33" s="17" t="s">
        <v>1333</v>
      </c>
      <c r="D33" s="18"/>
      <c r="E33" s="18"/>
      <c r="F33" s="7" t="s">
        <v>8</v>
      </c>
      <c r="G33" s="7" t="s">
        <v>8</v>
      </c>
      <c r="H33" s="7" t="s">
        <v>8</v>
      </c>
      <c r="I33" s="7" t="s">
        <v>9</v>
      </c>
      <c r="J33" s="11" t="s">
        <v>9</v>
      </c>
      <c r="K33" s="11" t="s">
        <v>9</v>
      </c>
      <c r="L33" s="7" t="s">
        <v>9</v>
      </c>
      <c r="M33" s="11" t="s">
        <v>9</v>
      </c>
      <c r="N33" s="11" t="s">
        <v>9</v>
      </c>
      <c r="O33" s="11" t="s">
        <v>9</v>
      </c>
      <c r="P33" s="7" t="s">
        <v>9</v>
      </c>
      <c r="Q33" s="8" t="s">
        <v>9</v>
      </c>
      <c r="R33" s="7" t="s">
        <v>9</v>
      </c>
      <c r="S33" s="7" t="s">
        <v>9</v>
      </c>
      <c r="T33" s="12" t="s">
        <v>9</v>
      </c>
      <c r="U33" s="7"/>
      <c r="V33" s="7"/>
    </row>
    <row r="34" spans="1:22" x14ac:dyDescent="0.25">
      <c r="A34" s="19" t="str">
        <f t="shared" si="0"/>
        <v>FALTA</v>
      </c>
      <c r="B34" s="20" t="s">
        <v>3</v>
      </c>
      <c r="C34" s="17" t="s">
        <v>1333</v>
      </c>
      <c r="D34" s="18"/>
      <c r="E34" s="18"/>
      <c r="F34" s="7" t="s">
        <v>8</v>
      </c>
      <c r="G34" s="7" t="s">
        <v>8</v>
      </c>
      <c r="H34" s="7" t="s">
        <v>8</v>
      </c>
      <c r="I34" s="7" t="s">
        <v>9</v>
      </c>
      <c r="J34" s="11" t="s">
        <v>9</v>
      </c>
      <c r="K34" s="11" t="s">
        <v>9</v>
      </c>
      <c r="L34" s="7" t="s">
        <v>9</v>
      </c>
      <c r="M34" s="11" t="s">
        <v>9</v>
      </c>
      <c r="N34" s="11" t="s">
        <v>9</v>
      </c>
      <c r="O34" s="11" t="s">
        <v>9</v>
      </c>
      <c r="P34" s="7" t="s">
        <v>9</v>
      </c>
      <c r="Q34" s="8" t="s">
        <v>9</v>
      </c>
      <c r="R34" s="7" t="s">
        <v>9</v>
      </c>
      <c r="S34" s="7" t="s">
        <v>9</v>
      </c>
      <c r="T34" s="12" t="s">
        <v>9</v>
      </c>
      <c r="U34" s="7"/>
      <c r="V34" s="7"/>
    </row>
    <row r="35" spans="1:22" x14ac:dyDescent="0.25">
      <c r="A35" s="19" t="str">
        <f t="shared" si="0"/>
        <v>FALTA</v>
      </c>
      <c r="B35" s="20" t="s">
        <v>3</v>
      </c>
      <c r="C35" s="17" t="s">
        <v>1333</v>
      </c>
      <c r="D35" s="18"/>
      <c r="E35" s="18"/>
      <c r="F35" s="7" t="s">
        <v>8</v>
      </c>
      <c r="G35" s="7" t="s">
        <v>8</v>
      </c>
      <c r="H35" s="7" t="s">
        <v>8</v>
      </c>
      <c r="I35" s="7" t="s">
        <v>9</v>
      </c>
      <c r="J35" s="11" t="s">
        <v>9</v>
      </c>
      <c r="K35" s="11" t="s">
        <v>9</v>
      </c>
      <c r="L35" s="7" t="s">
        <v>9</v>
      </c>
      <c r="M35" s="11" t="s">
        <v>9</v>
      </c>
      <c r="N35" s="11" t="s">
        <v>9</v>
      </c>
      <c r="O35" s="11" t="s">
        <v>9</v>
      </c>
      <c r="P35" s="7" t="s">
        <v>9</v>
      </c>
      <c r="Q35" s="8" t="s">
        <v>9</v>
      </c>
      <c r="R35" s="7" t="s">
        <v>9</v>
      </c>
      <c r="S35" s="7" t="s">
        <v>9</v>
      </c>
      <c r="T35" s="12" t="s">
        <v>9</v>
      </c>
      <c r="U35" s="7"/>
      <c r="V35" s="7"/>
    </row>
    <row r="36" spans="1:22" x14ac:dyDescent="0.25">
      <c r="A36" s="19" t="str">
        <f t="shared" si="0"/>
        <v>FALTA</v>
      </c>
      <c r="B36" s="20" t="s">
        <v>3</v>
      </c>
      <c r="C36" s="17" t="s">
        <v>1333</v>
      </c>
      <c r="D36" s="18"/>
      <c r="E36" s="18"/>
      <c r="F36" s="7" t="s">
        <v>8</v>
      </c>
      <c r="G36" s="7" t="s">
        <v>8</v>
      </c>
      <c r="H36" s="7" t="s">
        <v>8</v>
      </c>
      <c r="I36" s="7" t="s">
        <v>9</v>
      </c>
      <c r="J36" s="11" t="s">
        <v>9</v>
      </c>
      <c r="K36" s="11" t="s">
        <v>9</v>
      </c>
      <c r="L36" s="7" t="s">
        <v>9</v>
      </c>
      <c r="M36" s="11" t="s">
        <v>9</v>
      </c>
      <c r="N36" s="11" t="s">
        <v>9</v>
      </c>
      <c r="O36" s="11" t="s">
        <v>9</v>
      </c>
      <c r="P36" s="7" t="s">
        <v>9</v>
      </c>
      <c r="Q36" s="8" t="s">
        <v>9</v>
      </c>
      <c r="R36" s="7" t="s">
        <v>9</v>
      </c>
      <c r="S36" s="7" t="s">
        <v>9</v>
      </c>
      <c r="T36" s="12" t="s">
        <v>9</v>
      </c>
      <c r="U36" s="7"/>
      <c r="V36" s="7"/>
    </row>
    <row r="37" spans="1:22" x14ac:dyDescent="0.25">
      <c r="A37" s="19" t="str">
        <f t="shared" si="0"/>
        <v>FALTA</v>
      </c>
      <c r="B37" s="20" t="s">
        <v>3</v>
      </c>
      <c r="C37" s="17" t="s">
        <v>1333</v>
      </c>
      <c r="D37" s="18"/>
      <c r="E37" s="18"/>
      <c r="F37" s="7" t="s">
        <v>8</v>
      </c>
      <c r="G37" s="7" t="s">
        <v>8</v>
      </c>
      <c r="H37" s="7" t="s">
        <v>8</v>
      </c>
      <c r="I37" s="7" t="s">
        <v>9</v>
      </c>
      <c r="J37" s="11" t="s">
        <v>9</v>
      </c>
      <c r="K37" s="11" t="s">
        <v>9</v>
      </c>
      <c r="L37" s="7" t="s">
        <v>9</v>
      </c>
      <c r="M37" s="11" t="s">
        <v>9</v>
      </c>
      <c r="N37" s="11" t="s">
        <v>9</v>
      </c>
      <c r="O37" s="11" t="s">
        <v>9</v>
      </c>
      <c r="P37" s="7" t="s">
        <v>9</v>
      </c>
      <c r="Q37" s="8" t="s">
        <v>9</v>
      </c>
      <c r="R37" s="7" t="s">
        <v>9</v>
      </c>
      <c r="S37" s="7" t="s">
        <v>9</v>
      </c>
      <c r="T37" s="12" t="s">
        <v>9</v>
      </c>
      <c r="U37" s="7"/>
      <c r="V37" s="7"/>
    </row>
    <row r="38" spans="1:22" x14ac:dyDescent="0.25">
      <c r="A38" s="19" t="str">
        <f t="shared" si="0"/>
        <v>FALTA</v>
      </c>
      <c r="B38" s="20" t="s">
        <v>3</v>
      </c>
      <c r="C38" s="17" t="s">
        <v>1333</v>
      </c>
      <c r="D38" s="18"/>
      <c r="E38" s="18"/>
      <c r="F38" s="7" t="s">
        <v>8</v>
      </c>
      <c r="G38" s="7" t="s">
        <v>8</v>
      </c>
      <c r="H38" s="7" t="s">
        <v>8</v>
      </c>
      <c r="I38" s="7" t="s">
        <v>9</v>
      </c>
      <c r="J38" s="11" t="s">
        <v>9</v>
      </c>
      <c r="K38" s="11" t="s">
        <v>9</v>
      </c>
      <c r="L38" s="7" t="s">
        <v>9</v>
      </c>
      <c r="M38" s="11" t="s">
        <v>9</v>
      </c>
      <c r="N38" s="11" t="s">
        <v>9</v>
      </c>
      <c r="O38" s="11" t="s">
        <v>9</v>
      </c>
      <c r="P38" s="7" t="s">
        <v>9</v>
      </c>
      <c r="Q38" s="8" t="s">
        <v>9</v>
      </c>
      <c r="R38" s="7" t="s">
        <v>9</v>
      </c>
      <c r="S38" s="7" t="s">
        <v>9</v>
      </c>
      <c r="T38" s="12" t="s">
        <v>9</v>
      </c>
      <c r="U38" s="7"/>
      <c r="V38" s="7"/>
    </row>
    <row r="39" spans="1:22" x14ac:dyDescent="0.25">
      <c r="A39" s="19" t="str">
        <f t="shared" si="0"/>
        <v>FALTA</v>
      </c>
      <c r="B39" s="20" t="s">
        <v>3</v>
      </c>
      <c r="C39" s="17" t="s">
        <v>1333</v>
      </c>
      <c r="D39" s="18"/>
      <c r="E39" s="18"/>
      <c r="F39" s="7" t="s">
        <v>8</v>
      </c>
      <c r="G39" s="7" t="s">
        <v>8</v>
      </c>
      <c r="H39" s="7" t="s">
        <v>8</v>
      </c>
      <c r="I39" s="7" t="s">
        <v>9</v>
      </c>
      <c r="J39" s="11" t="s">
        <v>9</v>
      </c>
      <c r="K39" s="11" t="s">
        <v>9</v>
      </c>
      <c r="L39" s="7" t="s">
        <v>9</v>
      </c>
      <c r="M39" s="11" t="s">
        <v>9</v>
      </c>
      <c r="N39" s="11" t="s">
        <v>9</v>
      </c>
      <c r="O39" s="11" t="s">
        <v>9</v>
      </c>
      <c r="P39" s="7" t="s">
        <v>9</v>
      </c>
      <c r="Q39" s="8" t="s">
        <v>9</v>
      </c>
      <c r="R39" s="7" t="s">
        <v>9</v>
      </c>
      <c r="S39" s="7" t="s">
        <v>9</v>
      </c>
      <c r="T39" s="12" t="s">
        <v>9</v>
      </c>
      <c r="U39" s="7"/>
      <c r="V39" s="7"/>
    </row>
    <row r="40" spans="1:22" x14ac:dyDescent="0.25">
      <c r="A40" s="19" t="str">
        <f t="shared" si="0"/>
        <v>FALTA</v>
      </c>
      <c r="B40" s="20" t="s">
        <v>3</v>
      </c>
      <c r="C40" s="17" t="s">
        <v>1333</v>
      </c>
      <c r="D40" s="18"/>
      <c r="E40" s="18"/>
      <c r="F40" s="7" t="s">
        <v>8</v>
      </c>
      <c r="G40" s="7" t="s">
        <v>8</v>
      </c>
      <c r="H40" s="7" t="s">
        <v>8</v>
      </c>
      <c r="I40" s="7" t="s">
        <v>9</v>
      </c>
      <c r="J40" s="11" t="s">
        <v>9</v>
      </c>
      <c r="K40" s="11" t="s">
        <v>9</v>
      </c>
      <c r="L40" s="7" t="s">
        <v>9</v>
      </c>
      <c r="M40" s="11" t="s">
        <v>9</v>
      </c>
      <c r="N40" s="11" t="s">
        <v>9</v>
      </c>
      <c r="O40" s="11" t="s">
        <v>9</v>
      </c>
      <c r="P40" s="7" t="s">
        <v>9</v>
      </c>
      <c r="Q40" s="8" t="s">
        <v>9</v>
      </c>
      <c r="R40" s="7" t="s">
        <v>9</v>
      </c>
      <c r="S40" s="7" t="s">
        <v>9</v>
      </c>
      <c r="T40" s="12" t="s">
        <v>9</v>
      </c>
      <c r="U40" s="7"/>
      <c r="V40" s="7"/>
    </row>
    <row r="41" spans="1:22" x14ac:dyDescent="0.25">
      <c r="A41" s="19" t="str">
        <f t="shared" si="0"/>
        <v>FALTA</v>
      </c>
      <c r="B41" s="20" t="s">
        <v>3</v>
      </c>
      <c r="C41" s="17" t="s">
        <v>1333</v>
      </c>
      <c r="D41" s="18"/>
      <c r="E41" s="18"/>
      <c r="F41" s="7" t="s">
        <v>8</v>
      </c>
      <c r="G41" s="7" t="s">
        <v>8</v>
      </c>
      <c r="H41" s="7" t="s">
        <v>8</v>
      </c>
      <c r="I41" s="7" t="s">
        <v>9</v>
      </c>
      <c r="J41" s="11" t="s">
        <v>9</v>
      </c>
      <c r="K41" s="11" t="s">
        <v>9</v>
      </c>
      <c r="L41" s="7" t="s">
        <v>9</v>
      </c>
      <c r="M41" s="11" t="s">
        <v>9</v>
      </c>
      <c r="N41" s="11" t="s">
        <v>9</v>
      </c>
      <c r="O41" s="11" t="s">
        <v>9</v>
      </c>
      <c r="P41" s="7" t="s">
        <v>9</v>
      </c>
      <c r="Q41" s="8" t="s">
        <v>9</v>
      </c>
      <c r="R41" s="7" t="s">
        <v>9</v>
      </c>
      <c r="S41" s="7" t="s">
        <v>9</v>
      </c>
      <c r="T41" s="12" t="s">
        <v>9</v>
      </c>
      <c r="U41" s="7"/>
      <c r="V41" s="7"/>
    </row>
    <row r="42" spans="1:22" x14ac:dyDescent="0.25">
      <c r="A42" s="19" t="str">
        <f t="shared" si="0"/>
        <v>FALTA</v>
      </c>
      <c r="B42" s="20" t="s">
        <v>3</v>
      </c>
      <c r="C42" s="17" t="s">
        <v>1333</v>
      </c>
      <c r="D42" s="18"/>
      <c r="E42" s="18"/>
      <c r="F42" s="7" t="s">
        <v>8</v>
      </c>
      <c r="G42" s="7" t="s">
        <v>8</v>
      </c>
      <c r="H42" s="7" t="s">
        <v>8</v>
      </c>
      <c r="I42" s="7" t="s">
        <v>9</v>
      </c>
      <c r="J42" s="11" t="s">
        <v>9</v>
      </c>
      <c r="K42" s="11" t="s">
        <v>9</v>
      </c>
      <c r="L42" s="7" t="s">
        <v>9</v>
      </c>
      <c r="M42" s="11" t="s">
        <v>9</v>
      </c>
      <c r="N42" s="11" t="s">
        <v>9</v>
      </c>
      <c r="O42" s="11" t="s">
        <v>9</v>
      </c>
      <c r="P42" s="7" t="s">
        <v>9</v>
      </c>
      <c r="Q42" s="8" t="s">
        <v>9</v>
      </c>
      <c r="R42" s="7" t="s">
        <v>9</v>
      </c>
      <c r="S42" s="7" t="s">
        <v>9</v>
      </c>
      <c r="T42" s="12" t="s">
        <v>9</v>
      </c>
      <c r="U42" s="7"/>
      <c r="V42" s="7"/>
    </row>
    <row r="43" spans="1:22" x14ac:dyDescent="0.25">
      <c r="A43" s="19" t="str">
        <f t="shared" si="0"/>
        <v>FALTA</v>
      </c>
      <c r="B43" s="20" t="s">
        <v>3</v>
      </c>
      <c r="C43" s="17" t="s">
        <v>1333</v>
      </c>
      <c r="D43" s="18"/>
      <c r="E43" s="18"/>
      <c r="F43" s="7" t="s">
        <v>8</v>
      </c>
      <c r="G43" s="7" t="s">
        <v>8</v>
      </c>
      <c r="H43" s="7" t="s">
        <v>8</v>
      </c>
      <c r="I43" s="7" t="s">
        <v>9</v>
      </c>
      <c r="J43" s="11" t="s">
        <v>9</v>
      </c>
      <c r="K43" s="11" t="s">
        <v>9</v>
      </c>
      <c r="L43" s="7" t="s">
        <v>9</v>
      </c>
      <c r="M43" s="11" t="s">
        <v>9</v>
      </c>
      <c r="N43" s="11" t="s">
        <v>9</v>
      </c>
      <c r="O43" s="11" t="s">
        <v>9</v>
      </c>
      <c r="P43" s="7" t="s">
        <v>9</v>
      </c>
      <c r="Q43" s="8" t="s">
        <v>9</v>
      </c>
      <c r="R43" s="7" t="s">
        <v>9</v>
      </c>
      <c r="S43" s="7" t="s">
        <v>9</v>
      </c>
      <c r="T43" s="12" t="s">
        <v>9</v>
      </c>
      <c r="U43" s="7"/>
      <c r="V43" s="7"/>
    </row>
    <row r="44" spans="1:22" x14ac:dyDescent="0.25">
      <c r="A44" s="19" t="str">
        <f t="shared" si="0"/>
        <v>FALTA</v>
      </c>
      <c r="B44" s="20" t="s">
        <v>3</v>
      </c>
      <c r="C44" s="17" t="s">
        <v>1333</v>
      </c>
      <c r="D44" s="18"/>
      <c r="E44" s="18"/>
      <c r="F44" s="7" t="s">
        <v>8</v>
      </c>
      <c r="G44" s="7" t="s">
        <v>8</v>
      </c>
      <c r="H44" s="7" t="s">
        <v>8</v>
      </c>
      <c r="I44" s="7" t="s">
        <v>9</v>
      </c>
      <c r="J44" s="11" t="s">
        <v>9</v>
      </c>
      <c r="K44" s="11" t="s">
        <v>9</v>
      </c>
      <c r="L44" s="7" t="s">
        <v>9</v>
      </c>
      <c r="M44" s="11" t="s">
        <v>9</v>
      </c>
      <c r="N44" s="11" t="s">
        <v>9</v>
      </c>
      <c r="O44" s="11" t="s">
        <v>9</v>
      </c>
      <c r="P44" s="7" t="s">
        <v>9</v>
      </c>
      <c r="Q44" s="8" t="s">
        <v>9</v>
      </c>
      <c r="R44" s="7" t="s">
        <v>9</v>
      </c>
      <c r="S44" s="7" t="s">
        <v>9</v>
      </c>
      <c r="T44" s="12" t="s">
        <v>9</v>
      </c>
      <c r="U44" s="7"/>
      <c r="V44" s="7"/>
    </row>
  </sheetData>
  <sheetProtection selectLockedCells="1" autoFilter="0" selectUnlockedCells="1"/>
  <mergeCells count="21">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 ref="R1:R2"/>
    <mergeCell ref="S1:S2"/>
    <mergeCell ref="T1:T2"/>
    <mergeCell ref="U1:U2"/>
    <mergeCell ref="V1:V2"/>
  </mergeCells>
  <conditionalFormatting sqref="F5:V44 G3:T4">
    <cfRule type="cellIs" dxfId="924" priority="38" operator="equal">
      <formula>"F"</formula>
    </cfRule>
    <cfRule type="cellIs" dxfId="923" priority="39" operator="equal">
      <formula>"OK"</formula>
    </cfRule>
    <cfRule type="cellIs" dxfId="922" priority="40" operator="between">
      <formula>6</formula>
      <formula>18</formula>
    </cfRule>
  </conditionalFormatting>
  <conditionalFormatting sqref="C1:E1 A2:E2 C3:C4 E3:E4 A5:E1048576">
    <cfRule type="expression" dxfId="921" priority="36">
      <formula>$A1="FALTA"</formula>
    </cfRule>
    <cfRule type="expression" dxfId="920" priority="37">
      <formula>$A1="COMPLETO"</formula>
    </cfRule>
  </conditionalFormatting>
  <conditionalFormatting sqref="D3:D4">
    <cfRule type="expression" dxfId="919" priority="20">
      <formula>$A3="FALTA"</formula>
    </cfRule>
    <cfRule type="expression" dxfId="918" priority="21">
      <formula>$A3="COMPLETO"</formula>
    </cfRule>
  </conditionalFormatting>
  <conditionalFormatting sqref="B3">
    <cfRule type="expression" dxfId="917" priority="22">
      <formula>$A3="FALTA"</formula>
    </cfRule>
    <cfRule type="expression" dxfId="916" priority="23">
      <formula>$A3="COMPLETO"</formula>
    </cfRule>
  </conditionalFormatting>
  <conditionalFormatting sqref="F4">
    <cfRule type="cellIs" dxfId="915" priority="17" operator="equal">
      <formula>"F"</formula>
    </cfRule>
    <cfRule type="cellIs" dxfId="914" priority="18" operator="equal">
      <formula>"OK"</formula>
    </cfRule>
    <cfRule type="cellIs" dxfId="913" priority="19" operator="between">
      <formula>6</formula>
      <formula>18</formula>
    </cfRule>
  </conditionalFormatting>
  <conditionalFormatting sqref="A1:B1">
    <cfRule type="expression" dxfId="912" priority="15">
      <formula>$A1="FALTA"</formula>
    </cfRule>
    <cfRule type="expression" dxfId="911" priority="16">
      <formula>$A1="COMPLETO"</formula>
    </cfRule>
  </conditionalFormatting>
  <conditionalFormatting sqref="U3:V3">
    <cfRule type="cellIs" dxfId="910" priority="6" operator="equal">
      <formula>"F"</formula>
    </cfRule>
    <cfRule type="cellIs" dxfId="909" priority="7" operator="equal">
      <formula>"OK"</formula>
    </cfRule>
    <cfRule type="cellIs" dxfId="908" priority="8" operator="between">
      <formula>6</formula>
      <formula>18</formula>
    </cfRule>
  </conditionalFormatting>
  <conditionalFormatting sqref="F3">
    <cfRule type="cellIs" dxfId="907" priority="3" operator="equal">
      <formula>"F"</formula>
    </cfRule>
    <cfRule type="cellIs" dxfId="906" priority="4" operator="equal">
      <formula>"OK"</formula>
    </cfRule>
    <cfRule type="cellIs" dxfId="905" priority="5" operator="between">
      <formula>6</formula>
      <formula>18</formula>
    </cfRule>
  </conditionalFormatting>
  <conditionalFormatting sqref="A3">
    <cfRule type="expression" dxfId="904" priority="1">
      <formula>$A3="FALTA"</formula>
    </cfRule>
    <cfRule type="expression" dxfId="903" priority="2">
      <formula>$A3="COMPLETO"</formula>
    </cfRule>
  </conditionalFormatting>
  <dataValidations count="5">
    <dataValidation type="list" allowBlank="1" showInputMessage="1" showErrorMessage="1" sqref="V5:V44">
      <formula1>"OK,F,6,12,18,CCPP"</formula1>
    </dataValidation>
    <dataValidation type="list" allowBlank="1" showInputMessage="1" showErrorMessage="1" sqref="F5:O44 I4 T3:T4 M3:M4 P4 R3:R4 Q5:U44">
      <formula1>"NP,OP,F,OK"</formula1>
    </dataValidation>
    <dataValidation type="list" allowBlank="1" showInputMessage="1" showErrorMessage="1" sqref="P5:P44">
      <formula1>"OP,6,12,18"</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5">
    <tabColor rgb="FF004079"/>
    <outlinePr summaryBelow="0" summaryRight="0"/>
  </sheetPr>
  <dimension ref="A1:V44"/>
  <sheetViews>
    <sheetView zoomScaleNormal="100" workbookViewId="0">
      <pane ySplit="2" topLeftCell="A3" activePane="bottomLeft" state="frozen"/>
      <selection pane="bottomLeft" activeCell="O1" sqref="O1:O2"/>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ZAbogado Rafael Medina 1-05</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FALTA</v>
      </c>
      <c r="B3" s="385" t="s">
        <v>116</v>
      </c>
      <c r="C3" s="23" t="s">
        <v>1357</v>
      </c>
      <c r="D3" s="29" t="s">
        <v>5</v>
      </c>
      <c r="E3" s="10" t="s">
        <v>768</v>
      </c>
      <c r="F3" s="30">
        <f>IF(AND(ISBLANK(U3),ISBLANK(V3)),1-(COUNTIF(G3:V4,"F")/7),1-(COUNTIF(U3:V3,"F")/2))</f>
        <v>0</v>
      </c>
      <c r="G3" s="24"/>
      <c r="H3" s="24"/>
      <c r="I3" s="24"/>
      <c r="J3" s="24"/>
      <c r="K3" s="24"/>
      <c r="L3" s="24" t="s">
        <v>28</v>
      </c>
      <c r="M3" s="11" t="s">
        <v>53</v>
      </c>
      <c r="N3" s="24"/>
      <c r="O3" s="24"/>
      <c r="P3" s="25"/>
      <c r="Q3" s="24" t="s">
        <v>24</v>
      </c>
      <c r="R3" s="11" t="s">
        <v>8</v>
      </c>
      <c r="S3" s="24" t="s">
        <v>12</v>
      </c>
      <c r="T3" s="11" t="s">
        <v>8</v>
      </c>
      <c r="U3" s="381" t="s">
        <v>8</v>
      </c>
      <c r="V3" s="381" t="s">
        <v>8</v>
      </c>
    </row>
    <row r="4" spans="1:22" x14ac:dyDescent="0.25">
      <c r="A4" s="384"/>
      <c r="B4" s="386"/>
      <c r="C4" s="23"/>
      <c r="D4" s="29" t="s">
        <v>6</v>
      </c>
      <c r="E4" s="10" t="s">
        <v>1356</v>
      </c>
      <c r="F4" s="30">
        <f>COUNTIF(A5:A44,"*COMPLETO*")/COUNTA(A5:A44)</f>
        <v>0.4838709677419355</v>
      </c>
      <c r="G4" s="24"/>
      <c r="H4" s="24" t="s">
        <v>18</v>
      </c>
      <c r="I4" s="11" t="s">
        <v>8</v>
      </c>
      <c r="J4" s="24"/>
      <c r="K4" s="24"/>
      <c r="L4" s="24" t="s">
        <v>23</v>
      </c>
      <c r="M4" s="11" t="s">
        <v>8</v>
      </c>
      <c r="N4" s="24"/>
      <c r="O4" s="24"/>
      <c r="P4" s="11"/>
      <c r="Q4" s="24" t="s">
        <v>26</v>
      </c>
      <c r="R4" s="11" t="s">
        <v>8</v>
      </c>
      <c r="S4" s="24" t="s">
        <v>19</v>
      </c>
      <c r="T4" s="11" t="s">
        <v>8</v>
      </c>
      <c r="U4" s="382"/>
      <c r="V4" s="382"/>
    </row>
    <row r="5" spans="1:22" ht="15" customHeight="1" x14ac:dyDescent="0.25">
      <c r="A5" s="19" t="str">
        <f>IF(COUNTIF(F5:V5,"F")&gt;0,"FALTA","COMPLETO")</f>
        <v>COMPLETO</v>
      </c>
      <c r="B5" s="20" t="s">
        <v>151</v>
      </c>
      <c r="C5" s="17" t="s">
        <v>1318</v>
      </c>
      <c r="D5" s="18" t="s">
        <v>1317</v>
      </c>
      <c r="E5" s="18" t="s">
        <v>0</v>
      </c>
      <c r="F5" s="7"/>
      <c r="G5" s="7"/>
      <c r="H5" s="7"/>
      <c r="I5" s="7" t="s">
        <v>9</v>
      </c>
      <c r="J5" s="11" t="s">
        <v>9</v>
      </c>
      <c r="K5" s="11" t="s">
        <v>9</v>
      </c>
      <c r="L5" s="7" t="s">
        <v>9</v>
      </c>
      <c r="M5" s="11" t="s">
        <v>9</v>
      </c>
      <c r="N5" s="11" t="s">
        <v>9</v>
      </c>
      <c r="O5" s="11" t="s">
        <v>9</v>
      </c>
      <c r="P5" s="7" t="s">
        <v>9</v>
      </c>
      <c r="Q5" s="8" t="s">
        <v>7</v>
      </c>
      <c r="R5" s="7" t="s">
        <v>9</v>
      </c>
      <c r="S5" s="7" t="s">
        <v>9</v>
      </c>
      <c r="T5" s="12" t="s">
        <v>9</v>
      </c>
      <c r="U5" s="7" t="s">
        <v>53</v>
      </c>
      <c r="V5" s="7">
        <v>12</v>
      </c>
    </row>
    <row r="6" spans="1:22" ht="15" customHeight="1" x14ac:dyDescent="0.25">
      <c r="A6" s="19" t="str">
        <f t="shared" ref="A6:A35" si="0">IF(COUNTIF(F6:V6,"F")&gt;0,"FALTA","COMPLETO")</f>
        <v>FALTA</v>
      </c>
      <c r="B6" s="20" t="s">
        <v>155</v>
      </c>
      <c r="C6" s="17" t="s">
        <v>4</v>
      </c>
      <c r="D6" s="18"/>
      <c r="E6" s="18" t="s">
        <v>0</v>
      </c>
      <c r="F6" s="7"/>
      <c r="G6" s="7"/>
      <c r="H6" s="7"/>
      <c r="I6" s="7" t="s">
        <v>9</v>
      </c>
      <c r="J6" s="11" t="s">
        <v>9</v>
      </c>
      <c r="K6" s="11" t="s">
        <v>9</v>
      </c>
      <c r="L6" s="7" t="s">
        <v>9</v>
      </c>
      <c r="M6" s="11" t="s">
        <v>9</v>
      </c>
      <c r="N6" s="11" t="s">
        <v>9</v>
      </c>
      <c r="O6" s="11" t="s">
        <v>9</v>
      </c>
      <c r="P6" s="7" t="s">
        <v>9</v>
      </c>
      <c r="Q6" s="8" t="s">
        <v>7</v>
      </c>
      <c r="R6" s="7" t="s">
        <v>9</v>
      </c>
      <c r="S6" s="7" t="s">
        <v>9</v>
      </c>
      <c r="T6" s="12" t="s">
        <v>9</v>
      </c>
      <c r="U6" s="7" t="s">
        <v>8</v>
      </c>
      <c r="V6" s="7" t="s">
        <v>8</v>
      </c>
    </row>
    <row r="7" spans="1:22" ht="15" customHeight="1" x14ac:dyDescent="0.25">
      <c r="A7" s="19" t="str">
        <f t="shared" si="0"/>
        <v>FALTA</v>
      </c>
      <c r="B7" s="20" t="s">
        <v>156</v>
      </c>
      <c r="C7" s="17" t="s">
        <v>4</v>
      </c>
      <c r="D7" s="18"/>
      <c r="E7" s="18" t="s">
        <v>0</v>
      </c>
      <c r="F7" s="7"/>
      <c r="G7" s="7"/>
      <c r="H7" s="7"/>
      <c r="I7" s="7" t="s">
        <v>7</v>
      </c>
      <c r="J7" s="11" t="s">
        <v>9</v>
      </c>
      <c r="K7" s="11" t="s">
        <v>9</v>
      </c>
      <c r="L7" s="7" t="s">
        <v>9</v>
      </c>
      <c r="M7" s="11" t="s">
        <v>9</v>
      </c>
      <c r="N7" s="11" t="s">
        <v>9</v>
      </c>
      <c r="O7" s="11" t="s">
        <v>9</v>
      </c>
      <c r="P7" s="7" t="s">
        <v>9</v>
      </c>
      <c r="Q7" s="8" t="s">
        <v>7</v>
      </c>
      <c r="R7" s="7" t="s">
        <v>9</v>
      </c>
      <c r="S7" s="7" t="s">
        <v>9</v>
      </c>
      <c r="T7" s="12" t="s">
        <v>9</v>
      </c>
      <c r="U7" s="7" t="s">
        <v>8</v>
      </c>
      <c r="V7" s="7" t="s">
        <v>8</v>
      </c>
    </row>
    <row r="8" spans="1:22" x14ac:dyDescent="0.25">
      <c r="A8" s="19" t="str">
        <f t="shared" si="0"/>
        <v>COMPLETO</v>
      </c>
      <c r="B8" s="20" t="s">
        <v>158</v>
      </c>
      <c r="C8" s="17" t="s">
        <v>1392</v>
      </c>
      <c r="D8" s="18" t="s">
        <v>1391</v>
      </c>
      <c r="E8" s="18" t="s">
        <v>0</v>
      </c>
      <c r="F8" s="7"/>
      <c r="G8" s="7"/>
      <c r="H8" s="7"/>
      <c r="I8" s="7" t="s">
        <v>9</v>
      </c>
      <c r="J8" s="11" t="s">
        <v>9</v>
      </c>
      <c r="K8" s="11" t="s">
        <v>9</v>
      </c>
      <c r="L8" s="7" t="s">
        <v>9</v>
      </c>
      <c r="M8" s="11" t="s">
        <v>9</v>
      </c>
      <c r="N8" s="11" t="s">
        <v>9</v>
      </c>
      <c r="O8" s="11" t="s">
        <v>9</v>
      </c>
      <c r="P8" s="7" t="s">
        <v>9</v>
      </c>
      <c r="Q8" s="8" t="s">
        <v>7</v>
      </c>
      <c r="R8" s="7" t="s">
        <v>9</v>
      </c>
      <c r="S8" s="7" t="s">
        <v>9</v>
      </c>
      <c r="T8" s="12" t="s">
        <v>9</v>
      </c>
      <c r="U8" s="7" t="s">
        <v>53</v>
      </c>
      <c r="V8" s="7" t="s">
        <v>53</v>
      </c>
    </row>
    <row r="9" spans="1:22" x14ac:dyDescent="0.25">
      <c r="A9" s="19" t="str">
        <f t="shared" si="0"/>
        <v>FALTA</v>
      </c>
      <c r="B9" s="20" t="s">
        <v>160</v>
      </c>
      <c r="C9" s="17" t="s">
        <v>4</v>
      </c>
      <c r="D9" s="18"/>
      <c r="E9" s="18" t="s">
        <v>0</v>
      </c>
      <c r="F9" s="7"/>
      <c r="G9" s="7"/>
      <c r="H9" s="7"/>
      <c r="I9" s="7" t="s">
        <v>9</v>
      </c>
      <c r="J9" s="11" t="s">
        <v>9</v>
      </c>
      <c r="K9" s="11" t="s">
        <v>9</v>
      </c>
      <c r="L9" s="7" t="s">
        <v>9</v>
      </c>
      <c r="M9" s="11" t="s">
        <v>9</v>
      </c>
      <c r="N9" s="11" t="s">
        <v>9</v>
      </c>
      <c r="O9" s="11" t="s">
        <v>9</v>
      </c>
      <c r="P9" s="7" t="s">
        <v>9</v>
      </c>
      <c r="Q9" s="8" t="s">
        <v>7</v>
      </c>
      <c r="R9" s="7" t="s">
        <v>9</v>
      </c>
      <c r="S9" s="7" t="s">
        <v>9</v>
      </c>
      <c r="T9" s="12" t="s">
        <v>9</v>
      </c>
      <c r="U9" s="7" t="s">
        <v>8</v>
      </c>
      <c r="V9" s="7" t="s">
        <v>8</v>
      </c>
    </row>
    <row r="10" spans="1:22" x14ac:dyDescent="0.25">
      <c r="A10" s="19" t="str">
        <f t="shared" si="0"/>
        <v>FALTA</v>
      </c>
      <c r="B10" s="20" t="s">
        <v>162</v>
      </c>
      <c r="C10" s="17" t="s">
        <v>4</v>
      </c>
      <c r="D10" s="18" t="s">
        <v>1346</v>
      </c>
      <c r="E10" s="18" t="s">
        <v>0</v>
      </c>
      <c r="F10" s="7"/>
      <c r="G10" s="7"/>
      <c r="H10" s="7"/>
      <c r="I10" s="7" t="s">
        <v>9</v>
      </c>
      <c r="J10" s="11" t="s">
        <v>9</v>
      </c>
      <c r="K10" s="11" t="s">
        <v>9</v>
      </c>
      <c r="L10" s="7" t="s">
        <v>9</v>
      </c>
      <c r="M10" s="11" t="s">
        <v>9</v>
      </c>
      <c r="N10" s="11" t="s">
        <v>9</v>
      </c>
      <c r="O10" s="11" t="s">
        <v>9</v>
      </c>
      <c r="P10" s="7" t="s">
        <v>9</v>
      </c>
      <c r="Q10" s="8" t="s">
        <v>7</v>
      </c>
      <c r="R10" s="7" t="s">
        <v>9</v>
      </c>
      <c r="S10" s="7" t="s">
        <v>9</v>
      </c>
      <c r="T10" s="12" t="s">
        <v>9</v>
      </c>
      <c r="U10" s="7" t="s">
        <v>8</v>
      </c>
      <c r="V10" s="7">
        <v>18</v>
      </c>
    </row>
    <row r="11" spans="1:22" x14ac:dyDescent="0.25">
      <c r="A11" s="19" t="str">
        <f t="shared" si="0"/>
        <v>COMPLETO</v>
      </c>
      <c r="B11" s="20" t="s">
        <v>164</v>
      </c>
      <c r="C11" s="17" t="s">
        <v>1328</v>
      </c>
      <c r="D11" s="18" t="s">
        <v>1327</v>
      </c>
      <c r="E11" s="18" t="s">
        <v>0</v>
      </c>
      <c r="F11" s="7"/>
      <c r="G11" s="7"/>
      <c r="H11" s="7"/>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166</v>
      </c>
      <c r="C12" s="17" t="s">
        <v>2468</v>
      </c>
      <c r="D12" s="18" t="s">
        <v>1393</v>
      </c>
      <c r="E12" s="18" t="s">
        <v>0</v>
      </c>
      <c r="F12" s="7"/>
      <c r="G12" s="7"/>
      <c r="H12" s="7"/>
      <c r="I12" s="7" t="s">
        <v>9</v>
      </c>
      <c r="J12" s="11" t="s">
        <v>9</v>
      </c>
      <c r="K12" s="11" t="s">
        <v>9</v>
      </c>
      <c r="L12" s="7" t="s">
        <v>9</v>
      </c>
      <c r="M12" s="11" t="s">
        <v>9</v>
      </c>
      <c r="N12" s="11" t="s">
        <v>9</v>
      </c>
      <c r="O12" s="11" t="s">
        <v>9</v>
      </c>
      <c r="P12" s="7" t="s">
        <v>9</v>
      </c>
      <c r="Q12" s="8" t="s">
        <v>7</v>
      </c>
      <c r="R12" s="7" t="s">
        <v>9</v>
      </c>
      <c r="S12" s="7" t="s">
        <v>9</v>
      </c>
      <c r="T12" s="12" t="s">
        <v>9</v>
      </c>
      <c r="U12" s="7" t="s">
        <v>53</v>
      </c>
      <c r="V12" s="7">
        <v>18</v>
      </c>
    </row>
    <row r="13" spans="1:22" x14ac:dyDescent="0.25">
      <c r="A13" s="19" t="str">
        <f t="shared" si="0"/>
        <v>COMPLETO</v>
      </c>
      <c r="B13" s="20" t="s">
        <v>168</v>
      </c>
      <c r="C13" s="17" t="s">
        <v>1308</v>
      </c>
      <c r="D13" s="18" t="s">
        <v>1307</v>
      </c>
      <c r="E13" s="18" t="s">
        <v>0</v>
      </c>
      <c r="F13" s="7"/>
      <c r="G13" s="7"/>
      <c r="H13" s="7"/>
      <c r="I13" s="7" t="s">
        <v>9</v>
      </c>
      <c r="J13" s="11" t="s">
        <v>9</v>
      </c>
      <c r="K13" s="11" t="s">
        <v>9</v>
      </c>
      <c r="L13" s="7" t="s">
        <v>9</v>
      </c>
      <c r="M13" s="11" t="s">
        <v>9</v>
      </c>
      <c r="N13" s="11" t="s">
        <v>9</v>
      </c>
      <c r="O13" s="11" t="s">
        <v>9</v>
      </c>
      <c r="P13" s="7" t="s">
        <v>9</v>
      </c>
      <c r="Q13" s="8" t="s">
        <v>7</v>
      </c>
      <c r="R13" s="7" t="s">
        <v>9</v>
      </c>
      <c r="S13" s="7" t="s">
        <v>9</v>
      </c>
      <c r="T13" s="12" t="s">
        <v>9</v>
      </c>
      <c r="U13" s="7" t="s">
        <v>53</v>
      </c>
      <c r="V13" s="7" t="s">
        <v>53</v>
      </c>
    </row>
    <row r="14" spans="1:22" x14ac:dyDescent="0.25">
      <c r="A14" s="19" t="str">
        <f t="shared" si="0"/>
        <v>FALTA</v>
      </c>
      <c r="B14" s="20" t="s">
        <v>170</v>
      </c>
      <c r="C14" s="17" t="s">
        <v>4</v>
      </c>
      <c r="D14" s="18"/>
      <c r="E14" s="18" t="s">
        <v>0</v>
      </c>
      <c r="F14" s="7"/>
      <c r="G14" s="7"/>
      <c r="H14" s="7"/>
      <c r="I14" s="7" t="s">
        <v>9</v>
      </c>
      <c r="J14" s="11" t="s">
        <v>9</v>
      </c>
      <c r="K14" s="11" t="s">
        <v>9</v>
      </c>
      <c r="L14" s="7" t="s">
        <v>9</v>
      </c>
      <c r="M14" s="11" t="s">
        <v>9</v>
      </c>
      <c r="N14" s="11" t="s">
        <v>9</v>
      </c>
      <c r="O14" s="11" t="s">
        <v>9</v>
      </c>
      <c r="P14" s="7" t="s">
        <v>9</v>
      </c>
      <c r="Q14" s="8" t="s">
        <v>7</v>
      </c>
      <c r="R14" s="7" t="s">
        <v>9</v>
      </c>
      <c r="S14" s="7" t="s">
        <v>9</v>
      </c>
      <c r="T14" s="12" t="s">
        <v>9</v>
      </c>
      <c r="U14" s="7" t="s">
        <v>8</v>
      </c>
      <c r="V14" s="7" t="s">
        <v>8</v>
      </c>
    </row>
    <row r="15" spans="1:22" x14ac:dyDescent="0.25">
      <c r="A15" s="19" t="str">
        <f t="shared" si="0"/>
        <v>FALTA</v>
      </c>
      <c r="B15" s="20" t="s">
        <v>172</v>
      </c>
      <c r="C15" s="17" t="s">
        <v>4</v>
      </c>
      <c r="D15" s="18"/>
      <c r="E15" s="18" t="s">
        <v>0</v>
      </c>
      <c r="F15" s="7"/>
      <c r="G15" s="7"/>
      <c r="H15" s="7"/>
      <c r="I15" s="7" t="s">
        <v>9</v>
      </c>
      <c r="J15" s="11" t="s">
        <v>9</v>
      </c>
      <c r="K15" s="11" t="s">
        <v>9</v>
      </c>
      <c r="L15" s="7" t="s">
        <v>9</v>
      </c>
      <c r="M15" s="11" t="s">
        <v>9</v>
      </c>
      <c r="N15" s="11" t="s">
        <v>9</v>
      </c>
      <c r="O15" s="11" t="s">
        <v>9</v>
      </c>
      <c r="P15" s="7" t="s">
        <v>9</v>
      </c>
      <c r="Q15" s="8" t="s">
        <v>7</v>
      </c>
      <c r="R15" s="7" t="s">
        <v>9</v>
      </c>
      <c r="S15" s="7" t="s">
        <v>9</v>
      </c>
      <c r="T15" s="12" t="s">
        <v>9</v>
      </c>
      <c r="U15" s="7" t="s">
        <v>8</v>
      </c>
      <c r="V15" s="7" t="s">
        <v>8</v>
      </c>
    </row>
    <row r="16" spans="1:22" x14ac:dyDescent="0.25">
      <c r="A16" s="19" t="str">
        <f t="shared" si="0"/>
        <v>COMPLETO</v>
      </c>
      <c r="B16" s="20" t="s">
        <v>174</v>
      </c>
      <c r="C16" s="17" t="s">
        <v>1767</v>
      </c>
      <c r="D16" s="18" t="s">
        <v>1766</v>
      </c>
      <c r="E16" s="18" t="s">
        <v>0</v>
      </c>
      <c r="F16" s="7"/>
      <c r="G16" s="7"/>
      <c r="H16" s="7"/>
      <c r="I16" s="7" t="s">
        <v>9</v>
      </c>
      <c r="J16" s="11" t="s">
        <v>9</v>
      </c>
      <c r="K16" s="11" t="s">
        <v>9</v>
      </c>
      <c r="L16" s="7" t="s">
        <v>9</v>
      </c>
      <c r="M16" s="11" t="s">
        <v>9</v>
      </c>
      <c r="N16" s="11" t="s">
        <v>9</v>
      </c>
      <c r="O16" s="11" t="s">
        <v>9</v>
      </c>
      <c r="P16" s="7" t="s">
        <v>9</v>
      </c>
      <c r="Q16" s="8" t="s">
        <v>7</v>
      </c>
      <c r="R16" s="7" t="s">
        <v>9</v>
      </c>
      <c r="S16" s="7" t="s">
        <v>9</v>
      </c>
      <c r="T16" s="12" t="s">
        <v>9</v>
      </c>
      <c r="U16" s="7" t="s">
        <v>53</v>
      </c>
      <c r="V16" s="7">
        <v>18</v>
      </c>
    </row>
    <row r="17" spans="1:22" x14ac:dyDescent="0.25">
      <c r="A17" s="19" t="str">
        <f t="shared" si="0"/>
        <v>COMPLETO</v>
      </c>
      <c r="B17" s="20" t="s">
        <v>175</v>
      </c>
      <c r="C17" s="17" t="s">
        <v>1765</v>
      </c>
      <c r="D17" s="18" t="s">
        <v>1764</v>
      </c>
      <c r="E17" s="18" t="s">
        <v>0</v>
      </c>
      <c r="F17" s="7"/>
      <c r="G17" s="7"/>
      <c r="H17" s="7"/>
      <c r="I17" s="7" t="s">
        <v>9</v>
      </c>
      <c r="J17" s="11" t="s">
        <v>9</v>
      </c>
      <c r="K17" s="11" t="s">
        <v>9</v>
      </c>
      <c r="L17" s="7" t="s">
        <v>9</v>
      </c>
      <c r="M17" s="11" t="s">
        <v>9</v>
      </c>
      <c r="N17" s="11" t="s">
        <v>9</v>
      </c>
      <c r="O17" s="11" t="s">
        <v>9</v>
      </c>
      <c r="P17" s="7" t="s">
        <v>9</v>
      </c>
      <c r="Q17" s="8" t="s">
        <v>7</v>
      </c>
      <c r="R17" s="7" t="s">
        <v>9</v>
      </c>
      <c r="S17" s="7" t="s">
        <v>9</v>
      </c>
      <c r="T17" s="12" t="s">
        <v>9</v>
      </c>
      <c r="U17" s="7" t="s">
        <v>53</v>
      </c>
      <c r="V17" s="7" t="s">
        <v>53</v>
      </c>
    </row>
    <row r="18" spans="1:22" x14ac:dyDescent="0.25">
      <c r="A18" s="19" t="str">
        <f t="shared" si="0"/>
        <v>COMPLETO</v>
      </c>
      <c r="B18" s="20" t="s">
        <v>177</v>
      </c>
      <c r="C18" s="17" t="s">
        <v>1368</v>
      </c>
      <c r="D18" s="18" t="s">
        <v>1367</v>
      </c>
      <c r="E18" s="18" t="s">
        <v>0</v>
      </c>
      <c r="F18" s="7"/>
      <c r="G18" s="7"/>
      <c r="H18" s="7"/>
      <c r="I18" s="7" t="s">
        <v>9</v>
      </c>
      <c r="J18" s="11" t="s">
        <v>9</v>
      </c>
      <c r="K18" s="11" t="s">
        <v>9</v>
      </c>
      <c r="L18" s="7" t="s">
        <v>9</v>
      </c>
      <c r="M18" s="11" t="s">
        <v>9</v>
      </c>
      <c r="N18" s="11" t="s">
        <v>9</v>
      </c>
      <c r="O18" s="11" t="s">
        <v>9</v>
      </c>
      <c r="P18" s="7" t="s">
        <v>9</v>
      </c>
      <c r="Q18" s="8" t="s">
        <v>7</v>
      </c>
      <c r="R18" s="7" t="s">
        <v>9</v>
      </c>
      <c r="S18" s="7" t="s">
        <v>9</v>
      </c>
      <c r="T18" s="12" t="s">
        <v>9</v>
      </c>
      <c r="U18" s="7" t="s">
        <v>53</v>
      </c>
      <c r="V18" s="7">
        <v>18</v>
      </c>
    </row>
    <row r="19" spans="1:22" x14ac:dyDescent="0.25">
      <c r="A19" s="19" t="str">
        <f t="shared" si="0"/>
        <v>FALTA</v>
      </c>
      <c r="B19" s="20" t="s">
        <v>179</v>
      </c>
      <c r="C19" s="17" t="s">
        <v>4</v>
      </c>
      <c r="D19" s="18"/>
      <c r="E19" s="18" t="s">
        <v>0</v>
      </c>
      <c r="F19" s="7"/>
      <c r="G19" s="7"/>
      <c r="H19" s="7"/>
      <c r="I19" s="7" t="s">
        <v>9</v>
      </c>
      <c r="J19" s="11" t="s">
        <v>9</v>
      </c>
      <c r="K19" s="11" t="s">
        <v>9</v>
      </c>
      <c r="L19" s="7" t="s">
        <v>9</v>
      </c>
      <c r="M19" s="11" t="s">
        <v>9</v>
      </c>
      <c r="N19" s="11" t="s">
        <v>9</v>
      </c>
      <c r="O19" s="11" t="s">
        <v>9</v>
      </c>
      <c r="P19" s="7" t="s">
        <v>9</v>
      </c>
      <c r="Q19" s="8" t="s">
        <v>7</v>
      </c>
      <c r="R19" s="7" t="s">
        <v>9</v>
      </c>
      <c r="S19" s="7" t="s">
        <v>9</v>
      </c>
      <c r="T19" s="12" t="s">
        <v>9</v>
      </c>
      <c r="U19" s="7" t="s">
        <v>8</v>
      </c>
      <c r="V19" s="7" t="s">
        <v>8</v>
      </c>
    </row>
    <row r="20" spans="1:22" x14ac:dyDescent="0.25">
      <c r="A20" s="19" t="str">
        <f t="shared" si="0"/>
        <v>COMPLETO</v>
      </c>
      <c r="B20" s="20" t="s">
        <v>181</v>
      </c>
      <c r="C20" s="17" t="s">
        <v>1304</v>
      </c>
      <c r="D20" s="18" t="s">
        <v>1303</v>
      </c>
      <c r="E20" s="18" t="s">
        <v>0</v>
      </c>
      <c r="F20" s="7"/>
      <c r="G20" s="7"/>
      <c r="H20" s="7"/>
      <c r="I20" s="7" t="s">
        <v>9</v>
      </c>
      <c r="J20" s="11" t="s">
        <v>9</v>
      </c>
      <c r="K20" s="11" t="s">
        <v>9</v>
      </c>
      <c r="L20" s="7" t="s">
        <v>9</v>
      </c>
      <c r="M20" s="11" t="s">
        <v>9</v>
      </c>
      <c r="N20" s="11" t="s">
        <v>9</v>
      </c>
      <c r="O20" s="11" t="s">
        <v>9</v>
      </c>
      <c r="P20" s="7" t="s">
        <v>9</v>
      </c>
      <c r="Q20" s="8" t="s">
        <v>7</v>
      </c>
      <c r="R20" s="7" t="s">
        <v>9</v>
      </c>
      <c r="S20" s="7" t="s">
        <v>9</v>
      </c>
      <c r="T20" s="12" t="s">
        <v>9</v>
      </c>
      <c r="U20" s="7" t="s">
        <v>53</v>
      </c>
      <c r="V20" s="7" t="s">
        <v>53</v>
      </c>
    </row>
    <row r="21" spans="1:22" x14ac:dyDescent="0.25">
      <c r="A21" s="19" t="str">
        <f t="shared" si="0"/>
        <v>COMPLETO</v>
      </c>
      <c r="B21" s="20" t="s">
        <v>183</v>
      </c>
      <c r="C21" s="17" t="s">
        <v>1345</v>
      </c>
      <c r="D21" s="18" t="s">
        <v>1344</v>
      </c>
      <c r="E21" s="18" t="s">
        <v>0</v>
      </c>
      <c r="F21" s="7"/>
      <c r="G21" s="7"/>
      <c r="H21" s="7"/>
      <c r="I21" s="7" t="s">
        <v>9</v>
      </c>
      <c r="J21" s="11" t="s">
        <v>9</v>
      </c>
      <c r="K21" s="11" t="s">
        <v>9</v>
      </c>
      <c r="L21" s="7" t="s">
        <v>9</v>
      </c>
      <c r="M21" s="11" t="s">
        <v>9</v>
      </c>
      <c r="N21" s="11" t="s">
        <v>9</v>
      </c>
      <c r="O21" s="11" t="s">
        <v>9</v>
      </c>
      <c r="P21" s="7" t="s">
        <v>9</v>
      </c>
      <c r="Q21" s="8" t="s">
        <v>7</v>
      </c>
      <c r="R21" s="7" t="s">
        <v>9</v>
      </c>
      <c r="S21" s="7" t="s">
        <v>9</v>
      </c>
      <c r="T21" s="12" t="s">
        <v>9</v>
      </c>
      <c r="U21" s="7" t="s">
        <v>53</v>
      </c>
      <c r="V21" s="7" t="s">
        <v>53</v>
      </c>
    </row>
    <row r="22" spans="1:22" x14ac:dyDescent="0.25">
      <c r="A22" s="19" t="str">
        <f t="shared" si="0"/>
        <v>FALTA</v>
      </c>
      <c r="B22" s="20" t="s">
        <v>185</v>
      </c>
      <c r="C22" s="17" t="s">
        <v>4</v>
      </c>
      <c r="D22" s="18"/>
      <c r="E22" s="18" t="s">
        <v>0</v>
      </c>
      <c r="F22" s="7"/>
      <c r="G22" s="7"/>
      <c r="H22" s="7"/>
      <c r="I22" s="7" t="s">
        <v>9</v>
      </c>
      <c r="J22" s="11" t="s">
        <v>9</v>
      </c>
      <c r="K22" s="11" t="s">
        <v>9</v>
      </c>
      <c r="L22" s="7" t="s">
        <v>9</v>
      </c>
      <c r="M22" s="11" t="s">
        <v>9</v>
      </c>
      <c r="N22" s="11" t="s">
        <v>9</v>
      </c>
      <c r="O22" s="11" t="s">
        <v>9</v>
      </c>
      <c r="P22" s="7" t="s">
        <v>9</v>
      </c>
      <c r="Q22" s="8" t="s">
        <v>7</v>
      </c>
      <c r="R22" s="7" t="s">
        <v>9</v>
      </c>
      <c r="S22" s="7" t="s">
        <v>9</v>
      </c>
      <c r="T22" s="12" t="s">
        <v>9</v>
      </c>
      <c r="U22" s="7" t="s">
        <v>8</v>
      </c>
      <c r="V22" s="7" t="s">
        <v>53</v>
      </c>
    </row>
    <row r="23" spans="1:22" x14ac:dyDescent="0.25">
      <c r="A23" s="19" t="str">
        <f t="shared" si="0"/>
        <v>FALTA</v>
      </c>
      <c r="B23" s="20" t="s">
        <v>187</v>
      </c>
      <c r="C23" s="17" t="s">
        <v>4</v>
      </c>
      <c r="D23" s="18"/>
      <c r="E23" s="18" t="s">
        <v>0</v>
      </c>
      <c r="F23" s="7"/>
      <c r="G23" s="7"/>
      <c r="H23" s="7"/>
      <c r="I23" s="7" t="s">
        <v>9</v>
      </c>
      <c r="J23" s="11" t="s">
        <v>9</v>
      </c>
      <c r="K23" s="11" t="s">
        <v>9</v>
      </c>
      <c r="L23" s="7" t="s">
        <v>9</v>
      </c>
      <c r="M23" s="11" t="s">
        <v>9</v>
      </c>
      <c r="N23" s="11" t="s">
        <v>9</v>
      </c>
      <c r="O23" s="11" t="s">
        <v>9</v>
      </c>
      <c r="P23" s="7" t="s">
        <v>9</v>
      </c>
      <c r="Q23" s="8" t="s">
        <v>7</v>
      </c>
      <c r="R23" s="7" t="s">
        <v>9</v>
      </c>
      <c r="S23" s="7" t="s">
        <v>9</v>
      </c>
      <c r="T23" s="12" t="s">
        <v>9</v>
      </c>
      <c r="U23" s="7" t="s">
        <v>8</v>
      </c>
      <c r="V23" s="7" t="s">
        <v>8</v>
      </c>
    </row>
    <row r="24" spans="1:22" x14ac:dyDescent="0.25">
      <c r="A24" s="19" t="str">
        <f t="shared" si="0"/>
        <v>COMPLETO</v>
      </c>
      <c r="B24" s="20" t="s">
        <v>337</v>
      </c>
      <c r="C24" s="17" t="s">
        <v>1374</v>
      </c>
      <c r="D24" s="18" t="s">
        <v>1373</v>
      </c>
      <c r="E24" s="18" t="s">
        <v>0</v>
      </c>
      <c r="F24" s="7"/>
      <c r="G24" s="7"/>
      <c r="H24" s="7"/>
      <c r="I24" s="7" t="s">
        <v>9</v>
      </c>
      <c r="J24" s="11" t="s">
        <v>9</v>
      </c>
      <c r="K24" s="11" t="s">
        <v>9</v>
      </c>
      <c r="L24" s="7" t="s">
        <v>9</v>
      </c>
      <c r="M24" s="11" t="s">
        <v>9</v>
      </c>
      <c r="N24" s="11" t="s">
        <v>9</v>
      </c>
      <c r="O24" s="11" t="s">
        <v>9</v>
      </c>
      <c r="P24" s="7" t="s">
        <v>9</v>
      </c>
      <c r="Q24" s="8" t="s">
        <v>7</v>
      </c>
      <c r="R24" s="7" t="s">
        <v>9</v>
      </c>
      <c r="S24" s="7" t="s">
        <v>9</v>
      </c>
      <c r="T24" s="12" t="s">
        <v>9</v>
      </c>
      <c r="U24" s="7" t="s">
        <v>53</v>
      </c>
      <c r="V24" s="7" t="s">
        <v>53</v>
      </c>
    </row>
    <row r="25" spans="1:22" x14ac:dyDescent="0.25">
      <c r="A25" s="19" t="str">
        <f t="shared" si="0"/>
        <v>COMPLETO</v>
      </c>
      <c r="B25" s="20" t="s">
        <v>339</v>
      </c>
      <c r="C25" s="17" t="s">
        <v>1370</v>
      </c>
      <c r="D25" s="18" t="s">
        <v>1369</v>
      </c>
      <c r="E25" s="18" t="s">
        <v>0</v>
      </c>
      <c r="F25" s="7"/>
      <c r="G25" s="7"/>
      <c r="H25" s="7"/>
      <c r="I25" s="7" t="s">
        <v>9</v>
      </c>
      <c r="J25" s="11" t="s">
        <v>9</v>
      </c>
      <c r="K25" s="11" t="s">
        <v>9</v>
      </c>
      <c r="L25" s="7" t="s">
        <v>9</v>
      </c>
      <c r="M25" s="11" t="s">
        <v>9</v>
      </c>
      <c r="N25" s="11" t="s">
        <v>9</v>
      </c>
      <c r="O25" s="11" t="s">
        <v>9</v>
      </c>
      <c r="P25" s="7" t="s">
        <v>9</v>
      </c>
      <c r="Q25" s="8" t="s">
        <v>7</v>
      </c>
      <c r="R25" s="7" t="s">
        <v>9</v>
      </c>
      <c r="S25" s="7" t="s">
        <v>9</v>
      </c>
      <c r="T25" s="12" t="s">
        <v>9</v>
      </c>
      <c r="U25" s="7" t="s">
        <v>53</v>
      </c>
      <c r="V25" s="7" t="s">
        <v>53</v>
      </c>
    </row>
    <row r="26" spans="1:22" x14ac:dyDescent="0.25">
      <c r="A26" s="19" t="str">
        <f t="shared" si="0"/>
        <v>COMPLETO</v>
      </c>
      <c r="B26" s="20" t="s">
        <v>341</v>
      </c>
      <c r="C26" s="17" t="s">
        <v>1397</v>
      </c>
      <c r="D26" s="18" t="s">
        <v>1396</v>
      </c>
      <c r="E26" s="18" t="s">
        <v>0</v>
      </c>
      <c r="F26" s="7"/>
      <c r="G26" s="7"/>
      <c r="H26" s="7"/>
      <c r="I26" s="7" t="s">
        <v>9</v>
      </c>
      <c r="J26" s="11" t="s">
        <v>9</v>
      </c>
      <c r="K26" s="11" t="s">
        <v>9</v>
      </c>
      <c r="L26" s="7" t="s">
        <v>9</v>
      </c>
      <c r="M26" s="11" t="s">
        <v>9</v>
      </c>
      <c r="N26" s="11" t="s">
        <v>9</v>
      </c>
      <c r="O26" s="11" t="s">
        <v>9</v>
      </c>
      <c r="P26" s="7" t="s">
        <v>9</v>
      </c>
      <c r="Q26" s="8" t="s">
        <v>7</v>
      </c>
      <c r="R26" s="7" t="s">
        <v>9</v>
      </c>
      <c r="S26" s="7" t="s">
        <v>9</v>
      </c>
      <c r="T26" s="12" t="s">
        <v>9</v>
      </c>
      <c r="U26" s="7" t="s">
        <v>53</v>
      </c>
      <c r="V26" s="7" t="s">
        <v>53</v>
      </c>
    </row>
    <row r="27" spans="1:22" x14ac:dyDescent="0.25">
      <c r="A27" s="19" t="str">
        <f t="shared" si="0"/>
        <v>FALTA</v>
      </c>
      <c r="B27" s="20" t="s">
        <v>343</v>
      </c>
      <c r="C27" s="17" t="s">
        <v>4</v>
      </c>
      <c r="D27" s="18"/>
      <c r="E27" s="18" t="s">
        <v>0</v>
      </c>
      <c r="F27" s="7"/>
      <c r="G27" s="7"/>
      <c r="H27" s="7"/>
      <c r="I27" s="7" t="s">
        <v>9</v>
      </c>
      <c r="J27" s="11" t="s">
        <v>9</v>
      </c>
      <c r="K27" s="11" t="s">
        <v>9</v>
      </c>
      <c r="L27" s="7" t="s">
        <v>9</v>
      </c>
      <c r="M27" s="11" t="s">
        <v>9</v>
      </c>
      <c r="N27" s="11" t="s">
        <v>9</v>
      </c>
      <c r="O27" s="11" t="s">
        <v>9</v>
      </c>
      <c r="P27" s="7" t="s">
        <v>9</v>
      </c>
      <c r="Q27" s="8" t="s">
        <v>7</v>
      </c>
      <c r="R27" s="7" t="s">
        <v>9</v>
      </c>
      <c r="S27" s="7" t="s">
        <v>9</v>
      </c>
      <c r="T27" s="12" t="s">
        <v>9</v>
      </c>
      <c r="U27" s="7" t="s">
        <v>8</v>
      </c>
      <c r="V27" s="7" t="s">
        <v>8</v>
      </c>
    </row>
    <row r="28" spans="1:22" x14ac:dyDescent="0.25">
      <c r="A28" s="19" t="str">
        <f t="shared" si="0"/>
        <v>COMPLETO</v>
      </c>
      <c r="B28" s="20" t="s">
        <v>345</v>
      </c>
      <c r="C28" s="21" t="s">
        <v>4</v>
      </c>
      <c r="D28" s="18" t="s">
        <v>1366</v>
      </c>
      <c r="E28" s="18" t="s">
        <v>0</v>
      </c>
      <c r="F28" s="7"/>
      <c r="G28" s="7"/>
      <c r="H28" s="7"/>
      <c r="I28" s="7" t="s">
        <v>9</v>
      </c>
      <c r="J28" s="11" t="s">
        <v>9</v>
      </c>
      <c r="K28" s="11" t="s">
        <v>9</v>
      </c>
      <c r="L28" s="7" t="s">
        <v>9</v>
      </c>
      <c r="M28" s="11" t="s">
        <v>9</v>
      </c>
      <c r="N28" s="11" t="s">
        <v>9</v>
      </c>
      <c r="O28" s="11" t="s">
        <v>9</v>
      </c>
      <c r="P28" s="7" t="s">
        <v>9</v>
      </c>
      <c r="Q28" s="8" t="s">
        <v>7</v>
      </c>
      <c r="R28" s="7" t="s">
        <v>9</v>
      </c>
      <c r="S28" s="7" t="s">
        <v>9</v>
      </c>
      <c r="T28" s="12" t="s">
        <v>9</v>
      </c>
      <c r="U28" s="7" t="s">
        <v>53</v>
      </c>
      <c r="V28" s="7" t="s">
        <v>53</v>
      </c>
    </row>
    <row r="29" spans="1:22" x14ac:dyDescent="0.25">
      <c r="A29" s="19" t="str">
        <f t="shared" si="0"/>
        <v>FALTA</v>
      </c>
      <c r="B29" s="20" t="s">
        <v>347</v>
      </c>
      <c r="C29" s="17" t="s">
        <v>4</v>
      </c>
      <c r="D29" s="18"/>
      <c r="E29" s="18" t="s">
        <v>0</v>
      </c>
      <c r="F29" s="7"/>
      <c r="G29" s="7"/>
      <c r="H29" s="7"/>
      <c r="I29" s="7" t="s">
        <v>9</v>
      </c>
      <c r="J29" s="11" t="s">
        <v>9</v>
      </c>
      <c r="K29" s="11" t="s">
        <v>9</v>
      </c>
      <c r="L29" s="7" t="s">
        <v>9</v>
      </c>
      <c r="M29" s="11" t="s">
        <v>9</v>
      </c>
      <c r="N29" s="11" t="s">
        <v>9</v>
      </c>
      <c r="O29" s="11" t="s">
        <v>9</v>
      </c>
      <c r="P29" s="7" t="s">
        <v>9</v>
      </c>
      <c r="Q29" s="8" t="s">
        <v>7</v>
      </c>
      <c r="R29" s="7" t="s">
        <v>9</v>
      </c>
      <c r="S29" s="7" t="s">
        <v>9</v>
      </c>
      <c r="T29" s="12" t="s">
        <v>9</v>
      </c>
      <c r="U29" s="7" t="s">
        <v>8</v>
      </c>
      <c r="V29" s="7" t="s">
        <v>8</v>
      </c>
    </row>
    <row r="30" spans="1:22" x14ac:dyDescent="0.25">
      <c r="A30" s="19" t="str">
        <f t="shared" si="0"/>
        <v>FALTA</v>
      </c>
      <c r="B30" s="20" t="s">
        <v>349</v>
      </c>
      <c r="C30" s="17" t="s">
        <v>4</v>
      </c>
      <c r="D30" s="18"/>
      <c r="E30" s="18" t="s">
        <v>0</v>
      </c>
      <c r="F30" s="7"/>
      <c r="G30" s="7"/>
      <c r="H30" s="7"/>
      <c r="I30" s="7" t="s">
        <v>9</v>
      </c>
      <c r="J30" s="11" t="s">
        <v>9</v>
      </c>
      <c r="K30" s="11" t="s">
        <v>9</v>
      </c>
      <c r="L30" s="7" t="s">
        <v>9</v>
      </c>
      <c r="M30" s="11" t="s">
        <v>9</v>
      </c>
      <c r="N30" s="11" t="s">
        <v>9</v>
      </c>
      <c r="O30" s="11" t="s">
        <v>9</v>
      </c>
      <c r="P30" s="7" t="s">
        <v>9</v>
      </c>
      <c r="Q30" s="8" t="s">
        <v>7</v>
      </c>
      <c r="R30" s="7" t="s">
        <v>9</v>
      </c>
      <c r="S30" s="7" t="s">
        <v>9</v>
      </c>
      <c r="T30" s="12" t="s">
        <v>9</v>
      </c>
      <c r="U30" s="7" t="s">
        <v>8</v>
      </c>
      <c r="V30" s="7" t="s">
        <v>8</v>
      </c>
    </row>
    <row r="31" spans="1:22" x14ac:dyDescent="0.25">
      <c r="A31" s="19" t="str">
        <f t="shared" si="0"/>
        <v>FALTA</v>
      </c>
      <c r="B31" s="20" t="s">
        <v>351</v>
      </c>
      <c r="C31" s="17" t="s">
        <v>4</v>
      </c>
      <c r="D31" s="18"/>
      <c r="E31" s="18" t="s">
        <v>0</v>
      </c>
      <c r="F31" s="7"/>
      <c r="G31" s="7"/>
      <c r="H31" s="7"/>
      <c r="I31" s="7" t="s">
        <v>9</v>
      </c>
      <c r="J31" s="11" t="s">
        <v>9</v>
      </c>
      <c r="K31" s="11" t="s">
        <v>9</v>
      </c>
      <c r="L31" s="7" t="s">
        <v>9</v>
      </c>
      <c r="M31" s="11" t="s">
        <v>9</v>
      </c>
      <c r="N31" s="11" t="s">
        <v>9</v>
      </c>
      <c r="O31" s="11" t="s">
        <v>9</v>
      </c>
      <c r="P31" s="7" t="s">
        <v>9</v>
      </c>
      <c r="Q31" s="8" t="s">
        <v>7</v>
      </c>
      <c r="R31" s="7" t="s">
        <v>9</v>
      </c>
      <c r="S31" s="7" t="s">
        <v>9</v>
      </c>
      <c r="T31" s="12" t="s">
        <v>9</v>
      </c>
      <c r="U31" s="7" t="s">
        <v>8</v>
      </c>
      <c r="V31" s="7" t="s">
        <v>8</v>
      </c>
    </row>
    <row r="32" spans="1:22" x14ac:dyDescent="0.25">
      <c r="A32" s="19" t="str">
        <f t="shared" si="0"/>
        <v>COMPLETO</v>
      </c>
      <c r="B32" s="20" t="s">
        <v>353</v>
      </c>
      <c r="C32" s="17" t="s">
        <v>1302</v>
      </c>
      <c r="D32" s="18" t="s">
        <v>1301</v>
      </c>
      <c r="E32" s="18" t="s">
        <v>0</v>
      </c>
      <c r="F32" s="7"/>
      <c r="G32" s="7"/>
      <c r="H32" s="7"/>
      <c r="I32" s="7" t="s">
        <v>9</v>
      </c>
      <c r="J32" s="11" t="s">
        <v>9</v>
      </c>
      <c r="K32" s="11" t="s">
        <v>9</v>
      </c>
      <c r="L32" s="7" t="s">
        <v>9</v>
      </c>
      <c r="M32" s="11" t="s">
        <v>9</v>
      </c>
      <c r="N32" s="11" t="s">
        <v>9</v>
      </c>
      <c r="O32" s="11" t="s">
        <v>9</v>
      </c>
      <c r="P32" s="7" t="s">
        <v>9</v>
      </c>
      <c r="Q32" s="8" t="s">
        <v>7</v>
      </c>
      <c r="R32" s="7" t="s">
        <v>9</v>
      </c>
      <c r="S32" s="7" t="s">
        <v>9</v>
      </c>
      <c r="T32" s="12" t="s">
        <v>9</v>
      </c>
      <c r="U32" s="7" t="s">
        <v>53</v>
      </c>
      <c r="V32" s="7" t="s">
        <v>53</v>
      </c>
    </row>
    <row r="33" spans="1:22" x14ac:dyDescent="0.25">
      <c r="A33" s="19" t="str">
        <f t="shared" si="0"/>
        <v>FALTA</v>
      </c>
      <c r="B33" s="20" t="s">
        <v>354</v>
      </c>
      <c r="C33" s="17" t="s">
        <v>4</v>
      </c>
      <c r="D33" s="18"/>
      <c r="E33" s="18" t="s">
        <v>0</v>
      </c>
      <c r="F33" s="7"/>
      <c r="G33" s="7"/>
      <c r="H33" s="7"/>
      <c r="I33" s="7" t="s">
        <v>9</v>
      </c>
      <c r="J33" s="11" t="s">
        <v>9</v>
      </c>
      <c r="K33" s="11" t="s">
        <v>9</v>
      </c>
      <c r="L33" s="7" t="s">
        <v>9</v>
      </c>
      <c r="M33" s="11" t="s">
        <v>9</v>
      </c>
      <c r="N33" s="11" t="s">
        <v>9</v>
      </c>
      <c r="O33" s="11" t="s">
        <v>9</v>
      </c>
      <c r="P33" s="7" t="s">
        <v>9</v>
      </c>
      <c r="Q33" s="8" t="s">
        <v>7</v>
      </c>
      <c r="R33" s="7" t="s">
        <v>9</v>
      </c>
      <c r="S33" s="7" t="s">
        <v>9</v>
      </c>
      <c r="T33" s="12" t="s">
        <v>9</v>
      </c>
      <c r="U33" s="7" t="s">
        <v>8</v>
      </c>
      <c r="V33" s="7" t="s">
        <v>8</v>
      </c>
    </row>
    <row r="34" spans="1:22" x14ac:dyDescent="0.25">
      <c r="A34" s="19" t="str">
        <f t="shared" si="0"/>
        <v>FALTA</v>
      </c>
      <c r="B34" s="20" t="s">
        <v>356</v>
      </c>
      <c r="C34" s="17" t="s">
        <v>4</v>
      </c>
      <c r="D34" s="18"/>
      <c r="E34" s="18" t="s">
        <v>0</v>
      </c>
      <c r="F34" s="7"/>
      <c r="G34" s="7"/>
      <c r="H34" s="7"/>
      <c r="I34" s="7" t="s">
        <v>9</v>
      </c>
      <c r="J34" s="11" t="s">
        <v>9</v>
      </c>
      <c r="K34" s="11" t="s">
        <v>9</v>
      </c>
      <c r="L34" s="7" t="s">
        <v>9</v>
      </c>
      <c r="M34" s="11" t="s">
        <v>9</v>
      </c>
      <c r="N34" s="11" t="s">
        <v>9</v>
      </c>
      <c r="O34" s="11" t="s">
        <v>9</v>
      </c>
      <c r="P34" s="7" t="s">
        <v>9</v>
      </c>
      <c r="Q34" s="8" t="s">
        <v>7</v>
      </c>
      <c r="R34" s="7" t="s">
        <v>9</v>
      </c>
      <c r="S34" s="7" t="s">
        <v>9</v>
      </c>
      <c r="T34" s="12" t="s">
        <v>9</v>
      </c>
      <c r="U34" s="7" t="s">
        <v>8</v>
      </c>
      <c r="V34" s="7" t="s">
        <v>8</v>
      </c>
    </row>
    <row r="35" spans="1:22" x14ac:dyDescent="0.25">
      <c r="A35" s="19" t="str">
        <f t="shared" si="0"/>
        <v>FALTA</v>
      </c>
      <c r="B35" s="20" t="s">
        <v>358</v>
      </c>
      <c r="C35" s="17" t="s">
        <v>4</v>
      </c>
      <c r="D35" s="18"/>
      <c r="E35" s="18" t="s">
        <v>0</v>
      </c>
      <c r="F35" s="7"/>
      <c r="G35" s="7"/>
      <c r="H35" s="7"/>
      <c r="I35" s="7" t="s">
        <v>9</v>
      </c>
      <c r="J35" s="11" t="s">
        <v>9</v>
      </c>
      <c r="K35" s="11" t="s">
        <v>9</v>
      </c>
      <c r="L35" s="7" t="s">
        <v>9</v>
      </c>
      <c r="M35" s="11" t="s">
        <v>9</v>
      </c>
      <c r="N35" s="11" t="s">
        <v>9</v>
      </c>
      <c r="O35" s="11" t="s">
        <v>9</v>
      </c>
      <c r="P35" s="7" t="s">
        <v>9</v>
      </c>
      <c r="Q35" s="8" t="s">
        <v>7</v>
      </c>
      <c r="R35" s="7" t="s">
        <v>9</v>
      </c>
      <c r="S35" s="7" t="s">
        <v>9</v>
      </c>
      <c r="T35" s="12" t="s">
        <v>9</v>
      </c>
      <c r="U35" s="7" t="s">
        <v>8</v>
      </c>
      <c r="V35" s="7" t="s">
        <v>8</v>
      </c>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 ref="R1:R2"/>
    <mergeCell ref="S1:S2"/>
    <mergeCell ref="T1:T2"/>
    <mergeCell ref="U1:U2"/>
    <mergeCell ref="V1:V2"/>
  </mergeCells>
  <conditionalFormatting sqref="F5:V44 G3:T4">
    <cfRule type="cellIs" dxfId="902" priority="46" operator="equal">
      <formula>"F"</formula>
    </cfRule>
    <cfRule type="cellIs" dxfId="901" priority="47" operator="equal">
      <formula>"OK"</formula>
    </cfRule>
    <cfRule type="cellIs" dxfId="900" priority="48" operator="between">
      <formula>6</formula>
      <formula>18</formula>
    </cfRule>
  </conditionalFormatting>
  <conditionalFormatting sqref="C1:E1 A2:E2 C3:C4 E3:E4 A5:E1048576">
    <cfRule type="expression" dxfId="899" priority="44">
      <formula>$A1="FALTA"</formula>
    </cfRule>
    <cfRule type="expression" dxfId="898" priority="45">
      <formula>$A1="COMPLETO"</formula>
    </cfRule>
  </conditionalFormatting>
  <conditionalFormatting sqref="B3">
    <cfRule type="expression" dxfId="897" priority="30">
      <formula>$A3="FALTA"</formula>
    </cfRule>
    <cfRule type="expression" dxfId="896" priority="31">
      <formula>$A3="COMPLETO"</formula>
    </cfRule>
  </conditionalFormatting>
  <conditionalFormatting sqref="D3:D4">
    <cfRule type="expression" dxfId="895" priority="26">
      <formula>$A3="FALTA"</formula>
    </cfRule>
    <cfRule type="expression" dxfId="894" priority="27">
      <formula>$A3="COMPLETO"</formula>
    </cfRule>
  </conditionalFormatting>
  <conditionalFormatting sqref="F4">
    <cfRule type="cellIs" dxfId="893" priority="23" operator="equal">
      <formula>"F"</formula>
    </cfRule>
    <cfRule type="cellIs" dxfId="892" priority="24" operator="equal">
      <formula>"OK"</formula>
    </cfRule>
    <cfRule type="cellIs" dxfId="891" priority="25" operator="between">
      <formula>6</formula>
      <formula>18</formula>
    </cfRule>
  </conditionalFormatting>
  <conditionalFormatting sqref="A1:B1">
    <cfRule type="expression" dxfId="890" priority="21">
      <formula>$A1="FALTA"</formula>
    </cfRule>
    <cfRule type="expression" dxfId="889" priority="22">
      <formula>$A1="COMPLETO"</formula>
    </cfRule>
  </conditionalFormatting>
  <conditionalFormatting sqref="U3:V3">
    <cfRule type="cellIs" dxfId="888" priority="6" operator="equal">
      <formula>"F"</formula>
    </cfRule>
    <cfRule type="cellIs" dxfId="887" priority="7" operator="equal">
      <formula>"OK"</formula>
    </cfRule>
    <cfRule type="cellIs" dxfId="886" priority="8" operator="between">
      <formula>6</formula>
      <formula>18</formula>
    </cfRule>
  </conditionalFormatting>
  <conditionalFormatting sqref="F3">
    <cfRule type="cellIs" dxfId="885" priority="3" operator="equal">
      <formula>"F"</formula>
    </cfRule>
    <cfRule type="cellIs" dxfId="884" priority="4" operator="equal">
      <formula>"OK"</formula>
    </cfRule>
    <cfRule type="cellIs" dxfId="883" priority="5" operator="between">
      <formula>6</formula>
      <formula>18</formula>
    </cfRule>
  </conditionalFormatting>
  <conditionalFormatting sqref="A3">
    <cfRule type="expression" dxfId="882" priority="1">
      <formula>$A3="FALTA"</formula>
    </cfRule>
    <cfRule type="expression" dxfId="881"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I4 M3:M4 R3:R4 P4 F5:O44 Q5:U44 T3:T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9">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ZAbogado Rafael Medina 1-06</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FALTA</v>
      </c>
      <c r="B3" s="385" t="s">
        <v>116</v>
      </c>
      <c r="C3" s="23" t="s">
        <v>1357</v>
      </c>
      <c r="D3" s="29" t="s">
        <v>5</v>
      </c>
      <c r="E3" s="10" t="s">
        <v>768</v>
      </c>
      <c r="F3" s="30">
        <f>IF(AND(ISBLANK(U3),ISBLANK(V3)),1-(COUNTIF(G3:V4,"F")/7),1-(COUNTIF(U3:V3,"F")/2))</f>
        <v>0</v>
      </c>
      <c r="G3" s="24"/>
      <c r="H3" s="24"/>
      <c r="I3" s="24"/>
      <c r="J3" s="24"/>
      <c r="K3" s="24"/>
      <c r="L3" s="24" t="s">
        <v>28</v>
      </c>
      <c r="M3" s="11" t="s">
        <v>7</v>
      </c>
      <c r="N3" s="24"/>
      <c r="O3" s="24"/>
      <c r="P3" s="25"/>
      <c r="Q3" s="24" t="s">
        <v>24</v>
      </c>
      <c r="R3" s="11" t="s">
        <v>7</v>
      </c>
      <c r="S3" s="24" t="s">
        <v>12</v>
      </c>
      <c r="T3" s="11" t="s">
        <v>7</v>
      </c>
      <c r="U3" s="381" t="s">
        <v>8</v>
      </c>
      <c r="V3" s="381" t="s">
        <v>8</v>
      </c>
    </row>
    <row r="4" spans="1:22" x14ac:dyDescent="0.25">
      <c r="A4" s="384"/>
      <c r="B4" s="386"/>
      <c r="C4" s="23"/>
      <c r="D4" s="29" t="s">
        <v>6</v>
      </c>
      <c r="E4" s="10" t="s">
        <v>1356</v>
      </c>
      <c r="F4" s="30">
        <f>COUNTIF(A5:A44,"*COMPLETO*")/COUNTA(A5:A44)</f>
        <v>0.45161290322580644</v>
      </c>
      <c r="G4" s="24"/>
      <c r="H4" s="24" t="s">
        <v>18</v>
      </c>
      <c r="I4" s="11" t="s">
        <v>7</v>
      </c>
      <c r="J4" s="24"/>
      <c r="K4" s="24"/>
      <c r="L4" s="24" t="s">
        <v>23</v>
      </c>
      <c r="M4" s="11" t="s">
        <v>7</v>
      </c>
      <c r="N4" s="24"/>
      <c r="O4" s="24"/>
      <c r="P4" s="11"/>
      <c r="Q4" s="24" t="s">
        <v>26</v>
      </c>
      <c r="R4" s="11" t="s">
        <v>7</v>
      </c>
      <c r="S4" s="24" t="s">
        <v>19</v>
      </c>
      <c r="T4" s="11" t="s">
        <v>7</v>
      </c>
      <c r="U4" s="382"/>
      <c r="V4" s="382"/>
    </row>
    <row r="5" spans="1:22" ht="15" customHeight="1" x14ac:dyDescent="0.25">
      <c r="A5" s="19" t="str">
        <f>IF(COUNTIF(F5:V5,"F")&gt;0,"FALTA","COMPLETO")</f>
        <v>FALTA</v>
      </c>
      <c r="B5" s="20" t="s">
        <v>151</v>
      </c>
      <c r="C5" s="17" t="s">
        <v>4</v>
      </c>
      <c r="D5" s="18"/>
      <c r="E5" s="27" t="s">
        <v>0</v>
      </c>
      <c r="F5" s="7"/>
      <c r="G5" s="7"/>
      <c r="H5" s="7"/>
      <c r="I5" s="7" t="s">
        <v>9</v>
      </c>
      <c r="J5" s="11" t="s">
        <v>9</v>
      </c>
      <c r="K5" s="11" t="s">
        <v>9</v>
      </c>
      <c r="L5" s="7" t="s">
        <v>9</v>
      </c>
      <c r="M5" s="11" t="s">
        <v>9</v>
      </c>
      <c r="N5" s="11" t="s">
        <v>9</v>
      </c>
      <c r="O5" s="11" t="s">
        <v>9</v>
      </c>
      <c r="P5" s="7" t="s">
        <v>9</v>
      </c>
      <c r="Q5" s="8" t="s">
        <v>7</v>
      </c>
      <c r="R5" s="7" t="s">
        <v>9</v>
      </c>
      <c r="S5" s="7" t="s">
        <v>9</v>
      </c>
      <c r="T5" s="12" t="s">
        <v>9</v>
      </c>
      <c r="U5" s="7" t="s">
        <v>8</v>
      </c>
      <c r="V5" s="7" t="s">
        <v>8</v>
      </c>
    </row>
    <row r="6" spans="1:22" ht="15" customHeight="1" x14ac:dyDescent="0.25">
      <c r="A6" s="19" t="str">
        <f t="shared" ref="A6:A35" si="0">IF(COUNTIF(F6:V6,"F")&gt;0,"FALTA","COMPLETO")</f>
        <v>FALTA</v>
      </c>
      <c r="B6" s="20" t="s">
        <v>155</v>
      </c>
      <c r="C6" s="17" t="s">
        <v>2463</v>
      </c>
      <c r="D6" s="18" t="s">
        <v>2462</v>
      </c>
      <c r="E6" s="18" t="s">
        <v>0</v>
      </c>
      <c r="F6" s="7"/>
      <c r="G6" s="7"/>
      <c r="H6" s="7"/>
      <c r="I6" s="7" t="s">
        <v>9</v>
      </c>
      <c r="J6" s="11" t="s">
        <v>9</v>
      </c>
      <c r="K6" s="11" t="s">
        <v>9</v>
      </c>
      <c r="L6" s="7" t="s">
        <v>9</v>
      </c>
      <c r="M6" s="11" t="s">
        <v>9</v>
      </c>
      <c r="N6" s="11" t="s">
        <v>9</v>
      </c>
      <c r="O6" s="11" t="s">
        <v>9</v>
      </c>
      <c r="P6" s="7" t="s">
        <v>9</v>
      </c>
      <c r="Q6" s="8" t="s">
        <v>7</v>
      </c>
      <c r="R6" s="7" t="s">
        <v>9</v>
      </c>
      <c r="S6" s="7" t="s">
        <v>9</v>
      </c>
      <c r="T6" s="12" t="s">
        <v>9</v>
      </c>
      <c r="U6" s="7" t="s">
        <v>53</v>
      </c>
      <c r="V6" s="7" t="s">
        <v>8</v>
      </c>
    </row>
    <row r="7" spans="1:22" ht="15" customHeight="1" x14ac:dyDescent="0.25">
      <c r="A7" s="19" t="str">
        <f t="shared" si="0"/>
        <v>COMPLETO</v>
      </c>
      <c r="B7" s="20" t="s">
        <v>156</v>
      </c>
      <c r="C7" s="17" t="s">
        <v>1395</v>
      </c>
      <c r="D7" s="18" t="s">
        <v>1394</v>
      </c>
      <c r="E7" s="18" t="s">
        <v>0</v>
      </c>
      <c r="F7" s="7"/>
      <c r="G7" s="7"/>
      <c r="H7" s="7"/>
      <c r="I7" s="7" t="s">
        <v>7</v>
      </c>
      <c r="J7" s="11" t="s">
        <v>9</v>
      </c>
      <c r="K7" s="11" t="s">
        <v>9</v>
      </c>
      <c r="L7" s="7" t="s">
        <v>9</v>
      </c>
      <c r="M7" s="11" t="s">
        <v>9</v>
      </c>
      <c r="N7" s="11" t="s">
        <v>9</v>
      </c>
      <c r="O7" s="11" t="s">
        <v>9</v>
      </c>
      <c r="P7" s="7" t="s">
        <v>9</v>
      </c>
      <c r="Q7" s="8" t="s">
        <v>7</v>
      </c>
      <c r="R7" s="7" t="s">
        <v>9</v>
      </c>
      <c r="S7" s="7" t="s">
        <v>9</v>
      </c>
      <c r="T7" s="12" t="s">
        <v>9</v>
      </c>
      <c r="U7" s="7" t="s">
        <v>53</v>
      </c>
      <c r="V7" s="7">
        <v>18</v>
      </c>
    </row>
    <row r="8" spans="1:22" x14ac:dyDescent="0.25">
      <c r="A8" s="19" t="str">
        <f t="shared" si="0"/>
        <v>FALTA</v>
      </c>
      <c r="B8" s="20" t="s">
        <v>158</v>
      </c>
      <c r="C8" s="17" t="s">
        <v>4</v>
      </c>
      <c r="D8" s="18"/>
      <c r="E8" s="18" t="s">
        <v>0</v>
      </c>
      <c r="F8" s="7"/>
      <c r="G8" s="7"/>
      <c r="H8" s="7"/>
      <c r="I8" s="7" t="s">
        <v>9</v>
      </c>
      <c r="J8" s="11" t="s">
        <v>9</v>
      </c>
      <c r="K8" s="11" t="s">
        <v>9</v>
      </c>
      <c r="L8" s="7" t="s">
        <v>9</v>
      </c>
      <c r="M8" s="11" t="s">
        <v>9</v>
      </c>
      <c r="N8" s="11" t="s">
        <v>9</v>
      </c>
      <c r="O8" s="11" t="s">
        <v>9</v>
      </c>
      <c r="P8" s="7" t="s">
        <v>9</v>
      </c>
      <c r="Q8" s="8" t="s">
        <v>7</v>
      </c>
      <c r="R8" s="7" t="s">
        <v>9</v>
      </c>
      <c r="S8" s="7" t="s">
        <v>9</v>
      </c>
      <c r="T8" s="12" t="s">
        <v>9</v>
      </c>
      <c r="U8" s="7" t="s">
        <v>8</v>
      </c>
      <c r="V8" s="7" t="s">
        <v>8</v>
      </c>
    </row>
    <row r="9" spans="1:22" x14ac:dyDescent="0.25">
      <c r="A9" s="19" t="str">
        <f t="shared" si="0"/>
        <v>COMPLETO</v>
      </c>
      <c r="B9" s="20" t="s">
        <v>160</v>
      </c>
      <c r="C9" s="17" t="s">
        <v>1306</v>
      </c>
      <c r="D9" s="18" t="s">
        <v>1305</v>
      </c>
      <c r="E9" s="18" t="s">
        <v>0</v>
      </c>
      <c r="F9" s="7"/>
      <c r="G9" s="7"/>
      <c r="H9" s="7"/>
      <c r="I9" s="7" t="s">
        <v>9</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162</v>
      </c>
      <c r="C10" s="17" t="s">
        <v>1321</v>
      </c>
      <c r="D10" s="18" t="s">
        <v>1320</v>
      </c>
      <c r="E10" s="18" t="s">
        <v>0</v>
      </c>
      <c r="F10" s="7"/>
      <c r="G10" s="7"/>
      <c r="H10" s="7"/>
      <c r="I10" s="7" t="s">
        <v>9</v>
      </c>
      <c r="J10" s="11" t="s">
        <v>9</v>
      </c>
      <c r="K10" s="11" t="s">
        <v>9</v>
      </c>
      <c r="L10" s="7" t="s">
        <v>9</v>
      </c>
      <c r="M10" s="11" t="s">
        <v>9</v>
      </c>
      <c r="N10" s="11" t="s">
        <v>9</v>
      </c>
      <c r="O10" s="11" t="s">
        <v>9</v>
      </c>
      <c r="P10" s="7" t="s">
        <v>9</v>
      </c>
      <c r="Q10" s="8" t="s">
        <v>7</v>
      </c>
      <c r="R10" s="7" t="s">
        <v>9</v>
      </c>
      <c r="S10" s="7" t="s">
        <v>9</v>
      </c>
      <c r="T10" s="12" t="s">
        <v>9</v>
      </c>
      <c r="U10" s="7" t="s">
        <v>53</v>
      </c>
      <c r="V10" s="7" t="s">
        <v>53</v>
      </c>
    </row>
    <row r="11" spans="1:22" x14ac:dyDescent="0.25">
      <c r="A11" s="19" t="str">
        <f t="shared" si="0"/>
        <v>COMPLETO</v>
      </c>
      <c r="B11" s="20" t="s">
        <v>164</v>
      </c>
      <c r="C11" s="17" t="s">
        <v>1343</v>
      </c>
      <c r="D11" s="18" t="s">
        <v>1342</v>
      </c>
      <c r="E11" s="18" t="s">
        <v>0</v>
      </c>
      <c r="F11" s="7"/>
      <c r="G11" s="7"/>
      <c r="H11" s="7"/>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FALTA</v>
      </c>
      <c r="B12" s="20" t="s">
        <v>166</v>
      </c>
      <c r="C12" s="17" t="s">
        <v>4</v>
      </c>
      <c r="D12" s="18"/>
      <c r="E12" s="18" t="s">
        <v>0</v>
      </c>
      <c r="F12" s="7"/>
      <c r="G12" s="7"/>
      <c r="H12" s="7"/>
      <c r="I12" s="7" t="s">
        <v>9</v>
      </c>
      <c r="J12" s="11" t="s">
        <v>9</v>
      </c>
      <c r="K12" s="11" t="s">
        <v>9</v>
      </c>
      <c r="L12" s="7" t="s">
        <v>9</v>
      </c>
      <c r="M12" s="11" t="s">
        <v>9</v>
      </c>
      <c r="N12" s="11" t="s">
        <v>9</v>
      </c>
      <c r="O12" s="11" t="s">
        <v>9</v>
      </c>
      <c r="P12" s="7" t="s">
        <v>9</v>
      </c>
      <c r="Q12" s="8" t="s">
        <v>7</v>
      </c>
      <c r="R12" s="7" t="s">
        <v>9</v>
      </c>
      <c r="S12" s="7" t="s">
        <v>9</v>
      </c>
      <c r="T12" s="12" t="s">
        <v>9</v>
      </c>
      <c r="U12" s="7" t="s">
        <v>8</v>
      </c>
      <c r="V12" s="7" t="s">
        <v>8</v>
      </c>
    </row>
    <row r="13" spans="1:22" x14ac:dyDescent="0.25">
      <c r="A13" s="19" t="str">
        <f t="shared" si="0"/>
        <v>FALTA</v>
      </c>
      <c r="B13" s="20" t="s">
        <v>168</v>
      </c>
      <c r="C13" s="17" t="s">
        <v>4</v>
      </c>
      <c r="D13" s="18"/>
      <c r="E13" s="18" t="s">
        <v>0</v>
      </c>
      <c r="F13" s="7"/>
      <c r="G13" s="7"/>
      <c r="H13" s="7"/>
      <c r="I13" s="7" t="s">
        <v>9</v>
      </c>
      <c r="J13" s="11" t="s">
        <v>9</v>
      </c>
      <c r="K13" s="11" t="s">
        <v>9</v>
      </c>
      <c r="L13" s="7" t="s">
        <v>9</v>
      </c>
      <c r="M13" s="11" t="s">
        <v>9</v>
      </c>
      <c r="N13" s="11" t="s">
        <v>9</v>
      </c>
      <c r="O13" s="11" t="s">
        <v>9</v>
      </c>
      <c r="P13" s="7" t="s">
        <v>9</v>
      </c>
      <c r="Q13" s="8" t="s">
        <v>7</v>
      </c>
      <c r="R13" s="7" t="s">
        <v>9</v>
      </c>
      <c r="S13" s="7" t="s">
        <v>9</v>
      </c>
      <c r="T13" s="12" t="s">
        <v>9</v>
      </c>
      <c r="U13" s="7" t="s">
        <v>8</v>
      </c>
      <c r="V13" s="7" t="s">
        <v>8</v>
      </c>
    </row>
    <row r="14" spans="1:22" x14ac:dyDescent="0.25">
      <c r="A14" s="19" t="str">
        <f t="shared" si="0"/>
        <v>FALTA</v>
      </c>
      <c r="B14" s="20" t="s">
        <v>170</v>
      </c>
      <c r="C14" s="17" t="s">
        <v>2612</v>
      </c>
      <c r="D14" s="18" t="s">
        <v>2611</v>
      </c>
      <c r="E14" s="18" t="s">
        <v>0</v>
      </c>
      <c r="F14" s="7"/>
      <c r="G14" s="7"/>
      <c r="H14" s="7"/>
      <c r="I14" s="7" t="s">
        <v>9</v>
      </c>
      <c r="J14" s="11" t="s">
        <v>9</v>
      </c>
      <c r="K14" s="11" t="s">
        <v>9</v>
      </c>
      <c r="L14" s="7" t="s">
        <v>9</v>
      </c>
      <c r="M14" s="11" t="s">
        <v>9</v>
      </c>
      <c r="N14" s="11" t="s">
        <v>9</v>
      </c>
      <c r="O14" s="11" t="s">
        <v>9</v>
      </c>
      <c r="P14" s="7" t="s">
        <v>9</v>
      </c>
      <c r="Q14" s="8" t="s">
        <v>7</v>
      </c>
      <c r="R14" s="7" t="s">
        <v>9</v>
      </c>
      <c r="S14" s="7" t="s">
        <v>9</v>
      </c>
      <c r="T14" s="12" t="s">
        <v>9</v>
      </c>
      <c r="U14" s="7" t="s">
        <v>53</v>
      </c>
      <c r="V14" s="7" t="s">
        <v>8</v>
      </c>
    </row>
    <row r="15" spans="1:22" x14ac:dyDescent="0.25">
      <c r="A15" s="19" t="str">
        <f t="shared" si="0"/>
        <v>FALTA</v>
      </c>
      <c r="B15" s="20" t="s">
        <v>172</v>
      </c>
      <c r="C15" s="17" t="s">
        <v>4</v>
      </c>
      <c r="D15" s="18"/>
      <c r="E15" s="18" t="s">
        <v>0</v>
      </c>
      <c r="F15" s="7"/>
      <c r="G15" s="7"/>
      <c r="H15" s="7"/>
      <c r="I15" s="7" t="s">
        <v>9</v>
      </c>
      <c r="J15" s="11" t="s">
        <v>9</v>
      </c>
      <c r="K15" s="11" t="s">
        <v>9</v>
      </c>
      <c r="L15" s="7" t="s">
        <v>9</v>
      </c>
      <c r="M15" s="11" t="s">
        <v>9</v>
      </c>
      <c r="N15" s="11" t="s">
        <v>9</v>
      </c>
      <c r="O15" s="11" t="s">
        <v>9</v>
      </c>
      <c r="P15" s="7" t="s">
        <v>9</v>
      </c>
      <c r="Q15" s="8" t="s">
        <v>7</v>
      </c>
      <c r="R15" s="7" t="s">
        <v>9</v>
      </c>
      <c r="S15" s="7" t="s">
        <v>9</v>
      </c>
      <c r="T15" s="12" t="s">
        <v>9</v>
      </c>
      <c r="U15" s="7" t="s">
        <v>8</v>
      </c>
      <c r="V15" s="7" t="s">
        <v>8</v>
      </c>
    </row>
    <row r="16" spans="1:22" x14ac:dyDescent="0.25">
      <c r="A16" s="19" t="str">
        <f t="shared" si="0"/>
        <v>COMPLETO</v>
      </c>
      <c r="B16" s="20" t="s">
        <v>174</v>
      </c>
      <c r="C16" s="17" t="s">
        <v>1296</v>
      </c>
      <c r="D16" s="18" t="s">
        <v>1295</v>
      </c>
      <c r="E16" s="18" t="s">
        <v>0</v>
      </c>
      <c r="F16" s="7"/>
      <c r="G16" s="7"/>
      <c r="H16" s="7"/>
      <c r="I16" s="7" t="s">
        <v>9</v>
      </c>
      <c r="J16" s="11" t="s">
        <v>9</v>
      </c>
      <c r="K16" s="11" t="s">
        <v>9</v>
      </c>
      <c r="L16" s="7" t="s">
        <v>9</v>
      </c>
      <c r="M16" s="11" t="s">
        <v>9</v>
      </c>
      <c r="N16" s="11" t="s">
        <v>9</v>
      </c>
      <c r="O16" s="11" t="s">
        <v>9</v>
      </c>
      <c r="P16" s="7" t="s">
        <v>9</v>
      </c>
      <c r="Q16" s="8" t="s">
        <v>7</v>
      </c>
      <c r="R16" s="7" t="s">
        <v>9</v>
      </c>
      <c r="S16" s="7" t="s">
        <v>9</v>
      </c>
      <c r="T16" s="12" t="s">
        <v>9</v>
      </c>
      <c r="U16" s="7" t="s">
        <v>53</v>
      </c>
      <c r="V16" s="7" t="s">
        <v>53</v>
      </c>
    </row>
    <row r="17" spans="1:22" x14ac:dyDescent="0.25">
      <c r="A17" s="19" t="str">
        <f t="shared" si="0"/>
        <v>FALTA</v>
      </c>
      <c r="B17" s="20" t="s">
        <v>175</v>
      </c>
      <c r="C17" s="17" t="s">
        <v>4</v>
      </c>
      <c r="D17" s="18"/>
      <c r="E17" s="18" t="s">
        <v>0</v>
      </c>
      <c r="F17" s="7"/>
      <c r="G17" s="7"/>
      <c r="H17" s="7"/>
      <c r="I17" s="7" t="s">
        <v>9</v>
      </c>
      <c r="J17" s="11" t="s">
        <v>9</v>
      </c>
      <c r="K17" s="11" t="s">
        <v>9</v>
      </c>
      <c r="L17" s="7" t="s">
        <v>9</v>
      </c>
      <c r="M17" s="11" t="s">
        <v>9</v>
      </c>
      <c r="N17" s="11" t="s">
        <v>9</v>
      </c>
      <c r="O17" s="11" t="s">
        <v>9</v>
      </c>
      <c r="P17" s="7" t="s">
        <v>9</v>
      </c>
      <c r="Q17" s="8" t="s">
        <v>7</v>
      </c>
      <c r="R17" s="7" t="s">
        <v>9</v>
      </c>
      <c r="S17" s="7" t="s">
        <v>9</v>
      </c>
      <c r="T17" s="12" t="s">
        <v>9</v>
      </c>
      <c r="U17" s="7" t="s">
        <v>8</v>
      </c>
      <c r="V17" s="7" t="s">
        <v>8</v>
      </c>
    </row>
    <row r="18" spans="1:22" x14ac:dyDescent="0.25">
      <c r="A18" s="19" t="str">
        <f t="shared" si="0"/>
        <v>FALTA</v>
      </c>
      <c r="B18" s="20" t="s">
        <v>177</v>
      </c>
      <c r="C18" s="17" t="s">
        <v>4</v>
      </c>
      <c r="D18" s="18"/>
      <c r="E18" s="18" t="s">
        <v>0</v>
      </c>
      <c r="F18" s="7"/>
      <c r="G18" s="7"/>
      <c r="H18" s="7"/>
      <c r="I18" s="7" t="s">
        <v>9</v>
      </c>
      <c r="J18" s="11" t="s">
        <v>9</v>
      </c>
      <c r="K18" s="11" t="s">
        <v>9</v>
      </c>
      <c r="L18" s="7" t="s">
        <v>9</v>
      </c>
      <c r="M18" s="11" t="s">
        <v>9</v>
      </c>
      <c r="N18" s="11" t="s">
        <v>9</v>
      </c>
      <c r="O18" s="11" t="s">
        <v>9</v>
      </c>
      <c r="P18" s="7" t="s">
        <v>9</v>
      </c>
      <c r="Q18" s="8" t="s">
        <v>7</v>
      </c>
      <c r="R18" s="7" t="s">
        <v>9</v>
      </c>
      <c r="S18" s="7" t="s">
        <v>9</v>
      </c>
      <c r="T18" s="12" t="s">
        <v>9</v>
      </c>
      <c r="U18" s="7" t="s">
        <v>8</v>
      </c>
      <c r="V18" s="7" t="s">
        <v>8</v>
      </c>
    </row>
    <row r="19" spans="1:22" x14ac:dyDescent="0.25">
      <c r="A19" s="19" t="str">
        <f t="shared" si="0"/>
        <v>FALTA</v>
      </c>
      <c r="B19" s="20" t="s">
        <v>179</v>
      </c>
      <c r="C19" s="17" t="s">
        <v>4</v>
      </c>
      <c r="D19" s="18"/>
      <c r="E19" s="18" t="s">
        <v>0</v>
      </c>
      <c r="F19" s="7"/>
      <c r="G19" s="7"/>
      <c r="H19" s="7"/>
      <c r="I19" s="7" t="s">
        <v>9</v>
      </c>
      <c r="J19" s="11" t="s">
        <v>9</v>
      </c>
      <c r="K19" s="11" t="s">
        <v>9</v>
      </c>
      <c r="L19" s="7" t="s">
        <v>9</v>
      </c>
      <c r="M19" s="11" t="s">
        <v>9</v>
      </c>
      <c r="N19" s="11" t="s">
        <v>9</v>
      </c>
      <c r="O19" s="11" t="s">
        <v>9</v>
      </c>
      <c r="P19" s="7" t="s">
        <v>9</v>
      </c>
      <c r="Q19" s="8" t="s">
        <v>7</v>
      </c>
      <c r="R19" s="7" t="s">
        <v>9</v>
      </c>
      <c r="S19" s="7" t="s">
        <v>9</v>
      </c>
      <c r="T19" s="12" t="s">
        <v>9</v>
      </c>
      <c r="U19" s="7" t="s">
        <v>8</v>
      </c>
      <c r="V19" s="7" t="s">
        <v>8</v>
      </c>
    </row>
    <row r="20" spans="1:22" x14ac:dyDescent="0.25">
      <c r="A20" s="19" t="str">
        <f t="shared" si="0"/>
        <v>COMPLETO</v>
      </c>
      <c r="B20" s="20" t="s">
        <v>181</v>
      </c>
      <c r="C20" s="17" t="s">
        <v>1304</v>
      </c>
      <c r="D20" s="18" t="s">
        <v>1303</v>
      </c>
      <c r="E20" s="18" t="s">
        <v>0</v>
      </c>
      <c r="F20" s="7"/>
      <c r="G20" s="7"/>
      <c r="H20" s="7"/>
      <c r="I20" s="7" t="s">
        <v>9</v>
      </c>
      <c r="J20" s="11" t="s">
        <v>9</v>
      </c>
      <c r="K20" s="11" t="s">
        <v>9</v>
      </c>
      <c r="L20" s="7" t="s">
        <v>9</v>
      </c>
      <c r="M20" s="11" t="s">
        <v>9</v>
      </c>
      <c r="N20" s="11" t="s">
        <v>9</v>
      </c>
      <c r="O20" s="11" t="s">
        <v>9</v>
      </c>
      <c r="P20" s="7" t="s">
        <v>9</v>
      </c>
      <c r="Q20" s="8" t="s">
        <v>7</v>
      </c>
      <c r="R20" s="7" t="s">
        <v>9</v>
      </c>
      <c r="S20" s="7" t="s">
        <v>9</v>
      </c>
      <c r="T20" s="12" t="s">
        <v>9</v>
      </c>
      <c r="U20" s="7" t="s">
        <v>53</v>
      </c>
      <c r="V20" s="7" t="s">
        <v>53</v>
      </c>
    </row>
    <row r="21" spans="1:22" x14ac:dyDescent="0.25">
      <c r="A21" s="19" t="str">
        <f>IF(COUNTIF(F21:V21,"F")&gt;0,"FALTA","COMPLETO")</f>
        <v>COMPLETO</v>
      </c>
      <c r="B21" s="20" t="s">
        <v>183</v>
      </c>
      <c r="C21" s="17" t="s">
        <v>2614</v>
      </c>
      <c r="D21" s="18" t="s">
        <v>2613</v>
      </c>
      <c r="E21" s="18" t="s">
        <v>0</v>
      </c>
      <c r="F21" s="7"/>
      <c r="G21" s="7"/>
      <c r="H21" s="7"/>
      <c r="I21" s="7" t="s">
        <v>9</v>
      </c>
      <c r="J21" s="11" t="s">
        <v>9</v>
      </c>
      <c r="K21" s="11" t="s">
        <v>9</v>
      </c>
      <c r="L21" s="7" t="s">
        <v>9</v>
      </c>
      <c r="M21" s="11" t="s">
        <v>9</v>
      </c>
      <c r="N21" s="11" t="s">
        <v>9</v>
      </c>
      <c r="O21" s="11" t="s">
        <v>9</v>
      </c>
      <c r="P21" s="7" t="s">
        <v>9</v>
      </c>
      <c r="Q21" s="8" t="s">
        <v>7</v>
      </c>
      <c r="R21" s="7" t="s">
        <v>9</v>
      </c>
      <c r="S21" s="7" t="s">
        <v>9</v>
      </c>
      <c r="T21" s="12" t="s">
        <v>9</v>
      </c>
      <c r="U21" s="7" t="s">
        <v>53</v>
      </c>
      <c r="V21" s="7">
        <v>12</v>
      </c>
    </row>
    <row r="22" spans="1:22" x14ac:dyDescent="0.25">
      <c r="A22" s="19" t="str">
        <f t="shared" si="0"/>
        <v>COMPLETO</v>
      </c>
      <c r="B22" s="20" t="s">
        <v>185</v>
      </c>
      <c r="C22" s="17" t="s">
        <v>1316</v>
      </c>
      <c r="D22" s="18" t="s">
        <v>1315</v>
      </c>
      <c r="E22" s="18" t="s">
        <v>0</v>
      </c>
      <c r="F22" s="7"/>
      <c r="G22" s="7"/>
      <c r="H22" s="7"/>
      <c r="I22" s="7" t="s">
        <v>9</v>
      </c>
      <c r="J22" s="11" t="s">
        <v>9</v>
      </c>
      <c r="K22" s="11" t="s">
        <v>9</v>
      </c>
      <c r="L22" s="7" t="s">
        <v>9</v>
      </c>
      <c r="M22" s="11" t="s">
        <v>9</v>
      </c>
      <c r="N22" s="11" t="s">
        <v>9</v>
      </c>
      <c r="O22" s="11" t="s">
        <v>9</v>
      </c>
      <c r="P22" s="7" t="s">
        <v>9</v>
      </c>
      <c r="Q22" s="8" t="s">
        <v>7</v>
      </c>
      <c r="R22" s="7" t="s">
        <v>9</v>
      </c>
      <c r="S22" s="7" t="s">
        <v>9</v>
      </c>
      <c r="T22" s="12" t="s">
        <v>9</v>
      </c>
      <c r="U22" s="7" t="s">
        <v>53</v>
      </c>
      <c r="V22" s="7" t="s">
        <v>53</v>
      </c>
    </row>
    <row r="23" spans="1:22" x14ac:dyDescent="0.25">
      <c r="A23" s="19" t="str">
        <f t="shared" si="0"/>
        <v>COMPLETO</v>
      </c>
      <c r="B23" s="20" t="s">
        <v>187</v>
      </c>
      <c r="C23" s="17" t="s">
        <v>1372</v>
      </c>
      <c r="D23" s="18" t="s">
        <v>1371</v>
      </c>
      <c r="E23" s="18" t="s">
        <v>0</v>
      </c>
      <c r="F23" s="7"/>
      <c r="G23" s="7"/>
      <c r="H23" s="7"/>
      <c r="I23" s="7" t="s">
        <v>9</v>
      </c>
      <c r="J23" s="11" t="s">
        <v>9</v>
      </c>
      <c r="K23" s="11" t="s">
        <v>9</v>
      </c>
      <c r="L23" s="7" t="s">
        <v>9</v>
      </c>
      <c r="M23" s="11" t="s">
        <v>9</v>
      </c>
      <c r="N23" s="11" t="s">
        <v>9</v>
      </c>
      <c r="O23" s="11" t="s">
        <v>9</v>
      </c>
      <c r="P23" s="7" t="s">
        <v>9</v>
      </c>
      <c r="Q23" s="8" t="s">
        <v>7</v>
      </c>
      <c r="R23" s="7" t="s">
        <v>9</v>
      </c>
      <c r="S23" s="7" t="s">
        <v>9</v>
      </c>
      <c r="T23" s="12" t="s">
        <v>9</v>
      </c>
      <c r="U23" s="7" t="s">
        <v>53</v>
      </c>
      <c r="V23" s="7" t="s">
        <v>53</v>
      </c>
    </row>
    <row r="24" spans="1:22" x14ac:dyDescent="0.25">
      <c r="A24" s="19" t="str">
        <f t="shared" si="0"/>
        <v>FALTA</v>
      </c>
      <c r="B24" s="20" t="s">
        <v>337</v>
      </c>
      <c r="C24" s="17" t="s">
        <v>4</v>
      </c>
      <c r="D24" s="18"/>
      <c r="E24" s="18" t="s">
        <v>0</v>
      </c>
      <c r="F24" s="7"/>
      <c r="G24" s="7"/>
      <c r="H24" s="7"/>
      <c r="I24" s="7" t="s">
        <v>9</v>
      </c>
      <c r="J24" s="11" t="s">
        <v>9</v>
      </c>
      <c r="K24" s="11" t="s">
        <v>9</v>
      </c>
      <c r="L24" s="7" t="s">
        <v>9</v>
      </c>
      <c r="M24" s="11" t="s">
        <v>9</v>
      </c>
      <c r="N24" s="11" t="s">
        <v>9</v>
      </c>
      <c r="O24" s="11" t="s">
        <v>9</v>
      </c>
      <c r="P24" s="7" t="s">
        <v>9</v>
      </c>
      <c r="Q24" s="8" t="s">
        <v>7</v>
      </c>
      <c r="R24" s="7" t="s">
        <v>9</v>
      </c>
      <c r="S24" s="7" t="s">
        <v>9</v>
      </c>
      <c r="T24" s="12" t="s">
        <v>9</v>
      </c>
      <c r="U24" s="7" t="s">
        <v>8</v>
      </c>
      <c r="V24" s="7" t="s">
        <v>8</v>
      </c>
    </row>
    <row r="25" spans="1:22" x14ac:dyDescent="0.25">
      <c r="A25" s="19" t="str">
        <f t="shared" si="0"/>
        <v>COMPLETO</v>
      </c>
      <c r="B25" s="20" t="s">
        <v>339</v>
      </c>
      <c r="C25" s="17" t="s">
        <v>4</v>
      </c>
      <c r="D25" s="18" t="s">
        <v>1338</v>
      </c>
      <c r="E25" s="18" t="s">
        <v>0</v>
      </c>
      <c r="F25" s="7"/>
      <c r="G25" s="7"/>
      <c r="H25" s="7"/>
      <c r="I25" s="7" t="s">
        <v>9</v>
      </c>
      <c r="J25" s="11" t="s">
        <v>9</v>
      </c>
      <c r="K25" s="11" t="s">
        <v>9</v>
      </c>
      <c r="L25" s="7" t="s">
        <v>9</v>
      </c>
      <c r="M25" s="11" t="s">
        <v>9</v>
      </c>
      <c r="N25" s="11" t="s">
        <v>9</v>
      </c>
      <c r="O25" s="11" t="s">
        <v>9</v>
      </c>
      <c r="P25" s="7" t="s">
        <v>9</v>
      </c>
      <c r="Q25" s="8" t="s">
        <v>7</v>
      </c>
      <c r="R25" s="7" t="s">
        <v>9</v>
      </c>
      <c r="S25" s="7" t="s">
        <v>9</v>
      </c>
      <c r="T25" s="12" t="s">
        <v>9</v>
      </c>
      <c r="U25" s="7" t="s">
        <v>53</v>
      </c>
      <c r="V25" s="7" t="s">
        <v>53</v>
      </c>
    </row>
    <row r="26" spans="1:22" x14ac:dyDescent="0.25">
      <c r="A26" s="19" t="str">
        <f t="shared" si="0"/>
        <v>COMPLETO</v>
      </c>
      <c r="B26" s="20" t="s">
        <v>341</v>
      </c>
      <c r="C26" s="17" t="s">
        <v>1314</v>
      </c>
      <c r="D26" s="18" t="s">
        <v>1313</v>
      </c>
      <c r="E26" s="18" t="s">
        <v>0</v>
      </c>
      <c r="F26" s="7"/>
      <c r="G26" s="7"/>
      <c r="H26" s="7"/>
      <c r="I26" s="7" t="s">
        <v>9</v>
      </c>
      <c r="J26" s="11" t="s">
        <v>9</v>
      </c>
      <c r="K26" s="11" t="s">
        <v>9</v>
      </c>
      <c r="L26" s="7" t="s">
        <v>9</v>
      </c>
      <c r="M26" s="11" t="s">
        <v>9</v>
      </c>
      <c r="N26" s="11" t="s">
        <v>9</v>
      </c>
      <c r="O26" s="11" t="s">
        <v>9</v>
      </c>
      <c r="P26" s="7" t="s">
        <v>9</v>
      </c>
      <c r="Q26" s="8" t="s">
        <v>7</v>
      </c>
      <c r="R26" s="7" t="s">
        <v>9</v>
      </c>
      <c r="S26" s="7" t="s">
        <v>9</v>
      </c>
      <c r="T26" s="12" t="s">
        <v>9</v>
      </c>
      <c r="U26" s="7" t="s">
        <v>53</v>
      </c>
      <c r="V26" s="7" t="s">
        <v>53</v>
      </c>
    </row>
    <row r="27" spans="1:22" x14ac:dyDescent="0.25">
      <c r="A27" s="19" t="str">
        <f t="shared" si="0"/>
        <v>COMPLETO</v>
      </c>
      <c r="B27" s="20" t="s">
        <v>343</v>
      </c>
      <c r="C27" s="17" t="s">
        <v>1298</v>
      </c>
      <c r="D27" s="18" t="s">
        <v>1297</v>
      </c>
      <c r="E27" s="18" t="s">
        <v>0</v>
      </c>
      <c r="F27" s="7"/>
      <c r="G27" s="7"/>
      <c r="H27" s="7"/>
      <c r="I27" s="7" t="s">
        <v>9</v>
      </c>
      <c r="J27" s="11" t="s">
        <v>9</v>
      </c>
      <c r="K27" s="11" t="s">
        <v>9</v>
      </c>
      <c r="L27" s="7" t="s">
        <v>9</v>
      </c>
      <c r="M27" s="11" t="s">
        <v>9</v>
      </c>
      <c r="N27" s="11" t="s">
        <v>9</v>
      </c>
      <c r="O27" s="11" t="s">
        <v>9</v>
      </c>
      <c r="P27" s="7" t="s">
        <v>9</v>
      </c>
      <c r="Q27" s="8" t="s">
        <v>7</v>
      </c>
      <c r="R27" s="7" t="s">
        <v>9</v>
      </c>
      <c r="S27" s="7" t="s">
        <v>9</v>
      </c>
      <c r="T27" s="12" t="s">
        <v>9</v>
      </c>
      <c r="U27" s="7" t="s">
        <v>53</v>
      </c>
      <c r="V27" s="7" t="s">
        <v>53</v>
      </c>
    </row>
    <row r="28" spans="1:22" x14ac:dyDescent="0.25">
      <c r="A28" s="19" t="str">
        <f t="shared" si="0"/>
        <v>FALTA</v>
      </c>
      <c r="B28" s="20" t="s">
        <v>345</v>
      </c>
      <c r="C28" s="17" t="s">
        <v>4</v>
      </c>
      <c r="D28" s="18"/>
      <c r="E28" s="18" t="s">
        <v>0</v>
      </c>
      <c r="F28" s="7"/>
      <c r="G28" s="7"/>
      <c r="H28" s="7"/>
      <c r="I28" s="7" t="s">
        <v>9</v>
      </c>
      <c r="J28" s="11" t="s">
        <v>9</v>
      </c>
      <c r="K28" s="11" t="s">
        <v>9</v>
      </c>
      <c r="L28" s="7" t="s">
        <v>9</v>
      </c>
      <c r="M28" s="11" t="s">
        <v>9</v>
      </c>
      <c r="N28" s="11" t="s">
        <v>9</v>
      </c>
      <c r="O28" s="11" t="s">
        <v>9</v>
      </c>
      <c r="P28" s="7" t="s">
        <v>9</v>
      </c>
      <c r="Q28" s="8" t="s">
        <v>7</v>
      </c>
      <c r="R28" s="7" t="s">
        <v>9</v>
      </c>
      <c r="S28" s="7" t="s">
        <v>9</v>
      </c>
      <c r="T28" s="12" t="s">
        <v>9</v>
      </c>
      <c r="U28" s="7" t="s">
        <v>8</v>
      </c>
      <c r="V28" s="7" t="s">
        <v>8</v>
      </c>
    </row>
    <row r="29" spans="1:22" x14ac:dyDescent="0.25">
      <c r="A29" s="19" t="str">
        <f t="shared" si="0"/>
        <v>FALTA</v>
      </c>
      <c r="B29" s="20" t="s">
        <v>347</v>
      </c>
      <c r="C29" s="17" t="s">
        <v>4</v>
      </c>
      <c r="D29" s="18"/>
      <c r="E29" s="18" t="s">
        <v>0</v>
      </c>
      <c r="F29" s="7"/>
      <c r="G29" s="7"/>
      <c r="H29" s="7"/>
      <c r="I29" s="7" t="s">
        <v>9</v>
      </c>
      <c r="J29" s="11" t="s">
        <v>9</v>
      </c>
      <c r="K29" s="11" t="s">
        <v>9</v>
      </c>
      <c r="L29" s="7" t="s">
        <v>9</v>
      </c>
      <c r="M29" s="11" t="s">
        <v>9</v>
      </c>
      <c r="N29" s="11" t="s">
        <v>9</v>
      </c>
      <c r="O29" s="11" t="s">
        <v>9</v>
      </c>
      <c r="P29" s="7" t="s">
        <v>9</v>
      </c>
      <c r="Q29" s="8" t="s">
        <v>7</v>
      </c>
      <c r="R29" s="7" t="s">
        <v>9</v>
      </c>
      <c r="S29" s="7" t="s">
        <v>9</v>
      </c>
      <c r="T29" s="12" t="s">
        <v>9</v>
      </c>
      <c r="U29" s="7" t="s">
        <v>8</v>
      </c>
      <c r="V29" s="7" t="s">
        <v>8</v>
      </c>
    </row>
    <row r="30" spans="1:22" x14ac:dyDescent="0.25">
      <c r="A30" s="19" t="str">
        <f t="shared" si="0"/>
        <v>FALTA</v>
      </c>
      <c r="B30" s="20" t="s">
        <v>349</v>
      </c>
      <c r="C30" s="17" t="s">
        <v>4</v>
      </c>
      <c r="D30" s="18"/>
      <c r="E30" s="18" t="s">
        <v>0</v>
      </c>
      <c r="F30" s="7"/>
      <c r="G30" s="7"/>
      <c r="H30" s="7"/>
      <c r="I30" s="7" t="s">
        <v>9</v>
      </c>
      <c r="J30" s="11" t="s">
        <v>9</v>
      </c>
      <c r="K30" s="11" t="s">
        <v>9</v>
      </c>
      <c r="L30" s="7" t="s">
        <v>9</v>
      </c>
      <c r="M30" s="11" t="s">
        <v>9</v>
      </c>
      <c r="N30" s="11" t="s">
        <v>9</v>
      </c>
      <c r="O30" s="11" t="s">
        <v>9</v>
      </c>
      <c r="P30" s="7" t="s">
        <v>9</v>
      </c>
      <c r="Q30" s="8" t="s">
        <v>7</v>
      </c>
      <c r="R30" s="7" t="s">
        <v>9</v>
      </c>
      <c r="S30" s="7" t="s">
        <v>9</v>
      </c>
      <c r="T30" s="12" t="s">
        <v>9</v>
      </c>
      <c r="U30" s="7" t="s">
        <v>8</v>
      </c>
      <c r="V30" s="7" t="s">
        <v>8</v>
      </c>
    </row>
    <row r="31" spans="1:22" x14ac:dyDescent="0.25">
      <c r="A31" s="19" t="str">
        <f t="shared" si="0"/>
        <v>FALTA</v>
      </c>
      <c r="B31" s="20" t="s">
        <v>351</v>
      </c>
      <c r="C31" s="17" t="s">
        <v>4</v>
      </c>
      <c r="D31" s="18"/>
      <c r="E31" s="18" t="s">
        <v>0</v>
      </c>
      <c r="F31" s="7"/>
      <c r="G31" s="7"/>
      <c r="H31" s="7"/>
      <c r="I31" s="7" t="s">
        <v>9</v>
      </c>
      <c r="J31" s="11" t="s">
        <v>9</v>
      </c>
      <c r="K31" s="11" t="s">
        <v>9</v>
      </c>
      <c r="L31" s="7" t="s">
        <v>9</v>
      </c>
      <c r="M31" s="11" t="s">
        <v>9</v>
      </c>
      <c r="N31" s="11" t="s">
        <v>9</v>
      </c>
      <c r="O31" s="11" t="s">
        <v>9</v>
      </c>
      <c r="P31" s="7" t="s">
        <v>9</v>
      </c>
      <c r="Q31" s="8" t="s">
        <v>7</v>
      </c>
      <c r="R31" s="7" t="s">
        <v>9</v>
      </c>
      <c r="S31" s="7" t="s">
        <v>9</v>
      </c>
      <c r="T31" s="12" t="s">
        <v>9</v>
      </c>
      <c r="U31" s="7" t="s">
        <v>8</v>
      </c>
      <c r="V31" s="7" t="s">
        <v>8</v>
      </c>
    </row>
    <row r="32" spans="1:22" x14ac:dyDescent="0.25">
      <c r="A32" s="19" t="str">
        <f t="shared" si="0"/>
        <v>FALTA</v>
      </c>
      <c r="B32" s="20" t="s">
        <v>353</v>
      </c>
      <c r="C32" s="17" t="s">
        <v>4</v>
      </c>
      <c r="D32" s="18"/>
      <c r="E32" s="18" t="s">
        <v>0</v>
      </c>
      <c r="F32" s="7"/>
      <c r="G32" s="7"/>
      <c r="H32" s="7"/>
      <c r="I32" s="7" t="s">
        <v>9</v>
      </c>
      <c r="J32" s="11" t="s">
        <v>9</v>
      </c>
      <c r="K32" s="11" t="s">
        <v>9</v>
      </c>
      <c r="L32" s="7" t="s">
        <v>9</v>
      </c>
      <c r="M32" s="11" t="s">
        <v>9</v>
      </c>
      <c r="N32" s="11" t="s">
        <v>9</v>
      </c>
      <c r="O32" s="11" t="s">
        <v>9</v>
      </c>
      <c r="P32" s="7" t="s">
        <v>9</v>
      </c>
      <c r="Q32" s="8" t="s">
        <v>7</v>
      </c>
      <c r="R32" s="7" t="s">
        <v>9</v>
      </c>
      <c r="S32" s="7" t="s">
        <v>9</v>
      </c>
      <c r="T32" s="12" t="s">
        <v>9</v>
      </c>
      <c r="U32" s="7" t="s">
        <v>8</v>
      </c>
      <c r="V32" s="7" t="s">
        <v>8</v>
      </c>
    </row>
    <row r="33" spans="1:22" x14ac:dyDescent="0.25">
      <c r="A33" s="19" t="str">
        <f t="shared" si="0"/>
        <v>COMPLETO</v>
      </c>
      <c r="B33" s="20" t="s">
        <v>354</v>
      </c>
      <c r="C33" s="17" t="s">
        <v>4</v>
      </c>
      <c r="D33" s="18" t="s">
        <v>1309</v>
      </c>
      <c r="E33" s="18" t="s">
        <v>0</v>
      </c>
      <c r="F33" s="7"/>
      <c r="G33" s="7"/>
      <c r="H33" s="7"/>
      <c r="I33" s="7" t="s">
        <v>9</v>
      </c>
      <c r="J33" s="11" t="s">
        <v>9</v>
      </c>
      <c r="K33" s="11" t="s">
        <v>9</v>
      </c>
      <c r="L33" s="7" t="s">
        <v>9</v>
      </c>
      <c r="M33" s="11" t="s">
        <v>9</v>
      </c>
      <c r="N33" s="11" t="s">
        <v>9</v>
      </c>
      <c r="O33" s="11" t="s">
        <v>9</v>
      </c>
      <c r="P33" s="7" t="s">
        <v>9</v>
      </c>
      <c r="Q33" s="8" t="s">
        <v>7</v>
      </c>
      <c r="R33" s="7" t="s">
        <v>9</v>
      </c>
      <c r="S33" s="7" t="s">
        <v>9</v>
      </c>
      <c r="T33" s="12" t="s">
        <v>9</v>
      </c>
      <c r="U33" s="7" t="s">
        <v>53</v>
      </c>
      <c r="V33" s="7" t="s">
        <v>53</v>
      </c>
    </row>
    <row r="34" spans="1:22" x14ac:dyDescent="0.25">
      <c r="A34" s="19" t="str">
        <f t="shared" si="0"/>
        <v>FALTA</v>
      </c>
      <c r="B34" s="20" t="s">
        <v>356</v>
      </c>
      <c r="C34" s="17" t="s">
        <v>4</v>
      </c>
      <c r="D34" s="18"/>
      <c r="E34" s="18" t="s">
        <v>0</v>
      </c>
      <c r="F34" s="7"/>
      <c r="G34" s="7"/>
      <c r="H34" s="7"/>
      <c r="I34" s="7" t="s">
        <v>9</v>
      </c>
      <c r="J34" s="11" t="s">
        <v>9</v>
      </c>
      <c r="K34" s="11" t="s">
        <v>9</v>
      </c>
      <c r="L34" s="7" t="s">
        <v>9</v>
      </c>
      <c r="M34" s="11" t="s">
        <v>9</v>
      </c>
      <c r="N34" s="11" t="s">
        <v>9</v>
      </c>
      <c r="O34" s="11" t="s">
        <v>9</v>
      </c>
      <c r="P34" s="7" t="s">
        <v>9</v>
      </c>
      <c r="Q34" s="8" t="s">
        <v>7</v>
      </c>
      <c r="R34" s="7" t="s">
        <v>9</v>
      </c>
      <c r="S34" s="7" t="s">
        <v>9</v>
      </c>
      <c r="T34" s="12" t="s">
        <v>9</v>
      </c>
      <c r="U34" s="7" t="s">
        <v>8</v>
      </c>
      <c r="V34" s="7" t="s">
        <v>8</v>
      </c>
    </row>
    <row r="35" spans="1:22" x14ac:dyDescent="0.25">
      <c r="A35" s="19" t="str">
        <f t="shared" si="0"/>
        <v>COMPLETO</v>
      </c>
      <c r="B35" s="20" t="s">
        <v>358</v>
      </c>
      <c r="C35" s="17" t="s">
        <v>1300</v>
      </c>
      <c r="D35" s="18" t="s">
        <v>1299</v>
      </c>
      <c r="E35" s="18" t="s">
        <v>0</v>
      </c>
      <c r="F35" s="7"/>
      <c r="G35" s="7"/>
      <c r="H35" s="7"/>
      <c r="I35" s="7" t="s">
        <v>9</v>
      </c>
      <c r="J35" s="11" t="s">
        <v>9</v>
      </c>
      <c r="K35" s="11" t="s">
        <v>9</v>
      </c>
      <c r="L35" s="7" t="s">
        <v>9</v>
      </c>
      <c r="M35" s="11" t="s">
        <v>9</v>
      </c>
      <c r="N35" s="11" t="s">
        <v>9</v>
      </c>
      <c r="O35" s="11" t="s">
        <v>9</v>
      </c>
      <c r="P35" s="7" t="s">
        <v>9</v>
      </c>
      <c r="Q35" s="8" t="s">
        <v>7</v>
      </c>
      <c r="R35" s="7" t="s">
        <v>9</v>
      </c>
      <c r="S35" s="7" t="s">
        <v>9</v>
      </c>
      <c r="T35" s="12" t="s">
        <v>9</v>
      </c>
      <c r="U35" s="7" t="s">
        <v>53</v>
      </c>
      <c r="V35" s="7" t="s">
        <v>53</v>
      </c>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F5:V44 G3:L3 G4:H4 J4:L4 N3:Q4 S3:S4">
    <cfRule type="cellIs" dxfId="880" priority="70" operator="equal">
      <formula>"F"</formula>
    </cfRule>
    <cfRule type="cellIs" dxfId="879" priority="71" operator="equal">
      <formula>"OK"</formula>
    </cfRule>
    <cfRule type="cellIs" dxfId="878" priority="72" operator="between">
      <formula>6</formula>
      <formula>18</formula>
    </cfRule>
  </conditionalFormatting>
  <conditionalFormatting sqref="C1:E1 A2:E2 A5:E25 A27:E1048576 A26:B26 E26">
    <cfRule type="expression" dxfId="877" priority="68">
      <formula>$A1="FALTA"</formula>
    </cfRule>
    <cfRule type="expression" dxfId="876" priority="69">
      <formula>$A1="COMPLETO"</formula>
    </cfRule>
  </conditionalFormatting>
  <conditionalFormatting sqref="B3">
    <cfRule type="expression" dxfId="875" priority="54">
      <formula>$A3="FALTA"</formula>
    </cfRule>
    <cfRule type="expression" dxfId="874" priority="55">
      <formula>$A3="COMPLETO"</formula>
    </cfRule>
  </conditionalFormatting>
  <conditionalFormatting sqref="D3:D4">
    <cfRule type="expression" dxfId="873" priority="46">
      <formula>$A3="FALTA"</formula>
    </cfRule>
    <cfRule type="expression" dxfId="872" priority="47">
      <formula>$A3="COMPLETO"</formula>
    </cfRule>
  </conditionalFormatting>
  <conditionalFormatting sqref="C3:C4 E3:E4">
    <cfRule type="expression" dxfId="871" priority="48">
      <formula>$A3="FALTA"</formula>
    </cfRule>
    <cfRule type="expression" dxfId="870" priority="49">
      <formula>$A3="COMPLETO"</formula>
    </cfRule>
  </conditionalFormatting>
  <conditionalFormatting sqref="F4">
    <cfRule type="cellIs" dxfId="869" priority="43" operator="equal">
      <formula>"F"</formula>
    </cfRule>
    <cfRule type="cellIs" dxfId="868" priority="44" operator="equal">
      <formula>"OK"</formula>
    </cfRule>
    <cfRule type="cellIs" dxfId="867" priority="45" operator="between">
      <formula>6</formula>
      <formula>18</formula>
    </cfRule>
  </conditionalFormatting>
  <conditionalFormatting sqref="A1:B1">
    <cfRule type="expression" dxfId="866" priority="41">
      <formula>$A1="FALTA"</formula>
    </cfRule>
    <cfRule type="expression" dxfId="865" priority="42">
      <formula>$A1="COMPLETO"</formula>
    </cfRule>
  </conditionalFormatting>
  <conditionalFormatting sqref="I4">
    <cfRule type="cellIs" dxfId="864" priority="35" operator="equal">
      <formula>"F"</formula>
    </cfRule>
    <cfRule type="cellIs" dxfId="863" priority="36" operator="equal">
      <formula>"OK"</formula>
    </cfRule>
    <cfRule type="cellIs" dxfId="862" priority="37" operator="between">
      <formula>6</formula>
      <formula>18</formula>
    </cfRule>
  </conditionalFormatting>
  <conditionalFormatting sqref="M3">
    <cfRule type="cellIs" dxfId="861" priority="32" operator="equal">
      <formula>"F"</formula>
    </cfRule>
    <cfRule type="cellIs" dxfId="860" priority="33" operator="equal">
      <formula>"OK"</formula>
    </cfRule>
    <cfRule type="cellIs" dxfId="859" priority="34" operator="between">
      <formula>6</formula>
      <formula>18</formula>
    </cfRule>
  </conditionalFormatting>
  <conditionalFormatting sqref="R3">
    <cfRule type="cellIs" dxfId="858" priority="29" operator="equal">
      <formula>"F"</formula>
    </cfRule>
    <cfRule type="cellIs" dxfId="857" priority="30" operator="equal">
      <formula>"OK"</formula>
    </cfRule>
    <cfRule type="cellIs" dxfId="856" priority="31" operator="between">
      <formula>6</formula>
      <formula>18</formula>
    </cfRule>
  </conditionalFormatting>
  <conditionalFormatting sqref="M4">
    <cfRule type="cellIs" dxfId="855" priority="26" operator="equal">
      <formula>"F"</formula>
    </cfRule>
    <cfRule type="cellIs" dxfId="854" priority="27" operator="equal">
      <formula>"OK"</formula>
    </cfRule>
    <cfRule type="cellIs" dxfId="853" priority="28" operator="between">
      <formula>6</formula>
      <formula>18</formula>
    </cfRule>
  </conditionalFormatting>
  <conditionalFormatting sqref="R4">
    <cfRule type="cellIs" dxfId="852" priority="23" operator="equal">
      <formula>"F"</formula>
    </cfRule>
    <cfRule type="cellIs" dxfId="851" priority="24" operator="equal">
      <formula>"OK"</formula>
    </cfRule>
    <cfRule type="cellIs" dxfId="850" priority="25" operator="between">
      <formula>6</formula>
      <formula>18</formula>
    </cfRule>
  </conditionalFormatting>
  <conditionalFormatting sqref="T3">
    <cfRule type="cellIs" dxfId="849" priority="20" operator="equal">
      <formula>"F"</formula>
    </cfRule>
    <cfRule type="cellIs" dxfId="848" priority="21" operator="equal">
      <formula>"OK"</formula>
    </cfRule>
    <cfRule type="cellIs" dxfId="847" priority="22" operator="between">
      <formula>6</formula>
      <formula>18</formula>
    </cfRule>
  </conditionalFormatting>
  <conditionalFormatting sqref="T4">
    <cfRule type="cellIs" dxfId="846" priority="17" operator="equal">
      <formula>"F"</formula>
    </cfRule>
    <cfRule type="cellIs" dxfId="845" priority="18" operator="equal">
      <formula>"OK"</formula>
    </cfRule>
    <cfRule type="cellIs" dxfId="844" priority="19" operator="between">
      <formula>6</formula>
      <formula>18</formula>
    </cfRule>
  </conditionalFormatting>
  <conditionalFormatting sqref="U3:V3">
    <cfRule type="cellIs" dxfId="843" priority="8" operator="equal">
      <formula>"F"</formula>
    </cfRule>
    <cfRule type="cellIs" dxfId="842" priority="9" operator="equal">
      <formula>"OK"</formula>
    </cfRule>
    <cfRule type="cellIs" dxfId="841" priority="10" operator="between">
      <formula>6</formula>
      <formula>18</formula>
    </cfRule>
  </conditionalFormatting>
  <conditionalFormatting sqref="F3">
    <cfRule type="cellIs" dxfId="840" priority="5" operator="equal">
      <formula>"F"</formula>
    </cfRule>
    <cfRule type="cellIs" dxfId="839" priority="6" operator="equal">
      <formula>"OK"</formula>
    </cfRule>
    <cfRule type="cellIs" dxfId="838" priority="7" operator="between">
      <formula>6</formula>
      <formula>18</formula>
    </cfRule>
  </conditionalFormatting>
  <conditionalFormatting sqref="A3">
    <cfRule type="expression" dxfId="837" priority="3">
      <formula>$A3="FALTA"</formula>
    </cfRule>
    <cfRule type="expression" dxfId="836" priority="4">
      <formula>$A3="COMPLETO"</formula>
    </cfRule>
  </conditionalFormatting>
  <conditionalFormatting sqref="C26:D26">
    <cfRule type="expression" dxfId="835" priority="1">
      <formula>$A26="FALTA"</formula>
    </cfRule>
    <cfRule type="expression" dxfId="834" priority="2">
      <formula>$A26="COMPLETO"</formula>
    </cfRule>
  </conditionalFormatting>
  <dataValidations count="5">
    <dataValidation type="list" allowBlank="1" showInputMessage="1" showErrorMessage="1" sqref="P5:P44">
      <formula1>"OP,6,12,18"</formula1>
    </dataValidation>
    <dataValidation type="list" allowBlank="1" showInputMessage="1" showErrorMessage="1" sqref="F5:O44 R3:R4 I4 P4 M3:M4 T3:T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tabColor rgb="FF004079"/>
    <outlinePr summaryBelow="0" summaryRight="0"/>
  </sheetPr>
  <dimension ref="A1:V44"/>
  <sheetViews>
    <sheetView zoomScaleNormal="100" workbookViewId="0">
      <pane ySplit="2" topLeftCell="A3" activePane="bottomLeft" state="frozen"/>
      <selection pane="bottomLeft" activeCell="P5" sqref="P5:S24"/>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ZAgata 7</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COMPLETO</v>
      </c>
      <c r="B3" s="385" t="s">
        <v>116</v>
      </c>
      <c r="C3" s="23" t="s">
        <v>0</v>
      </c>
      <c r="D3" s="29" t="s">
        <v>5</v>
      </c>
      <c r="E3" s="28" t="s">
        <v>0</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1" t="s">
        <v>53</v>
      </c>
      <c r="V3" s="381" t="s">
        <v>116</v>
      </c>
    </row>
    <row r="4" spans="1:22" x14ac:dyDescent="0.25">
      <c r="A4" s="384"/>
      <c r="B4" s="386"/>
      <c r="C4" s="23" t="s">
        <v>150</v>
      </c>
      <c r="D4" s="29" t="s">
        <v>6</v>
      </c>
      <c r="E4" s="10" t="s">
        <v>230</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2"/>
      <c r="V4" s="382"/>
    </row>
    <row r="5" spans="1:22" ht="15" customHeight="1" x14ac:dyDescent="0.25">
      <c r="A5" s="19" t="str">
        <f>IF(COUNTIF(F5:V5,"F")&gt;0,"FALTA","COMPLETO")</f>
        <v>COMPLETO</v>
      </c>
      <c r="B5" s="20" t="s">
        <v>151</v>
      </c>
      <c r="C5" s="17" t="s">
        <v>152</v>
      </c>
      <c r="D5" s="18" t="s">
        <v>189</v>
      </c>
      <c r="E5" s="18" t="s">
        <v>190</v>
      </c>
      <c r="F5" s="7" t="s">
        <v>53</v>
      </c>
      <c r="G5" s="7" t="s">
        <v>53</v>
      </c>
      <c r="H5" s="7" t="s">
        <v>53</v>
      </c>
      <c r="I5" s="7" t="s">
        <v>9</v>
      </c>
      <c r="J5" s="11" t="s">
        <v>9</v>
      </c>
      <c r="K5" s="11" t="s">
        <v>9</v>
      </c>
      <c r="L5" s="7" t="s">
        <v>9</v>
      </c>
      <c r="M5" s="11" t="s">
        <v>9</v>
      </c>
      <c r="N5" s="11" t="s">
        <v>9</v>
      </c>
      <c r="O5" s="11" t="s">
        <v>9</v>
      </c>
      <c r="P5" s="7" t="s">
        <v>9</v>
      </c>
      <c r="Q5" s="8" t="s">
        <v>9</v>
      </c>
      <c r="R5" s="7" t="s">
        <v>9</v>
      </c>
      <c r="S5" s="7" t="s">
        <v>9</v>
      </c>
      <c r="T5" s="12" t="s">
        <v>9</v>
      </c>
      <c r="U5" s="7" t="s">
        <v>53</v>
      </c>
      <c r="V5" s="7" t="s">
        <v>116</v>
      </c>
    </row>
    <row r="6" spans="1:22" ht="15" customHeight="1" x14ac:dyDescent="0.25">
      <c r="A6" s="19" t="str">
        <f t="shared" ref="A6:A24" si="0">IF(COUNTIF(F6:V6,"F")&gt;0,"FALTA","COMPLETO")</f>
        <v>COMPLETO</v>
      </c>
      <c r="B6" s="20" t="s">
        <v>153</v>
      </c>
      <c r="C6" s="17" t="s">
        <v>154</v>
      </c>
      <c r="D6" s="18" t="s">
        <v>191</v>
      </c>
      <c r="E6" s="18" t="s">
        <v>192</v>
      </c>
      <c r="F6" s="7" t="s">
        <v>53</v>
      </c>
      <c r="G6" s="7" t="s">
        <v>53</v>
      </c>
      <c r="H6" s="7" t="s">
        <v>53</v>
      </c>
      <c r="I6" s="7" t="s">
        <v>9</v>
      </c>
      <c r="J6" s="11" t="s">
        <v>9</v>
      </c>
      <c r="K6" s="11" t="s">
        <v>9</v>
      </c>
      <c r="L6" s="7" t="s">
        <v>9</v>
      </c>
      <c r="M6" s="11" t="s">
        <v>9</v>
      </c>
      <c r="N6" s="11" t="s">
        <v>9</v>
      </c>
      <c r="O6" s="11" t="s">
        <v>9</v>
      </c>
      <c r="P6" s="7" t="s">
        <v>9</v>
      </c>
      <c r="Q6" s="8" t="s">
        <v>9</v>
      </c>
      <c r="R6" s="7" t="s">
        <v>9</v>
      </c>
      <c r="S6" s="7" t="s">
        <v>9</v>
      </c>
      <c r="T6" s="12" t="s">
        <v>9</v>
      </c>
      <c r="U6" s="7" t="s">
        <v>53</v>
      </c>
      <c r="V6" s="7" t="s">
        <v>116</v>
      </c>
    </row>
    <row r="7" spans="1:22" ht="15" customHeight="1" x14ac:dyDescent="0.25">
      <c r="A7" s="19" t="str">
        <f t="shared" si="0"/>
        <v>COMPLETO</v>
      </c>
      <c r="B7" s="20" t="s">
        <v>155</v>
      </c>
      <c r="C7" s="17" t="s">
        <v>150</v>
      </c>
      <c r="D7" s="18" t="s">
        <v>193</v>
      </c>
      <c r="E7" s="18" t="s">
        <v>194</v>
      </c>
      <c r="F7" s="7" t="s">
        <v>53</v>
      </c>
      <c r="G7" s="7" t="s">
        <v>53</v>
      </c>
      <c r="H7" s="7" t="s">
        <v>53</v>
      </c>
      <c r="I7" s="7" t="s">
        <v>9</v>
      </c>
      <c r="J7" s="11" t="s">
        <v>9</v>
      </c>
      <c r="K7" s="11" t="s">
        <v>9</v>
      </c>
      <c r="L7" s="7" t="s">
        <v>9</v>
      </c>
      <c r="M7" s="11" t="s">
        <v>9</v>
      </c>
      <c r="N7" s="11" t="s">
        <v>9</v>
      </c>
      <c r="O7" s="11" t="s">
        <v>9</v>
      </c>
      <c r="P7" s="7" t="s">
        <v>9</v>
      </c>
      <c r="Q7" s="8" t="s">
        <v>9</v>
      </c>
      <c r="R7" s="7" t="s">
        <v>9</v>
      </c>
      <c r="S7" s="7" t="s">
        <v>9</v>
      </c>
      <c r="T7" s="12" t="s">
        <v>9</v>
      </c>
      <c r="U7" s="7" t="s">
        <v>53</v>
      </c>
      <c r="V7" s="7" t="s">
        <v>116</v>
      </c>
    </row>
    <row r="8" spans="1:22" x14ac:dyDescent="0.25">
      <c r="A8" s="19" t="str">
        <f t="shared" si="0"/>
        <v>COMPLETO</v>
      </c>
      <c r="B8" s="20" t="s">
        <v>156</v>
      </c>
      <c r="C8" s="21" t="s">
        <v>157</v>
      </c>
      <c r="D8" s="18" t="s">
        <v>195</v>
      </c>
      <c r="E8" s="26" t="s">
        <v>10</v>
      </c>
      <c r="F8" s="7" t="s">
        <v>7</v>
      </c>
      <c r="G8" s="7" t="s">
        <v>7</v>
      </c>
      <c r="H8" s="7" t="s">
        <v>53</v>
      </c>
      <c r="I8" s="7" t="s">
        <v>9</v>
      </c>
      <c r="J8" s="11" t="s">
        <v>9</v>
      </c>
      <c r="K8" s="11" t="s">
        <v>9</v>
      </c>
      <c r="L8" s="7" t="s">
        <v>9</v>
      </c>
      <c r="M8" s="11" t="s">
        <v>9</v>
      </c>
      <c r="N8" s="11" t="s">
        <v>9</v>
      </c>
      <c r="O8" s="11" t="s">
        <v>9</v>
      </c>
      <c r="P8" s="7" t="s">
        <v>9</v>
      </c>
      <c r="Q8" s="8" t="s">
        <v>9</v>
      </c>
      <c r="R8" s="7" t="s">
        <v>9</v>
      </c>
      <c r="S8" s="7" t="s">
        <v>9</v>
      </c>
      <c r="T8" s="12" t="s">
        <v>53</v>
      </c>
      <c r="U8" s="7" t="s">
        <v>7</v>
      </c>
      <c r="V8" s="7" t="s">
        <v>116</v>
      </c>
    </row>
    <row r="9" spans="1:22" x14ac:dyDescent="0.25">
      <c r="A9" s="19" t="str">
        <f t="shared" si="0"/>
        <v>COMPLETO</v>
      </c>
      <c r="B9" s="20" t="s">
        <v>158</v>
      </c>
      <c r="C9" s="21" t="s">
        <v>159</v>
      </c>
      <c r="D9" s="18" t="s">
        <v>196</v>
      </c>
      <c r="E9" s="18" t="s">
        <v>197</v>
      </c>
      <c r="F9" s="7" t="s">
        <v>53</v>
      </c>
      <c r="G9" s="7" t="s">
        <v>53</v>
      </c>
      <c r="H9" s="7" t="s">
        <v>53</v>
      </c>
      <c r="I9" s="7" t="s">
        <v>9</v>
      </c>
      <c r="J9" s="11" t="s">
        <v>9</v>
      </c>
      <c r="K9" s="11" t="s">
        <v>9</v>
      </c>
      <c r="L9" s="7" t="s">
        <v>9</v>
      </c>
      <c r="M9" s="11" t="s">
        <v>9</v>
      </c>
      <c r="N9" s="11" t="s">
        <v>9</v>
      </c>
      <c r="O9" s="11" t="s">
        <v>9</v>
      </c>
      <c r="P9" s="7" t="s">
        <v>9</v>
      </c>
      <c r="Q9" s="8" t="s">
        <v>9</v>
      </c>
      <c r="R9" s="7" t="s">
        <v>9</v>
      </c>
      <c r="S9" s="7" t="s">
        <v>9</v>
      </c>
      <c r="T9" s="12" t="s">
        <v>9</v>
      </c>
      <c r="U9" s="7" t="s">
        <v>53</v>
      </c>
      <c r="V9" s="7" t="s">
        <v>116</v>
      </c>
    </row>
    <row r="10" spans="1:22" x14ac:dyDescent="0.25">
      <c r="A10" s="19" t="str">
        <f t="shared" si="0"/>
        <v>COMPLETO</v>
      </c>
      <c r="B10" s="20" t="s">
        <v>160</v>
      </c>
      <c r="C10" s="17" t="s">
        <v>161</v>
      </c>
      <c r="D10" s="18" t="s">
        <v>198</v>
      </c>
      <c r="E10" s="18" t="s">
        <v>199</v>
      </c>
      <c r="F10" s="7" t="s">
        <v>53</v>
      </c>
      <c r="G10" s="7" t="s">
        <v>53</v>
      </c>
      <c r="H10" s="7" t="s">
        <v>53</v>
      </c>
      <c r="I10" s="7" t="s">
        <v>9</v>
      </c>
      <c r="J10" s="11" t="s">
        <v>9</v>
      </c>
      <c r="K10" s="11" t="s">
        <v>9</v>
      </c>
      <c r="L10" s="7" t="s">
        <v>9</v>
      </c>
      <c r="M10" s="11" t="s">
        <v>9</v>
      </c>
      <c r="N10" s="11" t="s">
        <v>9</v>
      </c>
      <c r="O10" s="11" t="s">
        <v>9</v>
      </c>
      <c r="P10" s="7" t="s">
        <v>9</v>
      </c>
      <c r="Q10" s="8" t="s">
        <v>9</v>
      </c>
      <c r="R10" s="7" t="s">
        <v>9</v>
      </c>
      <c r="S10" s="7" t="s">
        <v>9</v>
      </c>
      <c r="T10" s="12" t="s">
        <v>9</v>
      </c>
      <c r="U10" s="7" t="s">
        <v>53</v>
      </c>
      <c r="V10" s="7" t="s">
        <v>116</v>
      </c>
    </row>
    <row r="11" spans="1:22" x14ac:dyDescent="0.25">
      <c r="A11" s="19" t="str">
        <f t="shared" si="0"/>
        <v>COMPLETO</v>
      </c>
      <c r="B11" s="20" t="s">
        <v>162</v>
      </c>
      <c r="C11" s="17" t="s">
        <v>163</v>
      </c>
      <c r="D11" s="18" t="s">
        <v>200</v>
      </c>
      <c r="E11" s="18" t="s">
        <v>201</v>
      </c>
      <c r="F11" s="7" t="s">
        <v>53</v>
      </c>
      <c r="G11" s="7" t="s">
        <v>53</v>
      </c>
      <c r="H11" s="7" t="s">
        <v>53</v>
      </c>
      <c r="I11" s="7" t="s">
        <v>53</v>
      </c>
      <c r="J11" s="11" t="s">
        <v>9</v>
      </c>
      <c r="K11" s="11" t="s">
        <v>9</v>
      </c>
      <c r="L11" s="7" t="s">
        <v>9</v>
      </c>
      <c r="M11" s="11" t="s">
        <v>9</v>
      </c>
      <c r="N11" s="11" t="s">
        <v>9</v>
      </c>
      <c r="O11" s="11" t="s">
        <v>9</v>
      </c>
      <c r="P11" s="7" t="s">
        <v>9</v>
      </c>
      <c r="Q11" s="8" t="s">
        <v>9</v>
      </c>
      <c r="R11" s="7" t="s">
        <v>9</v>
      </c>
      <c r="S11" s="7" t="s">
        <v>9</v>
      </c>
      <c r="T11" s="12" t="s">
        <v>9</v>
      </c>
      <c r="U11" s="7" t="s">
        <v>53</v>
      </c>
      <c r="V11" s="7" t="s">
        <v>116</v>
      </c>
    </row>
    <row r="12" spans="1:22" x14ac:dyDescent="0.25">
      <c r="A12" s="19" t="str">
        <f t="shared" si="0"/>
        <v>COMPLETO</v>
      </c>
      <c r="B12" s="20" t="s">
        <v>164</v>
      </c>
      <c r="C12" s="17" t="s">
        <v>165</v>
      </c>
      <c r="D12" s="18" t="s">
        <v>202</v>
      </c>
      <c r="E12" s="18" t="s">
        <v>203</v>
      </c>
      <c r="F12" s="7" t="s">
        <v>53</v>
      </c>
      <c r="G12" s="7" t="s">
        <v>53</v>
      </c>
      <c r="H12" s="7" t="s">
        <v>53</v>
      </c>
      <c r="I12" s="7" t="s">
        <v>9</v>
      </c>
      <c r="J12" s="11" t="s">
        <v>9</v>
      </c>
      <c r="K12" s="11" t="s">
        <v>9</v>
      </c>
      <c r="L12" s="7" t="s">
        <v>9</v>
      </c>
      <c r="M12" s="11" t="s">
        <v>9</v>
      </c>
      <c r="N12" s="11" t="s">
        <v>9</v>
      </c>
      <c r="O12" s="11" t="s">
        <v>9</v>
      </c>
      <c r="P12" s="7" t="s">
        <v>9</v>
      </c>
      <c r="Q12" s="8" t="s">
        <v>9</v>
      </c>
      <c r="R12" s="7" t="s">
        <v>9</v>
      </c>
      <c r="S12" s="7" t="s">
        <v>9</v>
      </c>
      <c r="T12" s="12" t="s">
        <v>9</v>
      </c>
      <c r="U12" s="7" t="s">
        <v>53</v>
      </c>
      <c r="V12" s="7" t="s">
        <v>116</v>
      </c>
    </row>
    <row r="13" spans="1:22" x14ac:dyDescent="0.25">
      <c r="A13" s="19" t="str">
        <f t="shared" si="0"/>
        <v>COMPLETO</v>
      </c>
      <c r="B13" s="20" t="s">
        <v>166</v>
      </c>
      <c r="C13" s="21" t="s">
        <v>167</v>
      </c>
      <c r="D13" s="18" t="s">
        <v>204</v>
      </c>
      <c r="E13" s="18" t="s">
        <v>205</v>
      </c>
      <c r="F13" s="7" t="s">
        <v>53</v>
      </c>
      <c r="G13" s="7" t="s">
        <v>53</v>
      </c>
      <c r="H13" s="7" t="s">
        <v>53</v>
      </c>
      <c r="I13" s="7" t="s">
        <v>9</v>
      </c>
      <c r="J13" s="11" t="s">
        <v>9</v>
      </c>
      <c r="K13" s="11" t="s">
        <v>9</v>
      </c>
      <c r="L13" s="7" t="s">
        <v>9</v>
      </c>
      <c r="M13" s="11" t="s">
        <v>9</v>
      </c>
      <c r="N13" s="11" t="s">
        <v>9</v>
      </c>
      <c r="O13" s="11" t="s">
        <v>9</v>
      </c>
      <c r="P13" s="7" t="s">
        <v>9</v>
      </c>
      <c r="Q13" s="8" t="s">
        <v>9</v>
      </c>
      <c r="R13" s="7" t="s">
        <v>9</v>
      </c>
      <c r="S13" s="7" t="s">
        <v>9</v>
      </c>
      <c r="T13" s="12" t="s">
        <v>9</v>
      </c>
      <c r="U13" s="7" t="s">
        <v>53</v>
      </c>
      <c r="V13" s="7" t="s">
        <v>116</v>
      </c>
    </row>
    <row r="14" spans="1:22" x14ac:dyDescent="0.25">
      <c r="A14" s="19" t="str">
        <f t="shared" si="0"/>
        <v>COMPLETO</v>
      </c>
      <c r="B14" s="20" t="s">
        <v>168</v>
      </c>
      <c r="C14" s="17" t="s">
        <v>169</v>
      </c>
      <c r="D14" s="18" t="s">
        <v>206</v>
      </c>
      <c r="E14" s="18" t="s">
        <v>207</v>
      </c>
      <c r="F14" s="7" t="s">
        <v>53</v>
      </c>
      <c r="G14" s="7" t="s">
        <v>53</v>
      </c>
      <c r="H14" s="7" t="s">
        <v>53</v>
      </c>
      <c r="I14" s="7" t="s">
        <v>9</v>
      </c>
      <c r="J14" s="11" t="s">
        <v>9</v>
      </c>
      <c r="K14" s="11" t="s">
        <v>9</v>
      </c>
      <c r="L14" s="7" t="s">
        <v>9</v>
      </c>
      <c r="M14" s="11" t="s">
        <v>9</v>
      </c>
      <c r="N14" s="11" t="s">
        <v>9</v>
      </c>
      <c r="O14" s="11" t="s">
        <v>9</v>
      </c>
      <c r="P14" s="7" t="s">
        <v>9</v>
      </c>
      <c r="Q14" s="8" t="s">
        <v>9</v>
      </c>
      <c r="R14" s="7" t="s">
        <v>9</v>
      </c>
      <c r="S14" s="7" t="s">
        <v>9</v>
      </c>
      <c r="T14" s="12" t="s">
        <v>9</v>
      </c>
      <c r="U14" s="7" t="s">
        <v>53</v>
      </c>
      <c r="V14" s="7" t="s">
        <v>116</v>
      </c>
    </row>
    <row r="15" spans="1:22" x14ac:dyDescent="0.25">
      <c r="A15" s="19" t="str">
        <f t="shared" si="0"/>
        <v>COMPLETO</v>
      </c>
      <c r="B15" s="20" t="s">
        <v>170</v>
      </c>
      <c r="C15" s="17" t="s">
        <v>171</v>
      </c>
      <c r="D15" s="18" t="s">
        <v>208</v>
      </c>
      <c r="E15" s="18" t="s">
        <v>209</v>
      </c>
      <c r="F15" s="7" t="s">
        <v>53</v>
      </c>
      <c r="G15" s="7" t="s">
        <v>53</v>
      </c>
      <c r="H15" s="7" t="s">
        <v>53</v>
      </c>
      <c r="I15" s="7" t="s">
        <v>9</v>
      </c>
      <c r="J15" s="11" t="s">
        <v>9</v>
      </c>
      <c r="K15" s="11" t="s">
        <v>9</v>
      </c>
      <c r="L15" s="7" t="s">
        <v>9</v>
      </c>
      <c r="M15" s="11" t="s">
        <v>9</v>
      </c>
      <c r="N15" s="11" t="s">
        <v>9</v>
      </c>
      <c r="O15" s="11" t="s">
        <v>9</v>
      </c>
      <c r="P15" s="7" t="s">
        <v>9</v>
      </c>
      <c r="Q15" s="8" t="s">
        <v>9</v>
      </c>
      <c r="R15" s="7" t="s">
        <v>9</v>
      </c>
      <c r="S15" s="7" t="s">
        <v>9</v>
      </c>
      <c r="T15" s="12" t="s">
        <v>9</v>
      </c>
      <c r="U15" s="7" t="s">
        <v>53</v>
      </c>
      <c r="V15" s="7" t="s">
        <v>116</v>
      </c>
    </row>
    <row r="16" spans="1:22" x14ac:dyDescent="0.25">
      <c r="A16" s="19" t="str">
        <f t="shared" si="0"/>
        <v>COMPLETO</v>
      </c>
      <c r="B16" s="20" t="s">
        <v>172</v>
      </c>
      <c r="C16" s="17" t="s">
        <v>173</v>
      </c>
      <c r="D16" s="18" t="s">
        <v>210</v>
      </c>
      <c r="E16" s="18" t="s">
        <v>211</v>
      </c>
      <c r="F16" s="7" t="s">
        <v>53</v>
      </c>
      <c r="G16" s="7" t="s">
        <v>53</v>
      </c>
      <c r="H16" s="7" t="s">
        <v>53</v>
      </c>
      <c r="I16" s="7" t="s">
        <v>9</v>
      </c>
      <c r="J16" s="11" t="s">
        <v>9</v>
      </c>
      <c r="K16" s="11" t="s">
        <v>9</v>
      </c>
      <c r="L16" s="7" t="s">
        <v>9</v>
      </c>
      <c r="M16" s="11" t="s">
        <v>9</v>
      </c>
      <c r="N16" s="11" t="s">
        <v>9</v>
      </c>
      <c r="O16" s="11" t="s">
        <v>9</v>
      </c>
      <c r="P16" s="7" t="s">
        <v>9</v>
      </c>
      <c r="Q16" s="8" t="s">
        <v>9</v>
      </c>
      <c r="R16" s="7" t="s">
        <v>9</v>
      </c>
      <c r="S16" s="7" t="s">
        <v>9</v>
      </c>
      <c r="T16" s="12" t="s">
        <v>9</v>
      </c>
      <c r="U16" s="7" t="s">
        <v>53</v>
      </c>
      <c r="V16" s="7" t="s">
        <v>116</v>
      </c>
    </row>
    <row r="17" spans="1:22" x14ac:dyDescent="0.25">
      <c r="A17" s="19" t="str">
        <f t="shared" si="0"/>
        <v>COMPLETO</v>
      </c>
      <c r="B17" s="20" t="s">
        <v>174</v>
      </c>
      <c r="C17" s="21" t="s">
        <v>167</v>
      </c>
      <c r="D17" s="18" t="s">
        <v>212</v>
      </c>
      <c r="E17" s="18" t="s">
        <v>213</v>
      </c>
      <c r="F17" s="7" t="s">
        <v>53</v>
      </c>
      <c r="G17" s="7" t="s">
        <v>53</v>
      </c>
      <c r="H17" s="7" t="s">
        <v>53</v>
      </c>
      <c r="I17" s="7" t="s">
        <v>9</v>
      </c>
      <c r="J17" s="11" t="s">
        <v>9</v>
      </c>
      <c r="K17" s="11" t="s">
        <v>9</v>
      </c>
      <c r="L17" s="7" t="s">
        <v>9</v>
      </c>
      <c r="M17" s="11" t="s">
        <v>9</v>
      </c>
      <c r="N17" s="11" t="s">
        <v>9</v>
      </c>
      <c r="O17" s="11" t="s">
        <v>9</v>
      </c>
      <c r="P17" s="7" t="s">
        <v>9</v>
      </c>
      <c r="Q17" s="8" t="s">
        <v>9</v>
      </c>
      <c r="R17" s="7" t="s">
        <v>9</v>
      </c>
      <c r="S17" s="7" t="s">
        <v>9</v>
      </c>
      <c r="T17" s="12" t="s">
        <v>9</v>
      </c>
      <c r="U17" s="7" t="s">
        <v>53</v>
      </c>
      <c r="V17" s="7" t="s">
        <v>116</v>
      </c>
    </row>
    <row r="18" spans="1:22" x14ac:dyDescent="0.25">
      <c r="A18" s="19" t="str">
        <f t="shared" si="0"/>
        <v>COMPLETO</v>
      </c>
      <c r="B18" s="20" t="s">
        <v>175</v>
      </c>
      <c r="C18" s="17" t="s">
        <v>176</v>
      </c>
      <c r="D18" s="18" t="s">
        <v>214</v>
      </c>
      <c r="E18" s="18" t="s">
        <v>215</v>
      </c>
      <c r="F18" s="7" t="s">
        <v>53</v>
      </c>
      <c r="G18" s="7" t="s">
        <v>53</v>
      </c>
      <c r="H18" s="7" t="s">
        <v>53</v>
      </c>
      <c r="I18" s="7" t="s">
        <v>9</v>
      </c>
      <c r="J18" s="11" t="s">
        <v>9</v>
      </c>
      <c r="K18" s="11" t="s">
        <v>9</v>
      </c>
      <c r="L18" s="7" t="s">
        <v>9</v>
      </c>
      <c r="M18" s="11" t="s">
        <v>9</v>
      </c>
      <c r="N18" s="11" t="s">
        <v>9</v>
      </c>
      <c r="O18" s="11" t="s">
        <v>9</v>
      </c>
      <c r="P18" s="7" t="s">
        <v>9</v>
      </c>
      <c r="Q18" s="8" t="s">
        <v>9</v>
      </c>
      <c r="R18" s="7" t="s">
        <v>9</v>
      </c>
      <c r="S18" s="7" t="s">
        <v>9</v>
      </c>
      <c r="T18" s="12" t="s">
        <v>9</v>
      </c>
      <c r="U18" s="7" t="s">
        <v>53</v>
      </c>
      <c r="V18" s="7" t="s">
        <v>116</v>
      </c>
    </row>
    <row r="19" spans="1:22" x14ac:dyDescent="0.25">
      <c r="A19" s="19" t="str">
        <f t="shared" si="0"/>
        <v>COMPLETO</v>
      </c>
      <c r="B19" s="20" t="s">
        <v>177</v>
      </c>
      <c r="C19" s="17" t="s">
        <v>178</v>
      </c>
      <c r="D19" s="18" t="s">
        <v>216</v>
      </c>
      <c r="E19" s="18" t="s">
        <v>217</v>
      </c>
      <c r="F19" s="7" t="s">
        <v>53</v>
      </c>
      <c r="G19" s="7" t="s">
        <v>53</v>
      </c>
      <c r="H19" s="7" t="s">
        <v>53</v>
      </c>
      <c r="I19" s="7" t="s">
        <v>9</v>
      </c>
      <c r="J19" s="11" t="s">
        <v>9</v>
      </c>
      <c r="K19" s="11" t="s">
        <v>9</v>
      </c>
      <c r="L19" s="7" t="s">
        <v>9</v>
      </c>
      <c r="M19" s="11" t="s">
        <v>9</v>
      </c>
      <c r="N19" s="11" t="s">
        <v>9</v>
      </c>
      <c r="O19" s="11" t="s">
        <v>9</v>
      </c>
      <c r="P19" s="7" t="s">
        <v>9</v>
      </c>
      <c r="Q19" s="8" t="s">
        <v>9</v>
      </c>
      <c r="R19" s="7" t="s">
        <v>9</v>
      </c>
      <c r="S19" s="7" t="s">
        <v>9</v>
      </c>
      <c r="T19" s="12" t="s">
        <v>9</v>
      </c>
      <c r="U19" s="7" t="s">
        <v>53</v>
      </c>
      <c r="V19" s="7" t="s">
        <v>116</v>
      </c>
    </row>
    <row r="20" spans="1:22" x14ac:dyDescent="0.25">
      <c r="A20" s="19" t="str">
        <f t="shared" si="0"/>
        <v>COMPLETO</v>
      </c>
      <c r="B20" s="20" t="s">
        <v>179</v>
      </c>
      <c r="C20" s="17" t="s">
        <v>180</v>
      </c>
      <c r="D20" s="18" t="s">
        <v>218</v>
      </c>
      <c r="E20" s="18" t="s">
        <v>219</v>
      </c>
      <c r="F20" s="7" t="s">
        <v>53</v>
      </c>
      <c r="G20" s="7" t="s">
        <v>53</v>
      </c>
      <c r="H20" s="7" t="s">
        <v>53</v>
      </c>
      <c r="I20" s="7" t="s">
        <v>53</v>
      </c>
      <c r="J20" s="11" t="s">
        <v>53</v>
      </c>
      <c r="K20" s="11" t="s">
        <v>53</v>
      </c>
      <c r="L20" s="7" t="s">
        <v>9</v>
      </c>
      <c r="M20" s="11" t="s">
        <v>9</v>
      </c>
      <c r="N20" s="11" t="s">
        <v>9</v>
      </c>
      <c r="O20" s="11" t="s">
        <v>9</v>
      </c>
      <c r="P20" s="7" t="s">
        <v>9</v>
      </c>
      <c r="Q20" s="8" t="s">
        <v>9</v>
      </c>
      <c r="R20" s="7" t="s">
        <v>9</v>
      </c>
      <c r="S20" s="7" t="s">
        <v>9</v>
      </c>
      <c r="T20" s="12" t="s">
        <v>9</v>
      </c>
      <c r="U20" s="7" t="s">
        <v>53</v>
      </c>
      <c r="V20" s="7" t="s">
        <v>116</v>
      </c>
    </row>
    <row r="21" spans="1:22" x14ac:dyDescent="0.25">
      <c r="A21" s="19" t="str">
        <f t="shared" si="0"/>
        <v>COMPLETO</v>
      </c>
      <c r="B21" s="20" t="s">
        <v>181</v>
      </c>
      <c r="C21" s="17" t="s">
        <v>182</v>
      </c>
      <c r="D21" s="18" t="s">
        <v>220</v>
      </c>
      <c r="E21" s="18" t="s">
        <v>221</v>
      </c>
      <c r="F21" s="7" t="s">
        <v>53</v>
      </c>
      <c r="G21" s="7" t="s">
        <v>53</v>
      </c>
      <c r="H21" s="7" t="s">
        <v>53</v>
      </c>
      <c r="I21" s="7" t="s">
        <v>9</v>
      </c>
      <c r="J21" s="11" t="s">
        <v>9</v>
      </c>
      <c r="K21" s="11" t="s">
        <v>9</v>
      </c>
      <c r="L21" s="7" t="s">
        <v>9</v>
      </c>
      <c r="M21" s="11" t="s">
        <v>9</v>
      </c>
      <c r="N21" s="11" t="s">
        <v>9</v>
      </c>
      <c r="O21" s="11" t="s">
        <v>9</v>
      </c>
      <c r="P21" s="7" t="s">
        <v>9</v>
      </c>
      <c r="Q21" s="8" t="s">
        <v>9</v>
      </c>
      <c r="R21" s="7" t="s">
        <v>9</v>
      </c>
      <c r="S21" s="7" t="s">
        <v>9</v>
      </c>
      <c r="T21" s="12" t="s">
        <v>9</v>
      </c>
      <c r="U21" s="7" t="s">
        <v>53</v>
      </c>
      <c r="V21" s="7" t="s">
        <v>116</v>
      </c>
    </row>
    <row r="22" spans="1:22" x14ac:dyDescent="0.25">
      <c r="A22" s="19" t="str">
        <f t="shared" si="0"/>
        <v>COMPLETO</v>
      </c>
      <c r="B22" s="20" t="s">
        <v>183</v>
      </c>
      <c r="C22" s="17" t="s">
        <v>184</v>
      </c>
      <c r="D22" s="18" t="s">
        <v>222</v>
      </c>
      <c r="E22" s="18" t="s">
        <v>223</v>
      </c>
      <c r="F22" s="7" t="s">
        <v>53</v>
      </c>
      <c r="G22" s="7" t="s">
        <v>53</v>
      </c>
      <c r="H22" s="7" t="s">
        <v>53</v>
      </c>
      <c r="I22" s="7" t="s">
        <v>53</v>
      </c>
      <c r="J22" s="11" t="s">
        <v>9</v>
      </c>
      <c r="K22" s="11" t="s">
        <v>9</v>
      </c>
      <c r="L22" s="7" t="s">
        <v>9</v>
      </c>
      <c r="M22" s="11" t="s">
        <v>9</v>
      </c>
      <c r="N22" s="11" t="s">
        <v>9</v>
      </c>
      <c r="O22" s="11" t="s">
        <v>9</v>
      </c>
      <c r="P22" s="7" t="s">
        <v>9</v>
      </c>
      <c r="Q22" s="8" t="s">
        <v>9</v>
      </c>
      <c r="R22" s="7" t="s">
        <v>9</v>
      </c>
      <c r="S22" s="7" t="s">
        <v>9</v>
      </c>
      <c r="T22" s="12" t="s">
        <v>9</v>
      </c>
      <c r="U22" s="7" t="s">
        <v>53</v>
      </c>
      <c r="V22" s="7" t="s">
        <v>116</v>
      </c>
    </row>
    <row r="23" spans="1:22" x14ac:dyDescent="0.25">
      <c r="A23" s="19" t="str">
        <f t="shared" si="0"/>
        <v>COMPLETO</v>
      </c>
      <c r="B23" s="20" t="s">
        <v>185</v>
      </c>
      <c r="C23" s="17" t="s">
        <v>186</v>
      </c>
      <c r="D23" s="18" t="s">
        <v>224</v>
      </c>
      <c r="E23" s="18" t="s">
        <v>225</v>
      </c>
      <c r="F23" s="7" t="s">
        <v>53</v>
      </c>
      <c r="G23" s="7" t="s">
        <v>53</v>
      </c>
      <c r="H23" s="7" t="s">
        <v>53</v>
      </c>
      <c r="I23" s="7" t="s">
        <v>9</v>
      </c>
      <c r="J23" s="11" t="s">
        <v>53</v>
      </c>
      <c r="K23" s="11" t="s">
        <v>53</v>
      </c>
      <c r="L23" s="7" t="s">
        <v>9</v>
      </c>
      <c r="M23" s="11" t="s">
        <v>9</v>
      </c>
      <c r="N23" s="11" t="s">
        <v>9</v>
      </c>
      <c r="O23" s="11" t="s">
        <v>9</v>
      </c>
      <c r="P23" s="7" t="s">
        <v>9</v>
      </c>
      <c r="Q23" s="8" t="s">
        <v>9</v>
      </c>
      <c r="R23" s="7" t="s">
        <v>9</v>
      </c>
      <c r="S23" s="7" t="s">
        <v>9</v>
      </c>
      <c r="T23" s="12" t="s">
        <v>9</v>
      </c>
      <c r="U23" s="7" t="s">
        <v>53</v>
      </c>
      <c r="V23" s="7" t="s">
        <v>116</v>
      </c>
    </row>
    <row r="24" spans="1:22" x14ac:dyDescent="0.25">
      <c r="A24" s="19" t="str">
        <f t="shared" si="0"/>
        <v>COMPLETO</v>
      </c>
      <c r="B24" s="20" t="s">
        <v>187</v>
      </c>
      <c r="C24" s="17" t="s">
        <v>188</v>
      </c>
      <c r="D24" s="18" t="s">
        <v>226</v>
      </c>
      <c r="E24" s="18" t="s">
        <v>227</v>
      </c>
      <c r="F24" s="7" t="s">
        <v>53</v>
      </c>
      <c r="G24" s="7" t="s">
        <v>53</v>
      </c>
      <c r="H24" s="7" t="s">
        <v>53</v>
      </c>
      <c r="I24" s="7" t="s">
        <v>9</v>
      </c>
      <c r="J24" s="11" t="s">
        <v>9</v>
      </c>
      <c r="K24" s="11" t="s">
        <v>9</v>
      </c>
      <c r="L24" s="7" t="s">
        <v>9</v>
      </c>
      <c r="M24" s="11" t="s">
        <v>9</v>
      </c>
      <c r="N24" s="11" t="s">
        <v>9</v>
      </c>
      <c r="O24" s="11" t="s">
        <v>9</v>
      </c>
      <c r="P24" s="7" t="s">
        <v>9</v>
      </c>
      <c r="Q24" s="8" t="s">
        <v>9</v>
      </c>
      <c r="R24" s="7" t="s">
        <v>9</v>
      </c>
      <c r="S24" s="7" t="s">
        <v>9</v>
      </c>
      <c r="T24" s="12" t="s">
        <v>9</v>
      </c>
      <c r="U24" s="7" t="s">
        <v>53</v>
      </c>
      <c r="V24" s="7" t="s">
        <v>116</v>
      </c>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A3:A4"/>
    <mergeCell ref="B3:B4"/>
    <mergeCell ref="U3:U4"/>
    <mergeCell ref="V3:V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F4:T4 G3:T3 F5:V44">
    <cfRule type="cellIs" dxfId="833" priority="24" operator="equal">
      <formula>"F"</formula>
    </cfRule>
    <cfRule type="cellIs" dxfId="832" priority="25" operator="equal">
      <formula>"OK"</formula>
    </cfRule>
    <cfRule type="cellIs" dxfId="831" priority="26" operator="between">
      <formula>6</formula>
      <formula>18</formula>
    </cfRule>
  </conditionalFormatting>
  <conditionalFormatting sqref="C4 B3:C3 E3:E4 A1:E2 A5:E1048576">
    <cfRule type="expression" dxfId="830" priority="22">
      <formula>$A1="FALTA"</formula>
    </cfRule>
    <cfRule type="expression" dxfId="829" priority="23">
      <formula>$A1="COMPLETO"</formula>
    </cfRule>
  </conditionalFormatting>
  <conditionalFormatting sqref="D3:D4">
    <cfRule type="expression" dxfId="828" priority="12">
      <formula>$A3="FALTA"</formula>
    </cfRule>
    <cfRule type="expression" dxfId="827" priority="13">
      <formula>$A3="COMPLETO"</formula>
    </cfRule>
  </conditionalFormatting>
  <conditionalFormatting sqref="U3:V3">
    <cfRule type="cellIs" dxfId="826" priority="6" operator="equal">
      <formula>"F"</formula>
    </cfRule>
    <cfRule type="cellIs" dxfId="825" priority="7" operator="equal">
      <formula>"OK"</formula>
    </cfRule>
    <cfRule type="cellIs" dxfId="824" priority="8" operator="between">
      <formula>6</formula>
      <formula>18</formula>
    </cfRule>
  </conditionalFormatting>
  <conditionalFormatting sqref="F3">
    <cfRule type="cellIs" dxfId="823" priority="3" operator="equal">
      <formula>"F"</formula>
    </cfRule>
    <cfRule type="cellIs" dxfId="822" priority="4" operator="equal">
      <formula>"OK"</formula>
    </cfRule>
    <cfRule type="cellIs" dxfId="821" priority="5" operator="between">
      <formula>6</formula>
      <formula>18</formula>
    </cfRule>
  </conditionalFormatting>
  <conditionalFormatting sqref="A3">
    <cfRule type="expression" dxfId="820" priority="1">
      <formula>$A3="FALTA"</formula>
    </cfRule>
    <cfRule type="expression" dxfId="819"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I4 T3:T4 M3:M4 P4 R3:R4 F5:O4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6">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ZAlberche 17</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COMPLETO</v>
      </c>
      <c r="B3" s="385" t="s">
        <v>116</v>
      </c>
      <c r="C3" s="23" t="s">
        <v>229</v>
      </c>
      <c r="D3" s="29" t="s">
        <v>5</v>
      </c>
      <c r="E3" s="10" t="s">
        <v>228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1"/>
      <c r="V3" s="381"/>
    </row>
    <row r="4" spans="1:22" x14ac:dyDescent="0.25">
      <c r="A4" s="384"/>
      <c r="B4" s="386"/>
      <c r="C4" s="23" t="s">
        <v>1260</v>
      </c>
      <c r="D4" s="29" t="s">
        <v>6</v>
      </c>
      <c r="E4" s="10" t="s">
        <v>1261</v>
      </c>
      <c r="F4" s="30">
        <f>COUNTIF(A5:A44,"*COMPLETO*")/COUNTA(A5:A44)</f>
        <v>0.8</v>
      </c>
      <c r="G4" s="24"/>
      <c r="H4" s="24" t="s">
        <v>18</v>
      </c>
      <c r="I4" s="11" t="s">
        <v>53</v>
      </c>
      <c r="J4" s="24"/>
      <c r="K4" s="24"/>
      <c r="L4" s="24" t="s">
        <v>23</v>
      </c>
      <c r="M4" s="11" t="s">
        <v>53</v>
      </c>
      <c r="N4" s="24"/>
      <c r="O4" s="24"/>
      <c r="P4" s="11"/>
      <c r="Q4" s="24" t="s">
        <v>26</v>
      </c>
      <c r="R4" s="11" t="s">
        <v>53</v>
      </c>
      <c r="S4" s="24" t="s">
        <v>19</v>
      </c>
      <c r="T4" s="11" t="s">
        <v>53</v>
      </c>
      <c r="U4" s="382"/>
      <c r="V4" s="382"/>
    </row>
    <row r="5" spans="1:22" ht="15" customHeight="1" x14ac:dyDescent="0.25">
      <c r="A5" s="19" t="str">
        <f>IF(COUNTIF(F5:V5,"F")&gt;0,"FALTA","COMPLETO")</f>
        <v>COMPLETO</v>
      </c>
      <c r="B5" s="20" t="s">
        <v>231</v>
      </c>
      <c r="C5" s="17" t="s">
        <v>1255</v>
      </c>
      <c r="D5" s="18" t="s">
        <v>1398</v>
      </c>
      <c r="E5" s="18" t="s">
        <v>1742</v>
      </c>
      <c r="F5" s="7" t="s">
        <v>53</v>
      </c>
      <c r="G5" s="7" t="s">
        <v>53</v>
      </c>
      <c r="H5" s="7" t="s">
        <v>53</v>
      </c>
      <c r="I5" s="7" t="s">
        <v>9</v>
      </c>
      <c r="J5" s="11" t="s">
        <v>9</v>
      </c>
      <c r="K5" s="11" t="s">
        <v>9</v>
      </c>
      <c r="L5" s="7" t="s">
        <v>9</v>
      </c>
      <c r="M5" s="11" t="s">
        <v>9</v>
      </c>
      <c r="N5" s="11" t="s">
        <v>9</v>
      </c>
      <c r="O5" s="11" t="s">
        <v>9</v>
      </c>
      <c r="P5" s="7" t="s">
        <v>9</v>
      </c>
      <c r="Q5" s="8" t="s">
        <v>7</v>
      </c>
      <c r="R5" s="7" t="s">
        <v>9</v>
      </c>
      <c r="S5" s="7" t="s">
        <v>9</v>
      </c>
      <c r="T5" s="12" t="s">
        <v>9</v>
      </c>
      <c r="U5" s="7"/>
      <c r="V5" s="7"/>
    </row>
    <row r="6" spans="1:22" ht="15" customHeight="1" x14ac:dyDescent="0.25">
      <c r="A6" s="19" t="str">
        <f t="shared" ref="A6:A14" si="0">IF(COUNTIF(F6:V6,"F")&gt;0,"FALTA","COMPLETO")</f>
        <v>COMPLETO</v>
      </c>
      <c r="B6" s="20" t="s">
        <v>232</v>
      </c>
      <c r="C6" s="17" t="s">
        <v>1254</v>
      </c>
      <c r="D6" s="18" t="s">
        <v>1399</v>
      </c>
      <c r="E6" s="18" t="s">
        <v>1319</v>
      </c>
      <c r="F6" s="7" t="s">
        <v>53</v>
      </c>
      <c r="G6" s="7" t="s">
        <v>53</v>
      </c>
      <c r="H6" s="7" t="s">
        <v>53</v>
      </c>
      <c r="I6" s="7" t="s">
        <v>7</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233</v>
      </c>
      <c r="C7" s="17" t="s">
        <v>1257</v>
      </c>
      <c r="D7" s="18" t="s">
        <v>1401</v>
      </c>
      <c r="E7" s="18" t="s">
        <v>2419</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FALTA</v>
      </c>
      <c r="B8" s="20" t="s">
        <v>234</v>
      </c>
      <c r="C8" s="17" t="s">
        <v>1256</v>
      </c>
      <c r="D8" s="18" t="s">
        <v>2446</v>
      </c>
      <c r="E8" s="18" t="s">
        <v>2595</v>
      </c>
      <c r="F8" s="7" t="s">
        <v>8</v>
      </c>
      <c r="G8" s="7" t="s">
        <v>53</v>
      </c>
      <c r="H8" s="7" t="s">
        <v>53</v>
      </c>
      <c r="I8" s="7" t="s">
        <v>9</v>
      </c>
      <c r="J8" s="11" t="s">
        <v>53</v>
      </c>
      <c r="K8" s="11" t="s">
        <v>53</v>
      </c>
      <c r="L8" s="7" t="s">
        <v>9</v>
      </c>
      <c r="M8" s="11" t="s">
        <v>9</v>
      </c>
      <c r="N8" s="11" t="s">
        <v>9</v>
      </c>
      <c r="O8" s="11" t="s">
        <v>9</v>
      </c>
      <c r="P8" s="7" t="s">
        <v>9</v>
      </c>
      <c r="Q8" s="8" t="s">
        <v>7</v>
      </c>
      <c r="R8" s="7" t="s">
        <v>9</v>
      </c>
      <c r="S8" s="7" t="s">
        <v>9</v>
      </c>
      <c r="T8" s="12" t="s">
        <v>9</v>
      </c>
      <c r="U8" s="7"/>
      <c r="V8" s="7"/>
    </row>
    <row r="9" spans="1:22" x14ac:dyDescent="0.25">
      <c r="A9" s="19" t="str">
        <f t="shared" si="0"/>
        <v>COMPLETO</v>
      </c>
      <c r="B9" s="20" t="s">
        <v>235</v>
      </c>
      <c r="C9" s="17" t="s">
        <v>1258</v>
      </c>
      <c r="D9" s="18" t="s">
        <v>1403</v>
      </c>
      <c r="E9" s="18" t="s">
        <v>1402</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236</v>
      </c>
      <c r="C10" s="17" t="s">
        <v>2439</v>
      </c>
      <c r="D10" s="18" t="s">
        <v>1404</v>
      </c>
      <c r="E10" s="18" t="s">
        <v>2438</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c r="V10" s="7"/>
    </row>
    <row r="11" spans="1:22" x14ac:dyDescent="0.25">
      <c r="A11" s="19" t="str">
        <f t="shared" si="0"/>
        <v>COMPLETO</v>
      </c>
      <c r="B11" s="20" t="s">
        <v>237</v>
      </c>
      <c r="C11" s="17" t="s">
        <v>1260</v>
      </c>
      <c r="D11" s="18" t="s">
        <v>1405</v>
      </c>
      <c r="E11" s="18" t="s">
        <v>2418</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238</v>
      </c>
      <c r="C12" s="17" t="s">
        <v>1259</v>
      </c>
      <c r="D12" s="18" t="s">
        <v>1400</v>
      </c>
      <c r="E12" s="18" t="s">
        <v>1406</v>
      </c>
      <c r="F12" s="7" t="s">
        <v>53</v>
      </c>
      <c r="G12" s="7" t="s">
        <v>53</v>
      </c>
      <c r="H12" s="7" t="s">
        <v>53</v>
      </c>
      <c r="I12" s="7" t="s">
        <v>9</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FALTA</v>
      </c>
      <c r="B13" s="20" t="s">
        <v>239</v>
      </c>
      <c r="C13" s="17" t="s">
        <v>2416</v>
      </c>
      <c r="D13" s="18" t="s">
        <v>1407</v>
      </c>
      <c r="E13" s="18" t="s">
        <v>2598</v>
      </c>
      <c r="F13" s="7" t="s">
        <v>8</v>
      </c>
      <c r="G13" s="7" t="s">
        <v>8</v>
      </c>
      <c r="H13" s="7" t="s">
        <v>53</v>
      </c>
      <c r="I13" s="7" t="s">
        <v>9</v>
      </c>
      <c r="J13" s="11" t="s">
        <v>9</v>
      </c>
      <c r="K13" s="11" t="s">
        <v>9</v>
      </c>
      <c r="L13" s="7" t="s">
        <v>9</v>
      </c>
      <c r="M13" s="11" t="s">
        <v>9</v>
      </c>
      <c r="N13" s="11" t="s">
        <v>9</v>
      </c>
      <c r="O13" s="11" t="s">
        <v>9</v>
      </c>
      <c r="P13" s="7" t="s">
        <v>9</v>
      </c>
      <c r="Q13" s="8" t="s">
        <v>7</v>
      </c>
      <c r="R13" s="7" t="s">
        <v>9</v>
      </c>
      <c r="S13" s="7" t="s">
        <v>9</v>
      </c>
      <c r="T13" s="12" t="s">
        <v>9</v>
      </c>
      <c r="U13" s="7"/>
      <c r="V13" s="7"/>
    </row>
    <row r="14" spans="1:22" x14ac:dyDescent="0.25">
      <c r="A14" s="19" t="str">
        <f t="shared" si="0"/>
        <v>COMPLETO</v>
      </c>
      <c r="B14" s="20" t="s">
        <v>240</v>
      </c>
      <c r="C14" s="17" t="s">
        <v>1262</v>
      </c>
      <c r="D14" s="18" t="s">
        <v>2586</v>
      </c>
      <c r="E14" s="18" t="s">
        <v>2585</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 ref="R1:R2"/>
    <mergeCell ref="S1:S2"/>
    <mergeCell ref="T1:T2"/>
    <mergeCell ref="U1:U2"/>
    <mergeCell ref="V1:V2"/>
  </mergeCells>
  <conditionalFormatting sqref="G3:T4 F5:V44">
    <cfRule type="cellIs" dxfId="818" priority="33" operator="equal">
      <formula>"F"</formula>
    </cfRule>
    <cfRule type="cellIs" dxfId="817" priority="34" operator="equal">
      <formula>"OK"</formula>
    </cfRule>
    <cfRule type="cellIs" dxfId="816" priority="35" operator="between">
      <formula>6</formula>
      <formula>18</formula>
    </cfRule>
  </conditionalFormatting>
  <conditionalFormatting sqref="C1:E1 A2:E2 C3:C4 E3:E4 A5:E1048576">
    <cfRule type="expression" dxfId="815" priority="31">
      <formula>$A1="FALTA"</formula>
    </cfRule>
    <cfRule type="expression" dxfId="814" priority="32">
      <formula>$A1="COMPLETO"</formula>
    </cfRule>
  </conditionalFormatting>
  <conditionalFormatting sqref="B3">
    <cfRule type="expression" dxfId="813" priority="19">
      <formula>$A3="FALTA"</formula>
    </cfRule>
    <cfRule type="expression" dxfId="812" priority="20">
      <formula>$A3="COMPLETO"</formula>
    </cfRule>
  </conditionalFormatting>
  <conditionalFormatting sqref="D3:D4">
    <cfRule type="expression" dxfId="811" priority="17">
      <formula>$A3="FALTA"</formula>
    </cfRule>
    <cfRule type="expression" dxfId="810" priority="18">
      <formula>$A3="COMPLETO"</formula>
    </cfRule>
  </conditionalFormatting>
  <conditionalFormatting sqref="F4">
    <cfRule type="cellIs" dxfId="809" priority="14" operator="equal">
      <formula>"F"</formula>
    </cfRule>
    <cfRule type="cellIs" dxfId="808" priority="15" operator="equal">
      <formula>"OK"</formula>
    </cfRule>
    <cfRule type="cellIs" dxfId="807" priority="16" operator="between">
      <formula>6</formula>
      <formula>18</formula>
    </cfRule>
  </conditionalFormatting>
  <conditionalFormatting sqref="A1:B1">
    <cfRule type="expression" dxfId="806" priority="12">
      <formula>$A1="FALTA"</formula>
    </cfRule>
    <cfRule type="expression" dxfId="805" priority="13">
      <formula>$A1="COMPLETO"</formula>
    </cfRule>
  </conditionalFormatting>
  <conditionalFormatting sqref="U3:V3">
    <cfRule type="cellIs" dxfId="804" priority="6" operator="equal">
      <formula>"F"</formula>
    </cfRule>
    <cfRule type="cellIs" dxfId="803" priority="7" operator="equal">
      <formula>"OK"</formula>
    </cfRule>
    <cfRule type="cellIs" dxfId="802" priority="8" operator="between">
      <formula>6</formula>
      <formula>18</formula>
    </cfRule>
  </conditionalFormatting>
  <conditionalFormatting sqref="F3">
    <cfRule type="cellIs" dxfId="801" priority="3" operator="equal">
      <formula>"F"</formula>
    </cfRule>
    <cfRule type="cellIs" dxfId="800" priority="4" operator="equal">
      <formula>"OK"</formula>
    </cfRule>
    <cfRule type="cellIs" dxfId="799" priority="5" operator="between">
      <formula>6</formula>
      <formula>18</formula>
    </cfRule>
  </conditionalFormatting>
  <conditionalFormatting sqref="A3">
    <cfRule type="expression" dxfId="798" priority="1">
      <formula>$A3="FALTA"</formula>
    </cfRule>
    <cfRule type="expression" dxfId="797"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Q5:U44 I4 T3:T4 M3:M4 P4 R3:R4 F5:O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2">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ZBetis 20</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COMPLETO</v>
      </c>
      <c r="B3" s="385" t="s">
        <v>116</v>
      </c>
      <c r="C3" s="23" t="s">
        <v>1333</v>
      </c>
      <c r="D3" s="29" t="s">
        <v>5</v>
      </c>
      <c r="E3" s="10" t="s">
        <v>1417</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1" t="s">
        <v>53</v>
      </c>
      <c r="V3" s="381" t="s">
        <v>53</v>
      </c>
    </row>
    <row r="4" spans="1:22" x14ac:dyDescent="0.25">
      <c r="A4" s="384"/>
      <c r="B4" s="386"/>
      <c r="C4" s="23" t="s">
        <v>1333</v>
      </c>
      <c r="D4" s="29" t="s">
        <v>6</v>
      </c>
      <c r="E4" s="10" t="s">
        <v>1430</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2"/>
      <c r="V4" s="382"/>
    </row>
    <row r="5" spans="1:22" ht="15" customHeight="1" x14ac:dyDescent="0.25">
      <c r="A5" s="19" t="str">
        <f t="shared" ref="A5:A10" si="0">IF(COUNTIF(F5:V5,"F")&gt;0,"FALTA","COMPLETO")</f>
        <v>COMPLETO</v>
      </c>
      <c r="B5" s="20" t="s">
        <v>700</v>
      </c>
      <c r="C5" s="17" t="s">
        <v>1411</v>
      </c>
      <c r="D5" s="18" t="s">
        <v>1418</v>
      </c>
      <c r="E5" s="18" t="s">
        <v>1424</v>
      </c>
      <c r="F5" s="7" t="s">
        <v>53</v>
      </c>
      <c r="G5" s="7" t="s">
        <v>53</v>
      </c>
      <c r="H5" s="7" t="s">
        <v>53</v>
      </c>
      <c r="I5" s="7" t="s">
        <v>9</v>
      </c>
      <c r="J5" s="11" t="s">
        <v>9</v>
      </c>
      <c r="K5" s="11" t="s">
        <v>9</v>
      </c>
      <c r="L5" s="7" t="s">
        <v>9</v>
      </c>
      <c r="M5" s="11" t="s">
        <v>53</v>
      </c>
      <c r="N5" s="11" t="s">
        <v>53</v>
      </c>
      <c r="O5" s="11" t="s">
        <v>53</v>
      </c>
      <c r="P5" s="7" t="s">
        <v>9</v>
      </c>
      <c r="Q5" s="8" t="s">
        <v>7</v>
      </c>
      <c r="R5" s="7" t="s">
        <v>9</v>
      </c>
      <c r="S5" s="7" t="s">
        <v>9</v>
      </c>
      <c r="T5" s="12" t="s">
        <v>9</v>
      </c>
      <c r="U5" s="7" t="s">
        <v>53</v>
      </c>
      <c r="V5" s="7" t="s">
        <v>53</v>
      </c>
    </row>
    <row r="6" spans="1:22" ht="15" customHeight="1" x14ac:dyDescent="0.25">
      <c r="A6" s="19" t="str">
        <f t="shared" si="0"/>
        <v>COMPLETO</v>
      </c>
      <c r="B6" s="20" t="s">
        <v>702</v>
      </c>
      <c r="C6" s="17" t="s">
        <v>1412</v>
      </c>
      <c r="D6" s="18" t="s">
        <v>1419</v>
      </c>
      <c r="E6" s="18" t="s">
        <v>1425</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 t="shared" si="0"/>
        <v>COMPLETO</v>
      </c>
      <c r="B7" s="20" t="s">
        <v>704</v>
      </c>
      <c r="C7" s="17" t="s">
        <v>1413</v>
      </c>
      <c r="D7" s="18" t="s">
        <v>1420</v>
      </c>
      <c r="E7" s="18" t="s">
        <v>1426</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53</v>
      </c>
      <c r="V7" s="7" t="s">
        <v>53</v>
      </c>
    </row>
    <row r="8" spans="1:22" x14ac:dyDescent="0.25">
      <c r="A8" s="19" t="str">
        <f t="shared" si="0"/>
        <v>COMPLETO</v>
      </c>
      <c r="B8" s="20" t="s">
        <v>706</v>
      </c>
      <c r="C8" s="17" t="s">
        <v>1414</v>
      </c>
      <c r="D8" s="18" t="s">
        <v>1421</v>
      </c>
      <c r="E8" s="18" t="s">
        <v>1427</v>
      </c>
      <c r="F8" s="7" t="s">
        <v>53</v>
      </c>
      <c r="G8" s="7" t="s">
        <v>53</v>
      </c>
      <c r="H8" s="7" t="s">
        <v>53</v>
      </c>
      <c r="I8" s="7" t="s">
        <v>53</v>
      </c>
      <c r="J8" s="11" t="s">
        <v>9</v>
      </c>
      <c r="K8" s="11" t="s">
        <v>9</v>
      </c>
      <c r="L8" s="7" t="s">
        <v>9</v>
      </c>
      <c r="M8" s="11" t="s">
        <v>9</v>
      </c>
      <c r="N8" s="11" t="s">
        <v>9</v>
      </c>
      <c r="O8" s="11" t="s">
        <v>9</v>
      </c>
      <c r="P8" s="7" t="s">
        <v>9</v>
      </c>
      <c r="Q8" s="8" t="s">
        <v>7</v>
      </c>
      <c r="R8" s="7" t="s">
        <v>9</v>
      </c>
      <c r="S8" s="7" t="s">
        <v>9</v>
      </c>
      <c r="T8" s="12" t="s">
        <v>9</v>
      </c>
      <c r="U8" s="7" t="s">
        <v>53</v>
      </c>
      <c r="V8" s="7" t="s">
        <v>53</v>
      </c>
    </row>
    <row r="9" spans="1:22" x14ac:dyDescent="0.25">
      <c r="A9" s="19" t="str">
        <f t="shared" si="0"/>
        <v>COMPLETO</v>
      </c>
      <c r="B9" s="20" t="s">
        <v>708</v>
      </c>
      <c r="C9" s="17" t="s">
        <v>1415</v>
      </c>
      <c r="D9" s="18" t="s">
        <v>1422</v>
      </c>
      <c r="E9" s="18" t="s">
        <v>1428</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710</v>
      </c>
      <c r="C10" s="17" t="s">
        <v>1416</v>
      </c>
      <c r="D10" s="18" t="s">
        <v>1423</v>
      </c>
      <c r="E10" s="18" t="s">
        <v>1429</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t="s">
        <v>53</v>
      </c>
      <c r="V10" s="7" t="s">
        <v>53</v>
      </c>
    </row>
    <row r="11" spans="1:22" x14ac:dyDescent="0.25">
      <c r="A11" s="19"/>
      <c r="B11" s="20"/>
      <c r="C11" s="17"/>
      <c r="D11" s="18"/>
      <c r="E11" s="18"/>
      <c r="F11" s="7"/>
      <c r="G11" s="7"/>
      <c r="H11" s="7"/>
      <c r="I11" s="7"/>
      <c r="J11" s="11"/>
      <c r="K11" s="11"/>
      <c r="L11" s="7"/>
      <c r="M11" s="11"/>
      <c r="N11" s="11"/>
      <c r="O11" s="11"/>
      <c r="P11" s="7"/>
      <c r="Q11" s="8"/>
      <c r="R11" s="7"/>
      <c r="S11" s="7"/>
      <c r="T11" s="12"/>
      <c r="U11" s="7"/>
      <c r="V11" s="7"/>
    </row>
    <row r="12" spans="1:22" x14ac:dyDescent="0.25">
      <c r="A12" s="19"/>
      <c r="B12" s="20"/>
      <c r="C12" s="17"/>
      <c r="D12" s="18"/>
      <c r="E12" s="18"/>
      <c r="F12" s="7"/>
      <c r="G12" s="7"/>
      <c r="H12" s="7"/>
      <c r="I12" s="7"/>
      <c r="J12" s="11"/>
      <c r="K12" s="11"/>
      <c r="L12" s="7"/>
      <c r="M12" s="11"/>
      <c r="N12" s="11"/>
      <c r="O12" s="11"/>
      <c r="P12" s="7"/>
      <c r="Q12" s="8"/>
      <c r="R12" s="7"/>
      <c r="S12" s="7"/>
      <c r="T12" s="12"/>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 ref="R1:R2"/>
    <mergeCell ref="S1:S2"/>
    <mergeCell ref="T1:T2"/>
    <mergeCell ref="U1:U2"/>
    <mergeCell ref="V1:V2"/>
  </mergeCells>
  <conditionalFormatting sqref="G3:T4 F5:V44">
    <cfRule type="cellIs" dxfId="796" priority="20" operator="equal">
      <formula>"F"</formula>
    </cfRule>
    <cfRule type="cellIs" dxfId="795" priority="21" operator="equal">
      <formula>"OK"</formula>
    </cfRule>
    <cfRule type="cellIs" dxfId="794" priority="22" operator="between">
      <formula>6</formula>
      <formula>18</formula>
    </cfRule>
  </conditionalFormatting>
  <conditionalFormatting sqref="C1:E1 A2:E2 C3:C4 E3:E4 A5:E1048576">
    <cfRule type="expression" dxfId="793" priority="18">
      <formula>$A1="FALTA"</formula>
    </cfRule>
    <cfRule type="expression" dxfId="792" priority="19">
      <formula>$A1="COMPLETO"</formula>
    </cfRule>
  </conditionalFormatting>
  <conditionalFormatting sqref="D3:D4">
    <cfRule type="expression" dxfId="791" priority="14">
      <formula>$A3="FALTA"</formula>
    </cfRule>
    <cfRule type="expression" dxfId="790" priority="15">
      <formula>$A3="COMPLETO"</formula>
    </cfRule>
  </conditionalFormatting>
  <conditionalFormatting sqref="B3">
    <cfRule type="expression" dxfId="789" priority="16">
      <formula>$A3="FALTA"</formula>
    </cfRule>
    <cfRule type="expression" dxfId="788" priority="17">
      <formula>$A3="COMPLETO"</formula>
    </cfRule>
  </conditionalFormatting>
  <conditionalFormatting sqref="F4">
    <cfRule type="cellIs" dxfId="787" priority="11" operator="equal">
      <formula>"F"</formula>
    </cfRule>
    <cfRule type="cellIs" dxfId="786" priority="12" operator="equal">
      <formula>"OK"</formula>
    </cfRule>
    <cfRule type="cellIs" dxfId="785" priority="13" operator="between">
      <formula>6</formula>
      <formula>18</formula>
    </cfRule>
  </conditionalFormatting>
  <conditionalFormatting sqref="A1:B1">
    <cfRule type="expression" dxfId="784" priority="9">
      <formula>$A1="FALTA"</formula>
    </cfRule>
    <cfRule type="expression" dxfId="783" priority="10">
      <formula>$A1="COMPLETO"</formula>
    </cfRule>
  </conditionalFormatting>
  <conditionalFormatting sqref="U3:V3">
    <cfRule type="cellIs" dxfId="782" priority="6" operator="equal">
      <formula>"F"</formula>
    </cfRule>
    <cfRule type="cellIs" dxfId="781" priority="7" operator="equal">
      <formula>"OK"</formula>
    </cfRule>
    <cfRule type="cellIs" dxfId="780" priority="8" operator="between">
      <formula>6</formula>
      <formula>18</formula>
    </cfRule>
  </conditionalFormatting>
  <conditionalFormatting sqref="F3">
    <cfRule type="cellIs" dxfId="779" priority="3" operator="equal">
      <formula>"F"</formula>
    </cfRule>
    <cfRule type="cellIs" dxfId="778" priority="4" operator="equal">
      <formula>"OK"</formula>
    </cfRule>
    <cfRule type="cellIs" dxfId="777" priority="5" operator="between">
      <formula>6</formula>
      <formula>18</formula>
    </cfRule>
  </conditionalFormatting>
  <conditionalFormatting sqref="A3">
    <cfRule type="expression" dxfId="776" priority="1">
      <formula>$A3="FALTA"</formula>
    </cfRule>
    <cfRule type="expression" dxfId="775"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8">
    <tabColor rgb="FF004079"/>
    <outlinePr summaryBelow="0" summaryRight="0"/>
  </sheetPr>
  <dimension ref="A1:V44"/>
  <sheetViews>
    <sheetView zoomScaleNormal="100" workbookViewId="0">
      <pane ySplit="2" topLeftCell="A11"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ZCiudad de Carcagente 2</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COMPLETO</v>
      </c>
      <c r="B3" s="385" t="s">
        <v>116</v>
      </c>
      <c r="C3" s="23" t="s">
        <v>147</v>
      </c>
      <c r="D3" s="29" t="s">
        <v>5</v>
      </c>
      <c r="E3" s="10" t="s">
        <v>148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1"/>
      <c r="V3" s="381"/>
    </row>
    <row r="4" spans="1:22" x14ac:dyDescent="0.25">
      <c r="A4" s="384"/>
      <c r="B4" s="386"/>
      <c r="C4" s="23" t="s">
        <v>29</v>
      </c>
      <c r="D4" s="29" t="s">
        <v>6</v>
      </c>
      <c r="E4" s="10" t="s">
        <v>149</v>
      </c>
      <c r="F4" s="30">
        <f>COUNTIF(A5:A44,"*COMPLETO*")/COUNTA(A5:A44)</f>
        <v>1</v>
      </c>
      <c r="G4" s="24"/>
      <c r="H4" s="24" t="s">
        <v>18</v>
      </c>
      <c r="I4" s="11" t="s">
        <v>53</v>
      </c>
      <c r="J4" s="24"/>
      <c r="K4" s="24"/>
      <c r="L4" s="24" t="s">
        <v>23</v>
      </c>
      <c r="M4" s="11" t="s">
        <v>53</v>
      </c>
      <c r="N4" s="24"/>
      <c r="O4" s="24"/>
      <c r="P4" s="11"/>
      <c r="Q4" s="24" t="s">
        <v>26</v>
      </c>
      <c r="R4" s="11" t="s">
        <v>7</v>
      </c>
      <c r="S4" s="24" t="s">
        <v>19</v>
      </c>
      <c r="T4" s="11" t="s">
        <v>53</v>
      </c>
      <c r="U4" s="382"/>
      <c r="V4" s="382"/>
    </row>
    <row r="5" spans="1:22" ht="15" customHeight="1" x14ac:dyDescent="0.25">
      <c r="A5" s="19" t="str">
        <f>IF(COUNTIF(F5:V5,"F")&gt;0,"FALTA","COMPLETO")</f>
        <v>COMPLETO</v>
      </c>
      <c r="B5" s="20" t="s">
        <v>54</v>
      </c>
      <c r="C5" s="17" t="s">
        <v>55</v>
      </c>
      <c r="D5" s="18" t="s">
        <v>80</v>
      </c>
      <c r="E5" s="18" t="s">
        <v>1324</v>
      </c>
      <c r="F5" s="7" t="s">
        <v>53</v>
      </c>
      <c r="G5" s="7" t="s">
        <v>53</v>
      </c>
      <c r="H5" s="7" t="s">
        <v>53</v>
      </c>
      <c r="I5" s="7" t="s">
        <v>7</v>
      </c>
      <c r="J5" s="11" t="s">
        <v>9</v>
      </c>
      <c r="K5" s="11" t="s">
        <v>9</v>
      </c>
      <c r="L5" s="7" t="s">
        <v>9</v>
      </c>
      <c r="M5" s="11" t="s">
        <v>53</v>
      </c>
      <c r="N5" s="11" t="s">
        <v>7</v>
      </c>
      <c r="O5" s="11" t="s">
        <v>53</v>
      </c>
      <c r="P5" s="7" t="s">
        <v>9</v>
      </c>
      <c r="Q5" s="8" t="s">
        <v>7</v>
      </c>
      <c r="R5" s="7" t="s">
        <v>9</v>
      </c>
      <c r="S5" s="7" t="s">
        <v>9</v>
      </c>
      <c r="T5" s="12" t="s">
        <v>9</v>
      </c>
      <c r="U5" s="7"/>
      <c r="V5" s="7"/>
    </row>
    <row r="6" spans="1:22" ht="15" customHeight="1" x14ac:dyDescent="0.25">
      <c r="A6" s="19" t="str">
        <f t="shared" ref="A6:A28" si="0">IF(COUNTIF(F6:V6,"F")&gt;0,"FALTA","COMPLETO")</f>
        <v>COMPLETO</v>
      </c>
      <c r="B6" s="20" t="s">
        <v>30</v>
      </c>
      <c r="C6" s="17" t="s">
        <v>107</v>
      </c>
      <c r="D6" s="18" t="s">
        <v>81</v>
      </c>
      <c r="E6" s="18" t="s">
        <v>112</v>
      </c>
      <c r="F6" s="7" t="s">
        <v>53</v>
      </c>
      <c r="G6" s="7" t="s">
        <v>53</v>
      </c>
      <c r="H6" s="7" t="s">
        <v>53</v>
      </c>
      <c r="I6" s="7" t="s">
        <v>53</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31</v>
      </c>
      <c r="C7" s="17" t="s">
        <v>56</v>
      </c>
      <c r="D7" s="18" t="s">
        <v>82</v>
      </c>
      <c r="E7" s="18" t="s">
        <v>110</v>
      </c>
      <c r="F7" s="7" t="s">
        <v>53</v>
      </c>
      <c r="G7" s="7" t="s">
        <v>53</v>
      </c>
      <c r="H7" s="7" t="s">
        <v>53</v>
      </c>
      <c r="I7" s="7" t="s">
        <v>53</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32</v>
      </c>
      <c r="C8" s="17" t="s">
        <v>57</v>
      </c>
      <c r="D8" s="18" t="s">
        <v>75</v>
      </c>
      <c r="E8" s="26" t="s">
        <v>10</v>
      </c>
      <c r="F8" s="7" t="s">
        <v>7</v>
      </c>
      <c r="G8" s="7" t="s">
        <v>7</v>
      </c>
      <c r="H8" s="7" t="s">
        <v>53</v>
      </c>
      <c r="I8" s="7" t="s">
        <v>7</v>
      </c>
      <c r="J8" s="11" t="s">
        <v>9</v>
      </c>
      <c r="K8" s="11" t="s">
        <v>9</v>
      </c>
      <c r="L8" s="7" t="s">
        <v>9</v>
      </c>
      <c r="M8" s="11" t="s">
        <v>9</v>
      </c>
      <c r="N8" s="11" t="s">
        <v>9</v>
      </c>
      <c r="O8" s="11" t="s">
        <v>9</v>
      </c>
      <c r="P8" s="7" t="s">
        <v>9</v>
      </c>
      <c r="Q8" s="8" t="s">
        <v>7</v>
      </c>
      <c r="R8" s="7" t="s">
        <v>9</v>
      </c>
      <c r="S8" s="7" t="s">
        <v>9</v>
      </c>
      <c r="T8" s="12" t="s">
        <v>53</v>
      </c>
      <c r="U8" s="7"/>
      <c r="V8" s="7"/>
    </row>
    <row r="9" spans="1:22" x14ac:dyDescent="0.25">
      <c r="A9" s="19" t="str">
        <f t="shared" si="0"/>
        <v>COMPLETO</v>
      </c>
      <c r="B9" s="20" t="s">
        <v>33</v>
      </c>
      <c r="C9" s="17" t="s">
        <v>58</v>
      </c>
      <c r="D9" s="18" t="s">
        <v>83</v>
      </c>
      <c r="E9" s="18" t="s">
        <v>117</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34</v>
      </c>
      <c r="C10" s="17" t="s">
        <v>77</v>
      </c>
      <c r="D10" s="18" t="s">
        <v>84</v>
      </c>
      <c r="E10" s="18" t="s">
        <v>101</v>
      </c>
      <c r="F10" s="7" t="s">
        <v>53</v>
      </c>
      <c r="G10" s="7" t="s">
        <v>53</v>
      </c>
      <c r="H10" s="7" t="s">
        <v>53</v>
      </c>
      <c r="I10" s="7" t="s">
        <v>9</v>
      </c>
      <c r="J10" s="11" t="s">
        <v>53</v>
      </c>
      <c r="K10" s="11" t="s">
        <v>7</v>
      </c>
      <c r="L10" s="7" t="s">
        <v>9</v>
      </c>
      <c r="M10" s="11" t="s">
        <v>9</v>
      </c>
      <c r="N10" s="11" t="s">
        <v>9</v>
      </c>
      <c r="O10" s="11" t="s">
        <v>9</v>
      </c>
      <c r="P10" s="7">
        <v>18</v>
      </c>
      <c r="Q10" s="8" t="s">
        <v>53</v>
      </c>
      <c r="R10" s="7" t="s">
        <v>53</v>
      </c>
      <c r="S10" s="7" t="s">
        <v>53</v>
      </c>
      <c r="T10" s="12" t="s">
        <v>9</v>
      </c>
      <c r="U10" s="7"/>
      <c r="V10" s="7">
        <v>18</v>
      </c>
    </row>
    <row r="11" spans="1:22" x14ac:dyDescent="0.25">
      <c r="A11" s="19" t="str">
        <f t="shared" si="0"/>
        <v>COMPLETO</v>
      </c>
      <c r="B11" s="20" t="s">
        <v>35</v>
      </c>
      <c r="C11" s="17" t="s">
        <v>59</v>
      </c>
      <c r="D11" s="18" t="s">
        <v>85</v>
      </c>
      <c r="E11" s="18" t="s">
        <v>1275</v>
      </c>
      <c r="F11" s="7" t="s">
        <v>53</v>
      </c>
      <c r="G11" s="7" t="s">
        <v>53</v>
      </c>
      <c r="H11" s="7" t="s">
        <v>53</v>
      </c>
      <c r="I11" s="7" t="s">
        <v>9</v>
      </c>
      <c r="J11" s="11" t="s">
        <v>53</v>
      </c>
      <c r="K11" s="11" t="s">
        <v>53</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36</v>
      </c>
      <c r="C12" s="17" t="s">
        <v>60</v>
      </c>
      <c r="D12" s="18" t="s">
        <v>86</v>
      </c>
      <c r="E12" s="18" t="s">
        <v>118</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COMPLETO</v>
      </c>
      <c r="B13" s="20" t="s">
        <v>37</v>
      </c>
      <c r="C13" s="17" t="s">
        <v>61</v>
      </c>
      <c r="D13" s="18" t="s">
        <v>87</v>
      </c>
      <c r="E13" s="18" t="s">
        <v>113</v>
      </c>
      <c r="F13" s="7" t="s">
        <v>53</v>
      </c>
      <c r="G13" s="7" t="s">
        <v>53</v>
      </c>
      <c r="H13" s="7" t="s">
        <v>53</v>
      </c>
      <c r="I13" s="7" t="s">
        <v>53</v>
      </c>
      <c r="J13" s="11" t="s">
        <v>53</v>
      </c>
      <c r="K13" s="11" t="s">
        <v>9</v>
      </c>
      <c r="L13" s="7" t="s">
        <v>9</v>
      </c>
      <c r="M13" s="11" t="s">
        <v>9</v>
      </c>
      <c r="N13" s="11" t="s">
        <v>9</v>
      </c>
      <c r="O13" s="11" t="s">
        <v>9</v>
      </c>
      <c r="P13" s="7">
        <v>18</v>
      </c>
      <c r="Q13" s="8" t="s">
        <v>53</v>
      </c>
      <c r="R13" s="7" t="s">
        <v>53</v>
      </c>
      <c r="S13" s="7" t="s">
        <v>53</v>
      </c>
      <c r="T13" s="12" t="s">
        <v>9</v>
      </c>
      <c r="U13" s="7"/>
      <c r="V13" s="7">
        <v>18</v>
      </c>
    </row>
    <row r="14" spans="1:22" x14ac:dyDescent="0.25">
      <c r="A14" s="19" t="str">
        <f t="shared" si="0"/>
        <v>COMPLETO</v>
      </c>
      <c r="B14" s="20" t="s">
        <v>38</v>
      </c>
      <c r="C14" s="17" t="s">
        <v>62</v>
      </c>
      <c r="D14" s="18" t="s">
        <v>88</v>
      </c>
      <c r="E14" s="18" t="s">
        <v>79</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c r="V14" s="7"/>
    </row>
    <row r="15" spans="1:22" x14ac:dyDescent="0.25">
      <c r="A15" s="19" t="str">
        <f t="shared" si="0"/>
        <v>COMPLETO</v>
      </c>
      <c r="B15" s="20" t="s">
        <v>39</v>
      </c>
      <c r="C15" s="17" t="s">
        <v>63</v>
      </c>
      <c r="D15" s="18" t="s">
        <v>109</v>
      </c>
      <c r="E15" s="18" t="s">
        <v>108</v>
      </c>
      <c r="F15" s="7" t="s">
        <v>53</v>
      </c>
      <c r="G15" s="7" t="s">
        <v>53</v>
      </c>
      <c r="H15" s="7" t="s">
        <v>53</v>
      </c>
      <c r="I15" s="7" t="s">
        <v>53</v>
      </c>
      <c r="J15" s="11" t="s">
        <v>9</v>
      </c>
      <c r="K15" s="11" t="s">
        <v>9</v>
      </c>
      <c r="L15" s="7" t="s">
        <v>9</v>
      </c>
      <c r="M15" s="11" t="s">
        <v>9</v>
      </c>
      <c r="N15" s="11" t="s">
        <v>9</v>
      </c>
      <c r="O15" s="11" t="s">
        <v>9</v>
      </c>
      <c r="P15" s="7" t="s">
        <v>9</v>
      </c>
      <c r="Q15" s="8" t="s">
        <v>7</v>
      </c>
      <c r="R15" s="7" t="s">
        <v>9</v>
      </c>
      <c r="S15" s="7" t="s">
        <v>9</v>
      </c>
      <c r="T15" s="12" t="s">
        <v>9</v>
      </c>
      <c r="U15" s="7"/>
      <c r="V15" s="7"/>
    </row>
    <row r="16" spans="1:22" x14ac:dyDescent="0.25">
      <c r="A16" s="19" t="str">
        <f t="shared" si="0"/>
        <v>COMPLETO</v>
      </c>
      <c r="B16" s="20" t="s">
        <v>40</v>
      </c>
      <c r="C16" s="17" t="s">
        <v>64</v>
      </c>
      <c r="D16" s="18" t="s">
        <v>89</v>
      </c>
      <c r="E16" s="18" t="s">
        <v>102</v>
      </c>
      <c r="F16" s="7" t="s">
        <v>53</v>
      </c>
      <c r="G16" s="7" t="s">
        <v>53</v>
      </c>
      <c r="H16" s="7" t="s">
        <v>53</v>
      </c>
      <c r="I16" s="7" t="s">
        <v>53</v>
      </c>
      <c r="J16" s="11" t="s">
        <v>9</v>
      </c>
      <c r="K16" s="11" t="s">
        <v>9</v>
      </c>
      <c r="L16" s="7" t="s">
        <v>9</v>
      </c>
      <c r="M16" s="11" t="s">
        <v>9</v>
      </c>
      <c r="N16" s="11" t="s">
        <v>9</v>
      </c>
      <c r="O16" s="11" t="s">
        <v>9</v>
      </c>
      <c r="P16" s="7">
        <v>12</v>
      </c>
      <c r="Q16" s="8" t="s">
        <v>53</v>
      </c>
      <c r="R16" s="7" t="s">
        <v>53</v>
      </c>
      <c r="S16" s="7" t="s">
        <v>53</v>
      </c>
      <c r="T16" s="12" t="s">
        <v>9</v>
      </c>
      <c r="U16" s="7"/>
      <c r="V16" s="7">
        <v>12</v>
      </c>
    </row>
    <row r="17" spans="1:22" x14ac:dyDescent="0.25">
      <c r="A17" s="19" t="str">
        <f t="shared" si="0"/>
        <v>COMPLETO</v>
      </c>
      <c r="B17" s="20" t="s">
        <v>41</v>
      </c>
      <c r="C17" s="17" t="s">
        <v>65</v>
      </c>
      <c r="D17" s="18" t="s">
        <v>90</v>
      </c>
      <c r="E17" s="18" t="s">
        <v>1322</v>
      </c>
      <c r="F17" s="7" t="s">
        <v>53</v>
      </c>
      <c r="G17" s="7" t="s">
        <v>53</v>
      </c>
      <c r="H17" s="7" t="s">
        <v>53</v>
      </c>
      <c r="I17" s="7" t="s">
        <v>9</v>
      </c>
      <c r="J17" s="11" t="s">
        <v>9</v>
      </c>
      <c r="K17" s="11" t="s">
        <v>9</v>
      </c>
      <c r="L17" s="7" t="s">
        <v>9</v>
      </c>
      <c r="M17" s="11" t="s">
        <v>9</v>
      </c>
      <c r="N17" s="11" t="s">
        <v>9</v>
      </c>
      <c r="O17" s="11" t="s">
        <v>9</v>
      </c>
      <c r="P17" s="7" t="s">
        <v>9</v>
      </c>
      <c r="Q17" s="8" t="s">
        <v>7</v>
      </c>
      <c r="R17" s="7" t="s">
        <v>9</v>
      </c>
      <c r="S17" s="7" t="s">
        <v>9</v>
      </c>
      <c r="T17" s="12" t="s">
        <v>9</v>
      </c>
      <c r="U17" s="7"/>
      <c r="V17" s="7"/>
    </row>
    <row r="18" spans="1:22" x14ac:dyDescent="0.25">
      <c r="A18" s="19" t="str">
        <f t="shared" si="0"/>
        <v>COMPLETO</v>
      </c>
      <c r="B18" s="20" t="s">
        <v>42</v>
      </c>
      <c r="C18" s="17" t="s">
        <v>66</v>
      </c>
      <c r="D18" s="18" t="s">
        <v>91</v>
      </c>
      <c r="E18" s="18" t="s">
        <v>1271</v>
      </c>
      <c r="F18" s="7" t="s">
        <v>53</v>
      </c>
      <c r="G18" s="7" t="s">
        <v>53</v>
      </c>
      <c r="H18" s="7" t="s">
        <v>53</v>
      </c>
      <c r="I18" s="7" t="s">
        <v>53</v>
      </c>
      <c r="J18" s="11" t="s">
        <v>9</v>
      </c>
      <c r="K18" s="11" t="s">
        <v>9</v>
      </c>
      <c r="L18" s="7" t="s">
        <v>9</v>
      </c>
      <c r="M18" s="11" t="s">
        <v>9</v>
      </c>
      <c r="N18" s="11" t="s">
        <v>9</v>
      </c>
      <c r="O18" s="11" t="s">
        <v>9</v>
      </c>
      <c r="P18" s="7" t="s">
        <v>9</v>
      </c>
      <c r="Q18" s="8" t="s">
        <v>7</v>
      </c>
      <c r="R18" s="7" t="s">
        <v>9</v>
      </c>
      <c r="S18" s="7" t="s">
        <v>9</v>
      </c>
      <c r="T18" s="12" t="s">
        <v>9</v>
      </c>
      <c r="U18" s="7"/>
      <c r="V18" s="7"/>
    </row>
    <row r="19" spans="1:22" x14ac:dyDescent="0.25">
      <c r="A19" s="19" t="str">
        <f t="shared" si="0"/>
        <v>COMPLETO</v>
      </c>
      <c r="B19" s="20" t="s">
        <v>43</v>
      </c>
      <c r="C19" s="17" t="s">
        <v>67</v>
      </c>
      <c r="D19" s="18" t="s">
        <v>92</v>
      </c>
      <c r="E19" s="18" t="s">
        <v>1276</v>
      </c>
      <c r="F19" s="7" t="s">
        <v>53</v>
      </c>
      <c r="G19" s="7" t="s">
        <v>53</v>
      </c>
      <c r="H19" s="7" t="s">
        <v>53</v>
      </c>
      <c r="I19" s="7" t="s">
        <v>53</v>
      </c>
      <c r="J19" s="11" t="s">
        <v>9</v>
      </c>
      <c r="K19" s="11" t="s">
        <v>9</v>
      </c>
      <c r="L19" s="7" t="s">
        <v>9</v>
      </c>
      <c r="M19" s="11" t="s">
        <v>9</v>
      </c>
      <c r="N19" s="11" t="s">
        <v>9</v>
      </c>
      <c r="O19" s="11" t="s">
        <v>9</v>
      </c>
      <c r="P19" s="7" t="s">
        <v>9</v>
      </c>
      <c r="Q19" s="8" t="s">
        <v>7</v>
      </c>
      <c r="R19" s="7" t="s">
        <v>9</v>
      </c>
      <c r="S19" s="7" t="s">
        <v>9</v>
      </c>
      <c r="T19" s="12" t="s">
        <v>9</v>
      </c>
      <c r="U19" s="7"/>
      <c r="V19" s="7"/>
    </row>
    <row r="20" spans="1:22" x14ac:dyDescent="0.25">
      <c r="A20" s="19" t="str">
        <f t="shared" si="0"/>
        <v>COMPLETO</v>
      </c>
      <c r="B20" s="20" t="s">
        <v>44</v>
      </c>
      <c r="C20" s="17" t="s">
        <v>68</v>
      </c>
      <c r="D20" s="18" t="s">
        <v>93</v>
      </c>
      <c r="E20" s="18" t="s">
        <v>1310</v>
      </c>
      <c r="F20" s="7" t="s">
        <v>53</v>
      </c>
      <c r="G20" s="7" t="s">
        <v>53</v>
      </c>
      <c r="H20" s="7" t="s">
        <v>53</v>
      </c>
      <c r="I20" s="7" t="s">
        <v>53</v>
      </c>
      <c r="J20" s="11" t="s">
        <v>9</v>
      </c>
      <c r="K20" s="11" t="s">
        <v>9</v>
      </c>
      <c r="L20" s="7" t="s">
        <v>9</v>
      </c>
      <c r="M20" s="11" t="s">
        <v>9</v>
      </c>
      <c r="N20" s="11" t="s">
        <v>9</v>
      </c>
      <c r="O20" s="11" t="s">
        <v>9</v>
      </c>
      <c r="P20" s="7" t="s">
        <v>9</v>
      </c>
      <c r="Q20" s="8" t="s">
        <v>7</v>
      </c>
      <c r="R20" s="7" t="s">
        <v>9</v>
      </c>
      <c r="S20" s="7" t="s">
        <v>9</v>
      </c>
      <c r="T20" s="12" t="s">
        <v>9</v>
      </c>
      <c r="U20" s="7"/>
      <c r="V20" s="7"/>
    </row>
    <row r="21" spans="1:22" x14ac:dyDescent="0.25">
      <c r="A21" s="19" t="str">
        <f t="shared" si="0"/>
        <v>COMPLETO</v>
      </c>
      <c r="B21" s="20" t="s">
        <v>45</v>
      </c>
      <c r="C21" s="17" t="s">
        <v>69</v>
      </c>
      <c r="D21" s="18" t="s">
        <v>94</v>
      </c>
      <c r="E21" s="18" t="s">
        <v>1249</v>
      </c>
      <c r="F21" s="7" t="s">
        <v>53</v>
      </c>
      <c r="G21" s="7" t="s">
        <v>53</v>
      </c>
      <c r="H21" s="7" t="s">
        <v>53</v>
      </c>
      <c r="I21" s="7" t="s">
        <v>9</v>
      </c>
      <c r="J21" s="11" t="s">
        <v>9</v>
      </c>
      <c r="K21" s="11" t="s">
        <v>9</v>
      </c>
      <c r="L21" s="7" t="s">
        <v>9</v>
      </c>
      <c r="M21" s="11" t="s">
        <v>9</v>
      </c>
      <c r="N21" s="11" t="s">
        <v>9</v>
      </c>
      <c r="O21" s="11" t="s">
        <v>9</v>
      </c>
      <c r="P21" s="7" t="s">
        <v>9</v>
      </c>
      <c r="Q21" s="8" t="s">
        <v>7</v>
      </c>
      <c r="R21" s="7" t="s">
        <v>9</v>
      </c>
      <c r="S21" s="7" t="s">
        <v>9</v>
      </c>
      <c r="T21" s="12" t="s">
        <v>9</v>
      </c>
      <c r="U21" s="7"/>
      <c r="V21" s="7"/>
    </row>
    <row r="22" spans="1:22" x14ac:dyDescent="0.25">
      <c r="A22" s="19" t="str">
        <f t="shared" si="0"/>
        <v>COMPLETO</v>
      </c>
      <c r="B22" s="20" t="s">
        <v>46</v>
      </c>
      <c r="C22" s="17" t="s">
        <v>70</v>
      </c>
      <c r="D22" s="18" t="s">
        <v>95</v>
      </c>
      <c r="E22" s="18" t="s">
        <v>103</v>
      </c>
      <c r="F22" s="7" t="s">
        <v>53</v>
      </c>
      <c r="G22" s="7" t="s">
        <v>53</v>
      </c>
      <c r="H22" s="7" t="s">
        <v>53</v>
      </c>
      <c r="I22" s="7" t="s">
        <v>53</v>
      </c>
      <c r="J22" s="11" t="s">
        <v>9</v>
      </c>
      <c r="K22" s="11" t="s">
        <v>9</v>
      </c>
      <c r="L22" s="7" t="s">
        <v>9</v>
      </c>
      <c r="M22" s="11" t="s">
        <v>9</v>
      </c>
      <c r="N22" s="11" t="s">
        <v>9</v>
      </c>
      <c r="O22" s="11" t="s">
        <v>9</v>
      </c>
      <c r="P22" s="7" t="s">
        <v>9</v>
      </c>
      <c r="Q22" s="8" t="s">
        <v>7</v>
      </c>
      <c r="R22" s="7" t="s">
        <v>9</v>
      </c>
      <c r="S22" s="7" t="s">
        <v>9</v>
      </c>
      <c r="T22" s="12" t="s">
        <v>9</v>
      </c>
      <c r="U22" s="7"/>
      <c r="V22" s="7"/>
    </row>
    <row r="23" spans="1:22" x14ac:dyDescent="0.25">
      <c r="A23" s="19" t="str">
        <f t="shared" si="0"/>
        <v>COMPLETO</v>
      </c>
      <c r="B23" s="20" t="s">
        <v>47</v>
      </c>
      <c r="C23" s="17" t="s">
        <v>71</v>
      </c>
      <c r="D23" s="18" t="s">
        <v>96</v>
      </c>
      <c r="E23" s="18" t="s">
        <v>119</v>
      </c>
      <c r="F23" s="7" t="s">
        <v>53</v>
      </c>
      <c r="G23" s="7" t="s">
        <v>53</v>
      </c>
      <c r="H23" s="7" t="s">
        <v>53</v>
      </c>
      <c r="I23" s="7" t="s">
        <v>53</v>
      </c>
      <c r="J23" s="11" t="s">
        <v>9</v>
      </c>
      <c r="K23" s="11" t="s">
        <v>9</v>
      </c>
      <c r="L23" s="7" t="s">
        <v>9</v>
      </c>
      <c r="M23" s="11" t="s">
        <v>9</v>
      </c>
      <c r="N23" s="11" t="s">
        <v>9</v>
      </c>
      <c r="O23" s="11" t="s">
        <v>9</v>
      </c>
      <c r="P23" s="7" t="s">
        <v>9</v>
      </c>
      <c r="Q23" s="8" t="s">
        <v>7</v>
      </c>
      <c r="R23" s="7" t="s">
        <v>9</v>
      </c>
      <c r="S23" s="7" t="s">
        <v>9</v>
      </c>
      <c r="T23" s="12" t="s">
        <v>9</v>
      </c>
      <c r="U23" s="7"/>
      <c r="V23" s="7"/>
    </row>
    <row r="24" spans="1:22" x14ac:dyDescent="0.25">
      <c r="A24" s="19" t="str">
        <f t="shared" si="0"/>
        <v>COMPLETO</v>
      </c>
      <c r="B24" s="20" t="s">
        <v>48</v>
      </c>
      <c r="C24" s="17" t="s">
        <v>72</v>
      </c>
      <c r="D24" s="18" t="s">
        <v>76</v>
      </c>
      <c r="E24" s="18" t="s">
        <v>1272</v>
      </c>
      <c r="F24" s="7" t="s">
        <v>53</v>
      </c>
      <c r="G24" s="7" t="s">
        <v>53</v>
      </c>
      <c r="H24" s="7" t="s">
        <v>53</v>
      </c>
      <c r="I24" s="7" t="s">
        <v>9</v>
      </c>
      <c r="J24" s="11" t="s">
        <v>9</v>
      </c>
      <c r="K24" s="11" t="s">
        <v>9</v>
      </c>
      <c r="L24" s="7" t="s">
        <v>9</v>
      </c>
      <c r="M24" s="11" t="s">
        <v>9</v>
      </c>
      <c r="N24" s="11" t="s">
        <v>9</v>
      </c>
      <c r="O24" s="11" t="s">
        <v>9</v>
      </c>
      <c r="P24" s="7">
        <v>12</v>
      </c>
      <c r="Q24" s="8" t="s">
        <v>53</v>
      </c>
      <c r="R24" s="7" t="s">
        <v>53</v>
      </c>
      <c r="S24" s="7" t="s">
        <v>53</v>
      </c>
      <c r="T24" s="12" t="s">
        <v>9</v>
      </c>
      <c r="U24" s="7"/>
      <c r="V24" s="7">
        <v>12</v>
      </c>
    </row>
    <row r="25" spans="1:22" x14ac:dyDescent="0.25">
      <c r="A25" s="19" t="str">
        <f t="shared" si="0"/>
        <v>COMPLETO</v>
      </c>
      <c r="B25" s="20" t="s">
        <v>49</v>
      </c>
      <c r="C25" s="17" t="s">
        <v>73</v>
      </c>
      <c r="D25" s="18" t="s">
        <v>97</v>
      </c>
      <c r="E25" s="18" t="s">
        <v>111</v>
      </c>
      <c r="F25" s="7" t="s">
        <v>53</v>
      </c>
      <c r="G25" s="7" t="s">
        <v>53</v>
      </c>
      <c r="H25" s="7" t="s">
        <v>53</v>
      </c>
      <c r="I25" s="7" t="s">
        <v>53</v>
      </c>
      <c r="J25" s="11" t="s">
        <v>9</v>
      </c>
      <c r="K25" s="11" t="s">
        <v>9</v>
      </c>
      <c r="L25" s="7" t="s">
        <v>9</v>
      </c>
      <c r="M25" s="11" t="s">
        <v>9</v>
      </c>
      <c r="N25" s="11" t="s">
        <v>9</v>
      </c>
      <c r="O25" s="11" t="s">
        <v>9</v>
      </c>
      <c r="P25" s="7">
        <v>12</v>
      </c>
      <c r="Q25" s="8" t="s">
        <v>53</v>
      </c>
      <c r="R25" s="7" t="s">
        <v>53</v>
      </c>
      <c r="S25" s="7"/>
      <c r="T25" s="12" t="s">
        <v>9</v>
      </c>
      <c r="U25" s="7"/>
      <c r="V25" s="7">
        <v>12</v>
      </c>
    </row>
    <row r="26" spans="1:22" x14ac:dyDescent="0.25">
      <c r="A26" s="19" t="str">
        <f t="shared" si="0"/>
        <v>COMPLETO</v>
      </c>
      <c r="B26" s="20" t="s">
        <v>50</v>
      </c>
      <c r="C26" s="17" t="s">
        <v>74</v>
      </c>
      <c r="D26" s="18" t="s">
        <v>98</v>
      </c>
      <c r="E26" s="18" t="s">
        <v>104</v>
      </c>
      <c r="F26" s="7" t="s">
        <v>53</v>
      </c>
      <c r="G26" s="7" t="s">
        <v>53</v>
      </c>
      <c r="H26" s="7" t="s">
        <v>53</v>
      </c>
      <c r="I26" s="7" t="s">
        <v>53</v>
      </c>
      <c r="J26" s="11" t="s">
        <v>9</v>
      </c>
      <c r="K26" s="11" t="s">
        <v>9</v>
      </c>
      <c r="L26" s="7" t="s">
        <v>9</v>
      </c>
      <c r="M26" s="11" t="s">
        <v>9</v>
      </c>
      <c r="N26" s="11" t="s">
        <v>9</v>
      </c>
      <c r="O26" s="11" t="s">
        <v>9</v>
      </c>
      <c r="P26" s="7">
        <v>18</v>
      </c>
      <c r="Q26" s="8" t="s">
        <v>53</v>
      </c>
      <c r="R26" s="7" t="s">
        <v>53</v>
      </c>
      <c r="S26" s="7" t="s">
        <v>53</v>
      </c>
      <c r="T26" s="12" t="s">
        <v>9</v>
      </c>
      <c r="U26" s="7"/>
      <c r="V26" s="7">
        <v>18</v>
      </c>
    </row>
    <row r="27" spans="1:22" x14ac:dyDescent="0.25">
      <c r="A27" s="19" t="str">
        <f t="shared" si="0"/>
        <v>COMPLETO</v>
      </c>
      <c r="B27" s="20" t="s">
        <v>51</v>
      </c>
      <c r="C27" s="17" t="s">
        <v>78</v>
      </c>
      <c r="D27" s="18" t="s">
        <v>99</v>
      </c>
      <c r="E27" s="18" t="s">
        <v>105</v>
      </c>
      <c r="F27" s="7" t="s">
        <v>53</v>
      </c>
      <c r="G27" s="7" t="s">
        <v>53</v>
      </c>
      <c r="H27" s="7" t="s">
        <v>53</v>
      </c>
      <c r="I27" s="7" t="s">
        <v>53</v>
      </c>
      <c r="J27" s="11" t="s">
        <v>9</v>
      </c>
      <c r="K27" s="11" t="s">
        <v>9</v>
      </c>
      <c r="L27" s="7" t="s">
        <v>9</v>
      </c>
      <c r="M27" s="11" t="s">
        <v>9</v>
      </c>
      <c r="N27" s="11" t="s">
        <v>9</v>
      </c>
      <c r="O27" s="11" t="s">
        <v>9</v>
      </c>
      <c r="P27" s="7" t="s">
        <v>9</v>
      </c>
      <c r="Q27" s="8" t="s">
        <v>7</v>
      </c>
      <c r="R27" s="7" t="s">
        <v>9</v>
      </c>
      <c r="S27" s="7" t="s">
        <v>9</v>
      </c>
      <c r="T27" s="12" t="s">
        <v>9</v>
      </c>
      <c r="U27" s="7"/>
      <c r="V27" s="7"/>
    </row>
    <row r="28" spans="1:22" x14ac:dyDescent="0.25">
      <c r="A28" s="19" t="str">
        <f t="shared" si="0"/>
        <v>COMPLETO</v>
      </c>
      <c r="B28" s="20" t="s">
        <v>52</v>
      </c>
      <c r="C28" s="17" t="s">
        <v>29</v>
      </c>
      <c r="D28" s="18" t="s">
        <v>100</v>
      </c>
      <c r="E28" s="18" t="s">
        <v>106</v>
      </c>
      <c r="F28" s="7" t="s">
        <v>53</v>
      </c>
      <c r="G28" s="7" t="s">
        <v>53</v>
      </c>
      <c r="H28" s="7" t="s">
        <v>53</v>
      </c>
      <c r="I28" s="7" t="s">
        <v>53</v>
      </c>
      <c r="J28" s="11" t="s">
        <v>9</v>
      </c>
      <c r="K28" s="11" t="s">
        <v>9</v>
      </c>
      <c r="L28" s="7" t="s">
        <v>9</v>
      </c>
      <c r="M28" s="11" t="s">
        <v>9</v>
      </c>
      <c r="N28" s="11" t="s">
        <v>9</v>
      </c>
      <c r="O28" s="11" t="s">
        <v>9</v>
      </c>
      <c r="P28" s="7" t="s">
        <v>9</v>
      </c>
      <c r="Q28" s="8" t="s">
        <v>7</v>
      </c>
      <c r="R28" s="7" t="s">
        <v>9</v>
      </c>
      <c r="S28" s="7" t="s">
        <v>9</v>
      </c>
      <c r="T28" s="12" t="s">
        <v>9</v>
      </c>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774" priority="32" operator="equal">
      <formula>"F"</formula>
    </cfRule>
    <cfRule type="cellIs" dxfId="773" priority="33" operator="equal">
      <formula>"OK"</formula>
    </cfRule>
    <cfRule type="cellIs" dxfId="772" priority="34" operator="between">
      <formula>6</formula>
      <formula>18</formula>
    </cfRule>
  </conditionalFormatting>
  <conditionalFormatting sqref="C1:E1 A2:E2 C3:C4 E3:E4 A5:E1048576">
    <cfRule type="expression" dxfId="771" priority="30">
      <formula>$A1="FALTA"</formula>
    </cfRule>
    <cfRule type="expression" dxfId="770" priority="31">
      <formula>$A1="COMPLETO"</formula>
    </cfRule>
  </conditionalFormatting>
  <conditionalFormatting sqref="B3">
    <cfRule type="expression" dxfId="769" priority="22">
      <formula>$A3="FALTA"</formula>
    </cfRule>
    <cfRule type="expression" dxfId="768" priority="23">
      <formula>$A3="COMPLETO"</formula>
    </cfRule>
  </conditionalFormatting>
  <conditionalFormatting sqref="D3:D4">
    <cfRule type="expression" dxfId="767" priority="20">
      <formula>$A3="FALTA"</formula>
    </cfRule>
    <cfRule type="expression" dxfId="766" priority="21">
      <formula>$A3="COMPLETO"</formula>
    </cfRule>
  </conditionalFormatting>
  <conditionalFormatting sqref="F4">
    <cfRule type="cellIs" dxfId="765" priority="17" operator="equal">
      <formula>"F"</formula>
    </cfRule>
    <cfRule type="cellIs" dxfId="764" priority="18" operator="equal">
      <formula>"OK"</formula>
    </cfRule>
    <cfRule type="cellIs" dxfId="763" priority="19" operator="between">
      <formula>6</formula>
      <formula>18</formula>
    </cfRule>
  </conditionalFormatting>
  <conditionalFormatting sqref="A1:B1">
    <cfRule type="expression" dxfId="762" priority="15">
      <formula>$A1="FALTA"</formula>
    </cfRule>
    <cfRule type="expression" dxfId="761" priority="16">
      <formula>$A1="COMPLETO"</formula>
    </cfRule>
  </conditionalFormatting>
  <conditionalFormatting sqref="U3:V3">
    <cfRule type="cellIs" dxfId="760" priority="6" operator="equal">
      <formula>"F"</formula>
    </cfRule>
    <cfRule type="cellIs" dxfId="759" priority="7" operator="equal">
      <formula>"OK"</formula>
    </cfRule>
    <cfRule type="cellIs" dxfId="758" priority="8" operator="between">
      <formula>6</formula>
      <formula>18</formula>
    </cfRule>
  </conditionalFormatting>
  <conditionalFormatting sqref="F3">
    <cfRule type="cellIs" dxfId="757" priority="3" operator="equal">
      <formula>"F"</formula>
    </cfRule>
    <cfRule type="cellIs" dxfId="756" priority="4" operator="equal">
      <formula>"OK"</formula>
    </cfRule>
    <cfRule type="cellIs" dxfId="755" priority="5" operator="between">
      <formula>6</formula>
      <formula>18</formula>
    </cfRule>
  </conditionalFormatting>
  <conditionalFormatting sqref="A3">
    <cfRule type="expression" dxfId="754" priority="1">
      <formula>$A3="FALTA"</formula>
    </cfRule>
    <cfRule type="expression" dxfId="753" priority="2">
      <formula>$A3="COMPLETO"</formula>
    </cfRule>
  </conditionalFormatting>
  <dataValidations disablePrompts="1"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2">
    <tabColor rgb="FF004079"/>
    <outlinePr summaryBelow="0" summaryRight="0"/>
  </sheetPr>
  <dimension ref="A1:W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ZCiudad de Chiva 7</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FALTA</v>
      </c>
      <c r="B3" s="385" t="s">
        <v>116</v>
      </c>
      <c r="C3" s="23" t="s">
        <v>242</v>
      </c>
      <c r="D3" s="29" t="s">
        <v>5</v>
      </c>
      <c r="E3" s="10" t="s">
        <v>241</v>
      </c>
      <c r="F3" s="30">
        <f>IF(AND(ISBLANK(U3),ISBLANK(V3)),1-(COUNTIF(G3:V4,"F")/7),1-(COUNTIF(U3:V3,"F")/2))</f>
        <v>0.5</v>
      </c>
      <c r="G3" s="24"/>
      <c r="H3" s="24"/>
      <c r="I3" s="24"/>
      <c r="J3" s="24"/>
      <c r="K3" s="24"/>
      <c r="L3" s="24" t="s">
        <v>28</v>
      </c>
      <c r="M3" s="11" t="s">
        <v>53</v>
      </c>
      <c r="N3" s="24"/>
      <c r="O3" s="24"/>
      <c r="P3" s="25"/>
      <c r="Q3" s="24" t="s">
        <v>24</v>
      </c>
      <c r="R3" s="11" t="s">
        <v>53</v>
      </c>
      <c r="S3" s="24" t="s">
        <v>12</v>
      </c>
      <c r="T3" s="11" t="s">
        <v>53</v>
      </c>
      <c r="U3" s="381" t="s">
        <v>53</v>
      </c>
      <c r="V3" s="381" t="s">
        <v>8</v>
      </c>
    </row>
    <row r="4" spans="1:22" x14ac:dyDescent="0.25">
      <c r="A4" s="384"/>
      <c r="B4" s="386"/>
      <c r="C4" s="23" t="s">
        <v>243</v>
      </c>
      <c r="D4" s="29" t="s">
        <v>6</v>
      </c>
      <c r="E4" s="10" t="s">
        <v>244</v>
      </c>
      <c r="F4" s="30">
        <f>COUNTIF(A5:A44,"*COMPLETO*")/COUNTA(A5:A44)</f>
        <v>0.91666666666666663</v>
      </c>
      <c r="G4" s="24"/>
      <c r="H4" s="24" t="s">
        <v>18</v>
      </c>
      <c r="I4" s="11" t="s">
        <v>53</v>
      </c>
      <c r="J4" s="24"/>
      <c r="K4" s="24"/>
      <c r="L4" s="24" t="s">
        <v>23</v>
      </c>
      <c r="M4" s="11" t="s">
        <v>53</v>
      </c>
      <c r="N4" s="24"/>
      <c r="O4" s="24"/>
      <c r="P4" s="11"/>
      <c r="Q4" s="24" t="s">
        <v>26</v>
      </c>
      <c r="R4" s="11" t="s">
        <v>53</v>
      </c>
      <c r="S4" s="24" t="s">
        <v>19</v>
      </c>
      <c r="T4" s="11" t="s">
        <v>53</v>
      </c>
      <c r="U4" s="382"/>
      <c r="V4" s="382"/>
    </row>
    <row r="5" spans="1:22" ht="15" customHeight="1" x14ac:dyDescent="0.25">
      <c r="A5" s="19" t="str">
        <f>IF(COUNTIF(F5:V5,"F")&gt;0,"FALTA","COMPLETO")</f>
        <v>COMPLETO</v>
      </c>
      <c r="B5" s="20" t="s">
        <v>54</v>
      </c>
      <c r="C5" s="17" t="s">
        <v>245</v>
      </c>
      <c r="D5" s="18" t="s">
        <v>268</v>
      </c>
      <c r="E5" s="18" t="s">
        <v>269</v>
      </c>
      <c r="F5" s="7" t="s">
        <v>53</v>
      </c>
      <c r="G5" s="7" t="s">
        <v>53</v>
      </c>
      <c r="H5" s="7" t="s">
        <v>53</v>
      </c>
      <c r="I5" s="7" t="s">
        <v>53</v>
      </c>
      <c r="J5" s="11" t="s">
        <v>9</v>
      </c>
      <c r="K5" s="11" t="s">
        <v>9</v>
      </c>
      <c r="L5" s="7" t="s">
        <v>9</v>
      </c>
      <c r="M5" s="11" t="s">
        <v>9</v>
      </c>
      <c r="N5" s="11" t="s">
        <v>9</v>
      </c>
      <c r="O5" s="11" t="s">
        <v>9</v>
      </c>
      <c r="P5" s="7">
        <v>18</v>
      </c>
      <c r="Q5" s="8" t="s">
        <v>53</v>
      </c>
      <c r="R5" s="7" t="s">
        <v>53</v>
      </c>
      <c r="S5" s="7" t="s">
        <v>53</v>
      </c>
      <c r="T5" s="12" t="s">
        <v>9</v>
      </c>
      <c r="U5" s="7" t="s">
        <v>53</v>
      </c>
      <c r="V5" s="7">
        <v>18</v>
      </c>
    </row>
    <row r="6" spans="1:22" ht="15" customHeight="1" x14ac:dyDescent="0.25">
      <c r="A6" s="19" t="str">
        <f t="shared" ref="A6:A28" si="0">IF(COUNTIF(F6:V6,"F")&gt;0,"FALTA","COMPLETO")</f>
        <v>COMPLETO</v>
      </c>
      <c r="B6" s="20" t="s">
        <v>30</v>
      </c>
      <c r="C6" s="17" t="s">
        <v>246</v>
      </c>
      <c r="D6" s="18" t="s">
        <v>270</v>
      </c>
      <c r="E6" s="18" t="s">
        <v>271</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 t="shared" si="0"/>
        <v>COMPLETO</v>
      </c>
      <c r="B7" s="20" t="s">
        <v>31</v>
      </c>
      <c r="C7" s="17" t="s">
        <v>247</v>
      </c>
      <c r="D7" s="18" t="s">
        <v>272</v>
      </c>
      <c r="E7" s="18" t="s">
        <v>273</v>
      </c>
      <c r="F7" s="7" t="s">
        <v>53</v>
      </c>
      <c r="G7" s="7" t="s">
        <v>53</v>
      </c>
      <c r="H7" s="7" t="s">
        <v>53</v>
      </c>
      <c r="I7" s="7" t="s">
        <v>9</v>
      </c>
      <c r="J7" s="11" t="s">
        <v>9</v>
      </c>
      <c r="K7" s="11" t="s">
        <v>9</v>
      </c>
      <c r="L7" s="7" t="s">
        <v>9</v>
      </c>
      <c r="M7" s="11" t="s">
        <v>9</v>
      </c>
      <c r="N7" s="11" t="s">
        <v>9</v>
      </c>
      <c r="O7" s="11" t="s">
        <v>9</v>
      </c>
      <c r="P7" s="7">
        <v>18</v>
      </c>
      <c r="Q7" s="8" t="s">
        <v>7</v>
      </c>
      <c r="R7" s="7" t="s">
        <v>9</v>
      </c>
      <c r="S7" s="7" t="s">
        <v>53</v>
      </c>
      <c r="T7" s="12" t="s">
        <v>9</v>
      </c>
      <c r="U7" s="7" t="s">
        <v>53</v>
      </c>
      <c r="V7" s="7" t="s">
        <v>53</v>
      </c>
    </row>
    <row r="8" spans="1:22" x14ac:dyDescent="0.25">
      <c r="A8" s="19" t="str">
        <f t="shared" si="0"/>
        <v>COMPLETO</v>
      </c>
      <c r="B8" s="20" t="s">
        <v>32</v>
      </c>
      <c r="C8" s="17" t="s">
        <v>248</v>
      </c>
      <c r="D8" s="18" t="s">
        <v>274</v>
      </c>
      <c r="E8" s="18" t="s">
        <v>275</v>
      </c>
      <c r="F8" s="7" t="s">
        <v>53</v>
      </c>
      <c r="G8" s="7" t="s">
        <v>53</v>
      </c>
      <c r="H8" s="7" t="s">
        <v>53</v>
      </c>
      <c r="I8" s="7" t="s">
        <v>53</v>
      </c>
      <c r="J8" s="11" t="s">
        <v>9</v>
      </c>
      <c r="K8" s="11" t="s">
        <v>9</v>
      </c>
      <c r="L8" s="7" t="s">
        <v>9</v>
      </c>
      <c r="M8" s="11" t="s">
        <v>9</v>
      </c>
      <c r="N8" s="11" t="s">
        <v>9</v>
      </c>
      <c r="O8" s="11" t="s">
        <v>9</v>
      </c>
      <c r="P8" s="7">
        <v>12</v>
      </c>
      <c r="Q8" s="8" t="s">
        <v>53</v>
      </c>
      <c r="R8" s="7" t="s">
        <v>53</v>
      </c>
      <c r="S8" s="7" t="s">
        <v>53</v>
      </c>
      <c r="T8" s="12" t="s">
        <v>9</v>
      </c>
      <c r="U8" s="7" t="s">
        <v>53</v>
      </c>
      <c r="V8" s="7">
        <v>12</v>
      </c>
    </row>
    <row r="9" spans="1:22" x14ac:dyDescent="0.25">
      <c r="A9" s="19" t="str">
        <f t="shared" si="0"/>
        <v>COMPLETO</v>
      </c>
      <c r="B9" s="20" t="s">
        <v>33</v>
      </c>
      <c r="C9" s="17" t="s">
        <v>249</v>
      </c>
      <c r="D9" s="18" t="s">
        <v>276</v>
      </c>
      <c r="E9" s="18" t="s">
        <v>277</v>
      </c>
      <c r="F9" s="7" t="s">
        <v>53</v>
      </c>
      <c r="G9" s="7" t="s">
        <v>53</v>
      </c>
      <c r="H9" s="7" t="s">
        <v>53</v>
      </c>
      <c r="I9" s="7" t="s">
        <v>53</v>
      </c>
      <c r="J9" s="11" t="s">
        <v>9</v>
      </c>
      <c r="K9" s="11" t="s">
        <v>9</v>
      </c>
      <c r="L9" s="7" t="s">
        <v>9</v>
      </c>
      <c r="M9" s="11" t="s">
        <v>9</v>
      </c>
      <c r="N9" s="11" t="s">
        <v>9</v>
      </c>
      <c r="O9" s="11" t="s">
        <v>9</v>
      </c>
      <c r="P9" s="7">
        <v>12</v>
      </c>
      <c r="Q9" s="8" t="s">
        <v>53</v>
      </c>
      <c r="R9" s="7" t="s">
        <v>53</v>
      </c>
      <c r="S9" s="7" t="s">
        <v>53</v>
      </c>
      <c r="T9" s="12" t="s">
        <v>9</v>
      </c>
      <c r="U9" s="7" t="s">
        <v>53</v>
      </c>
      <c r="V9" s="7">
        <v>12</v>
      </c>
    </row>
    <row r="10" spans="1:22" x14ac:dyDescent="0.25">
      <c r="A10" s="19" t="str">
        <f t="shared" si="0"/>
        <v>COMPLETO</v>
      </c>
      <c r="B10" s="20" t="s">
        <v>34</v>
      </c>
      <c r="C10" s="17" t="s">
        <v>250</v>
      </c>
      <c r="D10" s="18" t="s">
        <v>278</v>
      </c>
      <c r="E10" s="18" t="s">
        <v>279</v>
      </c>
      <c r="F10" s="7" t="s">
        <v>53</v>
      </c>
      <c r="G10" s="7" t="s">
        <v>53</v>
      </c>
      <c r="H10" s="7" t="s">
        <v>53</v>
      </c>
      <c r="I10" s="7" t="s">
        <v>9</v>
      </c>
      <c r="J10" s="11" t="s">
        <v>9</v>
      </c>
      <c r="K10" s="11" t="s">
        <v>9</v>
      </c>
      <c r="L10" s="7" t="s">
        <v>9</v>
      </c>
      <c r="M10" s="11" t="s">
        <v>9</v>
      </c>
      <c r="N10" s="11" t="s">
        <v>9</v>
      </c>
      <c r="O10" s="11" t="s">
        <v>9</v>
      </c>
      <c r="P10" s="7">
        <v>12</v>
      </c>
      <c r="Q10" s="8" t="s">
        <v>53</v>
      </c>
      <c r="R10" s="7" t="s">
        <v>53</v>
      </c>
      <c r="S10" s="7" t="s">
        <v>7</v>
      </c>
      <c r="T10" s="12" t="s">
        <v>9</v>
      </c>
      <c r="U10" s="7" t="s">
        <v>53</v>
      </c>
      <c r="V10" s="7" t="s">
        <v>53</v>
      </c>
    </row>
    <row r="11" spans="1:22" x14ac:dyDescent="0.25">
      <c r="A11" s="19" t="str">
        <f t="shared" si="0"/>
        <v>FALTA</v>
      </c>
      <c r="B11" s="20" t="s">
        <v>35</v>
      </c>
      <c r="C11" s="17" t="s">
        <v>251</v>
      </c>
      <c r="D11" s="18" t="s">
        <v>280</v>
      </c>
      <c r="E11" s="18" t="s">
        <v>281</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53</v>
      </c>
      <c r="V11" s="7" t="s">
        <v>8</v>
      </c>
    </row>
    <row r="12" spans="1:22" x14ac:dyDescent="0.25">
      <c r="A12" s="19" t="str">
        <f t="shared" si="0"/>
        <v>COMPLETO</v>
      </c>
      <c r="B12" s="20" t="s">
        <v>36</v>
      </c>
      <c r="C12" s="17" t="s">
        <v>252</v>
      </c>
      <c r="D12" s="18" t="s">
        <v>282</v>
      </c>
      <c r="E12" s="18" t="s">
        <v>283</v>
      </c>
      <c r="F12" s="7" t="s">
        <v>53</v>
      </c>
      <c r="G12" s="7" t="s">
        <v>53</v>
      </c>
      <c r="H12" s="7" t="s">
        <v>53</v>
      </c>
      <c r="I12" s="7" t="s">
        <v>53</v>
      </c>
      <c r="J12" s="11" t="s">
        <v>9</v>
      </c>
      <c r="K12" s="11" t="s">
        <v>9</v>
      </c>
      <c r="L12" s="7" t="s">
        <v>9</v>
      </c>
      <c r="M12" s="11" t="s">
        <v>9</v>
      </c>
      <c r="N12" s="11" t="s">
        <v>9</v>
      </c>
      <c r="O12" s="11" t="s">
        <v>9</v>
      </c>
      <c r="P12" s="7">
        <v>18</v>
      </c>
      <c r="Q12" s="8" t="s">
        <v>53</v>
      </c>
      <c r="R12" s="7" t="s">
        <v>53</v>
      </c>
      <c r="S12" s="7" t="s">
        <v>53</v>
      </c>
      <c r="T12" s="12" t="s">
        <v>9</v>
      </c>
      <c r="U12" s="7" t="s">
        <v>53</v>
      </c>
      <c r="V12" s="7" t="s">
        <v>53</v>
      </c>
    </row>
    <row r="13" spans="1:22" x14ac:dyDescent="0.25">
      <c r="A13" s="19" t="str">
        <f t="shared" si="0"/>
        <v>COMPLETO</v>
      </c>
      <c r="B13" s="20" t="s">
        <v>37</v>
      </c>
      <c r="C13" s="17" t="s">
        <v>253</v>
      </c>
      <c r="D13" s="18" t="s">
        <v>284</v>
      </c>
      <c r="E13" s="18" t="s">
        <v>2460</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53</v>
      </c>
      <c r="U13" s="7" t="s">
        <v>53</v>
      </c>
      <c r="V13" s="7" t="s">
        <v>53</v>
      </c>
    </row>
    <row r="14" spans="1:22" x14ac:dyDescent="0.25">
      <c r="A14" s="19" t="str">
        <f t="shared" si="0"/>
        <v>COMPLETO</v>
      </c>
      <c r="B14" s="20" t="s">
        <v>38</v>
      </c>
      <c r="C14" s="17" t="s">
        <v>254</v>
      </c>
      <c r="D14" s="18" t="s">
        <v>285</v>
      </c>
      <c r="E14" s="18" t="s">
        <v>286</v>
      </c>
      <c r="F14" s="7" t="s">
        <v>53</v>
      </c>
      <c r="G14" s="7" t="s">
        <v>53</v>
      </c>
      <c r="H14" s="7" t="s">
        <v>53</v>
      </c>
      <c r="I14" s="7" t="s">
        <v>53</v>
      </c>
      <c r="J14" s="11" t="s">
        <v>9</v>
      </c>
      <c r="K14" s="11" t="s">
        <v>9</v>
      </c>
      <c r="L14" s="7" t="s">
        <v>9</v>
      </c>
      <c r="M14" s="11" t="s">
        <v>9</v>
      </c>
      <c r="N14" s="11" t="s">
        <v>9</v>
      </c>
      <c r="O14" s="11" t="s">
        <v>9</v>
      </c>
      <c r="P14" s="7">
        <v>18</v>
      </c>
      <c r="Q14" s="8" t="s">
        <v>53</v>
      </c>
      <c r="R14" s="7" t="s">
        <v>53</v>
      </c>
      <c r="S14" s="7" t="s">
        <v>53</v>
      </c>
      <c r="T14" s="12" t="s">
        <v>9</v>
      </c>
      <c r="U14" s="7" t="s">
        <v>53</v>
      </c>
      <c r="V14" s="7">
        <v>18</v>
      </c>
    </row>
    <row r="15" spans="1:22" x14ac:dyDescent="0.25">
      <c r="A15" s="19" t="str">
        <f t="shared" si="0"/>
        <v>COMPLETO</v>
      </c>
      <c r="B15" s="20" t="s">
        <v>39</v>
      </c>
      <c r="C15" s="17" t="s">
        <v>255</v>
      </c>
      <c r="D15" s="18" t="s">
        <v>287</v>
      </c>
      <c r="E15" s="18" t="s">
        <v>288</v>
      </c>
      <c r="F15" s="7" t="s">
        <v>53</v>
      </c>
      <c r="G15" s="7" t="s">
        <v>53</v>
      </c>
      <c r="H15" s="7" t="s">
        <v>53</v>
      </c>
      <c r="I15" s="7" t="s">
        <v>53</v>
      </c>
      <c r="J15" s="11" t="s">
        <v>9</v>
      </c>
      <c r="K15" s="11" t="s">
        <v>9</v>
      </c>
      <c r="L15" s="7" t="s">
        <v>9</v>
      </c>
      <c r="M15" s="11" t="s">
        <v>9</v>
      </c>
      <c r="N15" s="11" t="s">
        <v>9</v>
      </c>
      <c r="O15" s="11" t="s">
        <v>9</v>
      </c>
      <c r="P15" s="7">
        <v>12</v>
      </c>
      <c r="Q15" s="8" t="s">
        <v>53</v>
      </c>
      <c r="R15" s="7" t="s">
        <v>53</v>
      </c>
      <c r="S15" s="7" t="s">
        <v>53</v>
      </c>
      <c r="T15" s="12" t="s">
        <v>9</v>
      </c>
      <c r="U15" s="7" t="s">
        <v>53</v>
      </c>
      <c r="V15" s="7">
        <v>12</v>
      </c>
    </row>
    <row r="16" spans="1:22" x14ac:dyDescent="0.25">
      <c r="A16" s="19" t="str">
        <f t="shared" si="0"/>
        <v>COMPLETO</v>
      </c>
      <c r="B16" s="20" t="s">
        <v>40</v>
      </c>
      <c r="C16" s="17" t="s">
        <v>256</v>
      </c>
      <c r="D16" s="18" t="s">
        <v>289</v>
      </c>
      <c r="E16" s="18" t="s">
        <v>290</v>
      </c>
      <c r="F16" s="7" t="s">
        <v>53</v>
      </c>
      <c r="G16" s="7" t="s">
        <v>53</v>
      </c>
      <c r="H16" s="7" t="s">
        <v>53</v>
      </c>
      <c r="I16" s="7" t="s">
        <v>9</v>
      </c>
      <c r="J16" s="11" t="s">
        <v>9</v>
      </c>
      <c r="K16" s="11" t="s">
        <v>9</v>
      </c>
      <c r="L16" s="7" t="s">
        <v>9</v>
      </c>
      <c r="M16" s="11" t="s">
        <v>9</v>
      </c>
      <c r="N16" s="11" t="s">
        <v>9</v>
      </c>
      <c r="O16" s="11" t="s">
        <v>9</v>
      </c>
      <c r="P16" s="7" t="s">
        <v>9</v>
      </c>
      <c r="Q16" s="8" t="s">
        <v>7</v>
      </c>
      <c r="R16" s="7" t="s">
        <v>9</v>
      </c>
      <c r="S16" s="7" t="s">
        <v>9</v>
      </c>
      <c r="T16" s="12" t="s">
        <v>9</v>
      </c>
      <c r="U16" s="7" t="s">
        <v>53</v>
      </c>
      <c r="V16" s="7" t="s">
        <v>53</v>
      </c>
    </row>
    <row r="17" spans="1:23" x14ac:dyDescent="0.25">
      <c r="A17" s="19" t="str">
        <f t="shared" si="0"/>
        <v>COMPLETO</v>
      </c>
      <c r="B17" s="20" t="s">
        <v>41</v>
      </c>
      <c r="C17" s="17" t="s">
        <v>257</v>
      </c>
      <c r="D17" s="18" t="s">
        <v>291</v>
      </c>
      <c r="E17" s="18" t="s">
        <v>292</v>
      </c>
      <c r="F17" s="7" t="s">
        <v>53</v>
      </c>
      <c r="G17" s="7" t="s">
        <v>53</v>
      </c>
      <c r="H17" s="7" t="s">
        <v>53</v>
      </c>
      <c r="I17" s="7" t="s">
        <v>53</v>
      </c>
      <c r="J17" s="11" t="s">
        <v>9</v>
      </c>
      <c r="K17" s="11" t="s">
        <v>9</v>
      </c>
      <c r="L17" s="7" t="s">
        <v>9</v>
      </c>
      <c r="M17" s="11" t="s">
        <v>9</v>
      </c>
      <c r="N17" s="11" t="s">
        <v>9</v>
      </c>
      <c r="O17" s="11" t="s">
        <v>9</v>
      </c>
      <c r="P17" s="7" t="s">
        <v>9</v>
      </c>
      <c r="Q17" s="8" t="s">
        <v>7</v>
      </c>
      <c r="R17" s="7" t="s">
        <v>9</v>
      </c>
      <c r="S17" s="7" t="s">
        <v>9</v>
      </c>
      <c r="T17" s="12" t="s">
        <v>9</v>
      </c>
      <c r="U17" s="7" t="s">
        <v>53</v>
      </c>
      <c r="V17" s="7" t="s">
        <v>53</v>
      </c>
    </row>
    <row r="18" spans="1:23" x14ac:dyDescent="0.25">
      <c r="A18" s="19" t="str">
        <f t="shared" si="0"/>
        <v>COMPLETO</v>
      </c>
      <c r="B18" s="20" t="s">
        <v>42</v>
      </c>
      <c r="C18" s="17" t="s">
        <v>258</v>
      </c>
      <c r="D18" s="18" t="s">
        <v>293</v>
      </c>
      <c r="E18" s="18" t="s">
        <v>294</v>
      </c>
      <c r="F18" s="7" t="s">
        <v>53</v>
      </c>
      <c r="G18" s="7" t="s">
        <v>53</v>
      </c>
      <c r="H18" s="7" t="s">
        <v>53</v>
      </c>
      <c r="I18" s="7" t="s">
        <v>9</v>
      </c>
      <c r="J18" s="11" t="s">
        <v>9</v>
      </c>
      <c r="K18" s="11" t="s">
        <v>9</v>
      </c>
      <c r="L18" s="7" t="s">
        <v>9</v>
      </c>
      <c r="M18" s="11" t="s">
        <v>9</v>
      </c>
      <c r="N18" s="11" t="s">
        <v>9</v>
      </c>
      <c r="O18" s="11" t="s">
        <v>9</v>
      </c>
      <c r="P18" s="7">
        <v>18</v>
      </c>
      <c r="Q18" s="8" t="s">
        <v>53</v>
      </c>
      <c r="R18" s="7" t="s">
        <v>53</v>
      </c>
      <c r="S18" s="7" t="s">
        <v>53</v>
      </c>
      <c r="T18" s="12" t="s">
        <v>9</v>
      </c>
      <c r="U18" s="7" t="s">
        <v>53</v>
      </c>
      <c r="V18" s="7">
        <v>18</v>
      </c>
    </row>
    <row r="19" spans="1:23" x14ac:dyDescent="0.25">
      <c r="A19" s="19" t="str">
        <f t="shared" si="0"/>
        <v>COMPLETO</v>
      </c>
      <c r="B19" s="20" t="s">
        <v>43</v>
      </c>
      <c r="C19" s="17" t="s">
        <v>259</v>
      </c>
      <c r="D19" s="18" t="s">
        <v>295</v>
      </c>
      <c r="E19" s="18" t="s">
        <v>296</v>
      </c>
      <c r="F19" s="7" t="s">
        <v>53</v>
      </c>
      <c r="G19" s="7" t="s">
        <v>53</v>
      </c>
      <c r="H19" s="7" t="s">
        <v>53</v>
      </c>
      <c r="I19" s="7" t="s">
        <v>53</v>
      </c>
      <c r="J19" s="11" t="s">
        <v>9</v>
      </c>
      <c r="K19" s="11" t="s">
        <v>9</v>
      </c>
      <c r="L19" s="7" t="s">
        <v>9</v>
      </c>
      <c r="M19" s="11" t="s">
        <v>9</v>
      </c>
      <c r="N19" s="11" t="s">
        <v>9</v>
      </c>
      <c r="O19" s="11" t="s">
        <v>9</v>
      </c>
      <c r="P19" s="7" t="s">
        <v>9</v>
      </c>
      <c r="Q19" s="8" t="s">
        <v>7</v>
      </c>
      <c r="R19" s="7" t="s">
        <v>9</v>
      </c>
      <c r="S19" s="7" t="s">
        <v>9</v>
      </c>
      <c r="T19" s="12" t="s">
        <v>9</v>
      </c>
      <c r="U19" s="7" t="s">
        <v>53</v>
      </c>
      <c r="V19" s="7" t="s">
        <v>53</v>
      </c>
    </row>
    <row r="20" spans="1:23" x14ac:dyDescent="0.25">
      <c r="A20" s="19" t="str">
        <f t="shared" si="0"/>
        <v>COMPLETO</v>
      </c>
      <c r="B20" s="20" t="s">
        <v>44</v>
      </c>
      <c r="C20" s="17" t="s">
        <v>260</v>
      </c>
      <c r="D20" s="18" t="s">
        <v>297</v>
      </c>
      <c r="E20" s="18" t="s">
        <v>298</v>
      </c>
      <c r="F20" s="7" t="s">
        <v>53</v>
      </c>
      <c r="G20" s="7" t="s">
        <v>53</v>
      </c>
      <c r="H20" s="7" t="s">
        <v>53</v>
      </c>
      <c r="I20" s="7" t="s">
        <v>9</v>
      </c>
      <c r="J20" s="11" t="s">
        <v>9</v>
      </c>
      <c r="K20" s="11" t="s">
        <v>9</v>
      </c>
      <c r="L20" s="7" t="s">
        <v>9</v>
      </c>
      <c r="M20" s="11" t="s">
        <v>9</v>
      </c>
      <c r="N20" s="11" t="s">
        <v>9</v>
      </c>
      <c r="O20" s="11" t="s">
        <v>9</v>
      </c>
      <c r="P20" s="7">
        <v>18</v>
      </c>
      <c r="Q20" s="8" t="s">
        <v>53</v>
      </c>
      <c r="R20" s="7" t="s">
        <v>53</v>
      </c>
      <c r="S20" s="7" t="s">
        <v>53</v>
      </c>
      <c r="T20" s="12" t="s">
        <v>9</v>
      </c>
      <c r="U20" s="7" t="s">
        <v>53</v>
      </c>
      <c r="V20" s="7" t="s">
        <v>53</v>
      </c>
    </row>
    <row r="21" spans="1:23" x14ac:dyDescent="0.25">
      <c r="A21" s="19" t="str">
        <f t="shared" si="0"/>
        <v>COMPLETO</v>
      </c>
      <c r="B21" s="20" t="s">
        <v>45</v>
      </c>
      <c r="C21" s="17" t="s">
        <v>261</v>
      </c>
      <c r="D21" s="18" t="s">
        <v>299</v>
      </c>
      <c r="E21" s="18" t="s">
        <v>300</v>
      </c>
      <c r="F21" s="7" t="s">
        <v>53</v>
      </c>
      <c r="G21" s="7" t="s">
        <v>53</v>
      </c>
      <c r="H21" s="7" t="s">
        <v>53</v>
      </c>
      <c r="I21" s="7" t="s">
        <v>9</v>
      </c>
      <c r="J21" s="11" t="s">
        <v>9</v>
      </c>
      <c r="K21" s="11" t="s">
        <v>9</v>
      </c>
      <c r="L21" s="7" t="s">
        <v>9</v>
      </c>
      <c r="M21" s="11" t="s">
        <v>9</v>
      </c>
      <c r="N21" s="11" t="s">
        <v>9</v>
      </c>
      <c r="O21" s="11" t="s">
        <v>9</v>
      </c>
      <c r="P21" s="7" t="s">
        <v>9</v>
      </c>
      <c r="Q21" s="8" t="s">
        <v>7</v>
      </c>
      <c r="R21" s="7" t="s">
        <v>9</v>
      </c>
      <c r="S21" s="7" t="s">
        <v>9</v>
      </c>
      <c r="T21" s="12" t="s">
        <v>9</v>
      </c>
      <c r="U21" s="7" t="s">
        <v>53</v>
      </c>
      <c r="V21" s="7" t="s">
        <v>53</v>
      </c>
    </row>
    <row r="22" spans="1:23" x14ac:dyDescent="0.25">
      <c r="A22" s="19" t="str">
        <f t="shared" si="0"/>
        <v>FALTA</v>
      </c>
      <c r="B22" s="20" t="s">
        <v>46</v>
      </c>
      <c r="C22" s="17" t="s">
        <v>262</v>
      </c>
      <c r="D22" s="18" t="s">
        <v>301</v>
      </c>
      <c r="E22" s="18" t="s">
        <v>2479</v>
      </c>
      <c r="F22" s="7" t="s">
        <v>53</v>
      </c>
      <c r="G22" s="7" t="s">
        <v>53</v>
      </c>
      <c r="H22" s="7" t="s">
        <v>53</v>
      </c>
      <c r="I22" s="7" t="s">
        <v>53</v>
      </c>
      <c r="J22" s="11" t="s">
        <v>53</v>
      </c>
      <c r="K22" s="11" t="s">
        <v>53</v>
      </c>
      <c r="L22" s="7" t="s">
        <v>9</v>
      </c>
      <c r="M22" s="11" t="s">
        <v>9</v>
      </c>
      <c r="N22" s="11" t="s">
        <v>9</v>
      </c>
      <c r="O22" s="11" t="s">
        <v>9</v>
      </c>
      <c r="P22" s="7" t="s">
        <v>9</v>
      </c>
      <c r="Q22" s="8" t="s">
        <v>7</v>
      </c>
      <c r="R22" s="7" t="s">
        <v>9</v>
      </c>
      <c r="S22" s="7" t="s">
        <v>9</v>
      </c>
      <c r="T22" s="12" t="s">
        <v>53</v>
      </c>
      <c r="U22" s="7" t="s">
        <v>7</v>
      </c>
      <c r="V22" s="7" t="s">
        <v>8</v>
      </c>
    </row>
    <row r="23" spans="1:23" x14ac:dyDescent="0.25">
      <c r="A23" s="19" t="str">
        <f t="shared" si="0"/>
        <v>COMPLETO</v>
      </c>
      <c r="B23" s="20" t="s">
        <v>47</v>
      </c>
      <c r="C23" s="17" t="s">
        <v>243</v>
      </c>
      <c r="D23" s="18" t="s">
        <v>302</v>
      </c>
      <c r="E23" s="18" t="s">
        <v>303</v>
      </c>
      <c r="F23" s="7" t="s">
        <v>53</v>
      </c>
      <c r="G23" s="7" t="s">
        <v>53</v>
      </c>
      <c r="H23" s="7" t="s">
        <v>53</v>
      </c>
      <c r="I23" s="7" t="s">
        <v>9</v>
      </c>
      <c r="J23" s="11" t="s">
        <v>9</v>
      </c>
      <c r="K23" s="11" t="s">
        <v>9</v>
      </c>
      <c r="L23" s="7" t="s">
        <v>9</v>
      </c>
      <c r="M23" s="11" t="s">
        <v>9</v>
      </c>
      <c r="N23" s="11" t="s">
        <v>9</v>
      </c>
      <c r="O23" s="11" t="s">
        <v>9</v>
      </c>
      <c r="P23" s="7">
        <v>12</v>
      </c>
      <c r="Q23" s="8" t="s">
        <v>53</v>
      </c>
      <c r="R23" s="7" t="s">
        <v>53</v>
      </c>
      <c r="S23" s="7" t="s">
        <v>53</v>
      </c>
      <c r="T23" s="12" t="s">
        <v>9</v>
      </c>
      <c r="U23" s="7" t="s">
        <v>53</v>
      </c>
      <c r="V23" s="7">
        <v>12</v>
      </c>
    </row>
    <row r="24" spans="1:23" x14ac:dyDescent="0.25">
      <c r="A24" s="19" t="str">
        <f t="shared" si="0"/>
        <v>COMPLETO</v>
      </c>
      <c r="B24" s="20" t="s">
        <v>48</v>
      </c>
      <c r="C24" s="17" t="s">
        <v>263</v>
      </c>
      <c r="D24" s="18" t="s">
        <v>304</v>
      </c>
      <c r="E24" s="18" t="s">
        <v>305</v>
      </c>
      <c r="F24" s="7" t="s">
        <v>53</v>
      </c>
      <c r="G24" s="7" t="s">
        <v>53</v>
      </c>
      <c r="H24" s="7" t="s">
        <v>53</v>
      </c>
      <c r="I24" s="7" t="s">
        <v>9</v>
      </c>
      <c r="J24" s="11" t="s">
        <v>9</v>
      </c>
      <c r="K24" s="11" t="s">
        <v>9</v>
      </c>
      <c r="L24" s="7" t="s">
        <v>9</v>
      </c>
      <c r="M24" s="11" t="s">
        <v>9</v>
      </c>
      <c r="N24" s="11" t="s">
        <v>9</v>
      </c>
      <c r="O24" s="11" t="s">
        <v>9</v>
      </c>
      <c r="P24" s="7">
        <v>12</v>
      </c>
      <c r="Q24" s="8" t="s">
        <v>53</v>
      </c>
      <c r="R24" s="7" t="s">
        <v>53</v>
      </c>
      <c r="S24" s="7" t="s">
        <v>53</v>
      </c>
      <c r="T24" s="12" t="s">
        <v>9</v>
      </c>
      <c r="U24" s="7" t="s">
        <v>53</v>
      </c>
      <c r="V24" s="7">
        <v>12</v>
      </c>
    </row>
    <row r="25" spans="1:23" x14ac:dyDescent="0.25">
      <c r="A25" s="19" t="str">
        <f t="shared" si="0"/>
        <v>COMPLETO</v>
      </c>
      <c r="B25" s="20" t="s">
        <v>49</v>
      </c>
      <c r="C25" s="17" t="s">
        <v>264</v>
      </c>
      <c r="D25" s="18" t="s">
        <v>306</v>
      </c>
      <c r="E25" s="18" t="s">
        <v>307</v>
      </c>
      <c r="F25" s="7" t="s">
        <v>53</v>
      </c>
      <c r="G25" s="7" t="s">
        <v>53</v>
      </c>
      <c r="H25" s="7" t="s">
        <v>53</v>
      </c>
      <c r="I25" s="7" t="s">
        <v>9</v>
      </c>
      <c r="J25" s="11" t="s">
        <v>9</v>
      </c>
      <c r="K25" s="11" t="s">
        <v>9</v>
      </c>
      <c r="L25" s="7" t="s">
        <v>9</v>
      </c>
      <c r="M25" s="11" t="s">
        <v>9</v>
      </c>
      <c r="N25" s="11" t="s">
        <v>9</v>
      </c>
      <c r="O25" s="11" t="s">
        <v>9</v>
      </c>
      <c r="P25" s="7" t="s">
        <v>9</v>
      </c>
      <c r="Q25" s="8" t="s">
        <v>7</v>
      </c>
      <c r="R25" s="7" t="s">
        <v>9</v>
      </c>
      <c r="S25" s="7" t="s">
        <v>9</v>
      </c>
      <c r="T25" s="12" t="s">
        <v>9</v>
      </c>
      <c r="U25" s="7" t="s">
        <v>53</v>
      </c>
      <c r="V25" s="7" t="s">
        <v>53</v>
      </c>
    </row>
    <row r="26" spans="1:23" x14ac:dyDescent="0.25">
      <c r="A26" s="19" t="str">
        <f t="shared" si="0"/>
        <v>COMPLETO</v>
      </c>
      <c r="B26" s="20" t="s">
        <v>50</v>
      </c>
      <c r="C26" s="17" t="s">
        <v>265</v>
      </c>
      <c r="D26" s="18" t="s">
        <v>308</v>
      </c>
      <c r="E26" s="18" t="s">
        <v>309</v>
      </c>
      <c r="F26" s="7" t="s">
        <v>53</v>
      </c>
      <c r="G26" s="7" t="s">
        <v>53</v>
      </c>
      <c r="H26" s="7" t="s">
        <v>53</v>
      </c>
      <c r="I26" s="7" t="s">
        <v>53</v>
      </c>
      <c r="J26" s="11" t="s">
        <v>9</v>
      </c>
      <c r="K26" s="11" t="s">
        <v>9</v>
      </c>
      <c r="L26" s="7" t="s">
        <v>9</v>
      </c>
      <c r="M26" s="11" t="s">
        <v>9</v>
      </c>
      <c r="N26" s="11" t="s">
        <v>9</v>
      </c>
      <c r="O26" s="11" t="s">
        <v>9</v>
      </c>
      <c r="P26" s="7" t="s">
        <v>9</v>
      </c>
      <c r="Q26" s="8" t="s">
        <v>7</v>
      </c>
      <c r="R26" s="7" t="s">
        <v>9</v>
      </c>
      <c r="S26" s="7" t="s">
        <v>9</v>
      </c>
      <c r="T26" s="12" t="s">
        <v>9</v>
      </c>
      <c r="U26" s="7" t="s">
        <v>53</v>
      </c>
      <c r="V26" s="7" t="s">
        <v>53</v>
      </c>
    </row>
    <row r="27" spans="1:23" x14ac:dyDescent="0.25">
      <c r="A27" s="19" t="str">
        <f t="shared" si="0"/>
        <v>COMPLETO</v>
      </c>
      <c r="B27" s="20" t="s">
        <v>51</v>
      </c>
      <c r="C27" s="17" t="s">
        <v>266</v>
      </c>
      <c r="D27" s="18" t="s">
        <v>310</v>
      </c>
      <c r="E27" s="18" t="s">
        <v>311</v>
      </c>
      <c r="F27" s="7" t="s">
        <v>53</v>
      </c>
      <c r="G27" s="7" t="s">
        <v>53</v>
      </c>
      <c r="H27" s="7" t="s">
        <v>53</v>
      </c>
      <c r="I27" s="7" t="s">
        <v>53</v>
      </c>
      <c r="J27" s="11" t="s">
        <v>53</v>
      </c>
      <c r="K27" s="11" t="s">
        <v>9</v>
      </c>
      <c r="L27" s="7" t="s">
        <v>9</v>
      </c>
      <c r="M27" s="11" t="s">
        <v>9</v>
      </c>
      <c r="N27" s="11" t="s">
        <v>9</v>
      </c>
      <c r="O27" s="11" t="s">
        <v>9</v>
      </c>
      <c r="P27" s="7" t="s">
        <v>9</v>
      </c>
      <c r="Q27" s="8" t="s">
        <v>7</v>
      </c>
      <c r="R27" s="7" t="s">
        <v>9</v>
      </c>
      <c r="S27" s="7" t="s">
        <v>9</v>
      </c>
      <c r="T27" s="12" t="s">
        <v>9</v>
      </c>
      <c r="U27" s="7" t="s">
        <v>53</v>
      </c>
      <c r="V27" s="7" t="s">
        <v>53</v>
      </c>
      <c r="W27" s="4" t="s">
        <v>2478</v>
      </c>
    </row>
    <row r="28" spans="1:23" x14ac:dyDescent="0.25">
      <c r="A28" s="19" t="str">
        <f t="shared" si="0"/>
        <v>COMPLETO</v>
      </c>
      <c r="B28" s="20" t="s">
        <v>52</v>
      </c>
      <c r="C28" s="17" t="s">
        <v>267</v>
      </c>
      <c r="D28" s="18" t="s">
        <v>312</v>
      </c>
      <c r="E28" s="18" t="s">
        <v>313</v>
      </c>
      <c r="F28" s="7" t="s">
        <v>53</v>
      </c>
      <c r="G28" s="7" t="s">
        <v>53</v>
      </c>
      <c r="H28" s="7" t="s">
        <v>53</v>
      </c>
      <c r="I28" s="7" t="s">
        <v>9</v>
      </c>
      <c r="J28" s="11" t="s">
        <v>9</v>
      </c>
      <c r="K28" s="11" t="s">
        <v>9</v>
      </c>
      <c r="L28" s="7" t="s">
        <v>9</v>
      </c>
      <c r="M28" s="11" t="s">
        <v>9</v>
      </c>
      <c r="N28" s="11" t="s">
        <v>9</v>
      </c>
      <c r="O28" s="11" t="s">
        <v>9</v>
      </c>
      <c r="P28" s="7" t="s">
        <v>9</v>
      </c>
      <c r="Q28" s="8" t="s">
        <v>7</v>
      </c>
      <c r="R28" s="7" t="s">
        <v>9</v>
      </c>
      <c r="S28" s="7" t="s">
        <v>9</v>
      </c>
      <c r="T28" s="12" t="s">
        <v>9</v>
      </c>
      <c r="U28" s="7" t="s">
        <v>53</v>
      </c>
      <c r="V28" s="7" t="s">
        <v>53</v>
      </c>
    </row>
    <row r="29" spans="1:23" x14ac:dyDescent="0.25">
      <c r="A29" s="19"/>
      <c r="B29" s="20"/>
      <c r="C29" s="17"/>
      <c r="D29" s="18"/>
      <c r="E29" s="18"/>
      <c r="F29" s="7"/>
      <c r="G29" s="7"/>
      <c r="H29" s="7"/>
      <c r="I29" s="7"/>
      <c r="J29" s="11"/>
      <c r="K29" s="11"/>
      <c r="L29" s="7"/>
      <c r="M29" s="11"/>
      <c r="N29" s="11"/>
      <c r="O29" s="11"/>
      <c r="P29" s="7"/>
      <c r="Q29" s="8"/>
      <c r="R29" s="7"/>
      <c r="S29" s="7"/>
      <c r="T29" s="12"/>
      <c r="U29" s="7"/>
      <c r="V29" s="7"/>
    </row>
    <row r="30" spans="1:23" x14ac:dyDescent="0.25">
      <c r="A30" s="19"/>
      <c r="B30" s="20"/>
      <c r="C30" s="17"/>
      <c r="D30" s="18"/>
      <c r="E30" s="18"/>
      <c r="F30" s="7"/>
      <c r="G30" s="7"/>
      <c r="H30" s="7"/>
      <c r="I30" s="7"/>
      <c r="J30" s="11"/>
      <c r="K30" s="11"/>
      <c r="L30" s="7"/>
      <c r="M30" s="11"/>
      <c r="N30" s="11"/>
      <c r="O30" s="11"/>
      <c r="P30" s="7"/>
      <c r="Q30" s="8"/>
      <c r="R30" s="7"/>
      <c r="S30" s="7"/>
      <c r="T30" s="12"/>
      <c r="U30" s="7"/>
      <c r="V30" s="7"/>
    </row>
    <row r="31" spans="1:23" x14ac:dyDescent="0.25">
      <c r="A31" s="19"/>
      <c r="B31" s="20"/>
      <c r="C31" s="17"/>
      <c r="D31" s="18"/>
      <c r="E31" s="18"/>
      <c r="F31" s="7"/>
      <c r="G31" s="7"/>
      <c r="H31" s="7"/>
      <c r="I31" s="7"/>
      <c r="J31" s="11"/>
      <c r="K31" s="11"/>
      <c r="L31" s="7"/>
      <c r="M31" s="11"/>
      <c r="N31" s="11"/>
      <c r="O31" s="11"/>
      <c r="P31" s="7"/>
      <c r="Q31" s="8"/>
      <c r="R31" s="7"/>
      <c r="S31" s="7"/>
      <c r="T31" s="12"/>
      <c r="U31" s="7"/>
      <c r="V31" s="7"/>
    </row>
    <row r="32" spans="1:23"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752" priority="35" operator="equal">
      <formula>"F"</formula>
    </cfRule>
    <cfRule type="cellIs" dxfId="751" priority="36" operator="equal">
      <formula>"OK"</formula>
    </cfRule>
    <cfRule type="cellIs" dxfId="750" priority="37" operator="between">
      <formula>6</formula>
      <formula>18</formula>
    </cfRule>
  </conditionalFormatting>
  <conditionalFormatting sqref="C1:E1 A2:E2 C3:C4 E3:E4 A5:E1048576">
    <cfRule type="expression" dxfId="749" priority="33">
      <formula>$A1="FALTA"</formula>
    </cfRule>
    <cfRule type="expression" dxfId="748" priority="34">
      <formula>$A1="COMPLETO"</formula>
    </cfRule>
  </conditionalFormatting>
  <conditionalFormatting sqref="B3">
    <cfRule type="expression" dxfId="747" priority="19">
      <formula>$A3="FALTA"</formula>
    </cfRule>
    <cfRule type="expression" dxfId="746" priority="20">
      <formula>$A3="COMPLETO"</formula>
    </cfRule>
  </conditionalFormatting>
  <conditionalFormatting sqref="D3:D4">
    <cfRule type="expression" dxfId="745" priority="17">
      <formula>$A3="FALTA"</formula>
    </cfRule>
    <cfRule type="expression" dxfId="744" priority="18">
      <formula>$A3="COMPLETO"</formula>
    </cfRule>
  </conditionalFormatting>
  <conditionalFormatting sqref="F4">
    <cfRule type="cellIs" dxfId="743" priority="14" operator="equal">
      <formula>"F"</formula>
    </cfRule>
    <cfRule type="cellIs" dxfId="742" priority="15" operator="equal">
      <formula>"OK"</formula>
    </cfRule>
    <cfRule type="cellIs" dxfId="741" priority="16" operator="between">
      <formula>6</formula>
      <formula>18</formula>
    </cfRule>
  </conditionalFormatting>
  <conditionalFormatting sqref="A1:B1">
    <cfRule type="expression" dxfId="740" priority="12">
      <formula>$A1="FALTA"</formula>
    </cfRule>
    <cfRule type="expression" dxfId="739" priority="13">
      <formula>$A1="COMPLETO"</formula>
    </cfRule>
  </conditionalFormatting>
  <conditionalFormatting sqref="U3:V3">
    <cfRule type="cellIs" dxfId="738" priority="6" operator="equal">
      <formula>"F"</formula>
    </cfRule>
    <cfRule type="cellIs" dxfId="737" priority="7" operator="equal">
      <formula>"OK"</formula>
    </cfRule>
    <cfRule type="cellIs" dxfId="736" priority="8" operator="between">
      <formula>6</formula>
      <formula>18</formula>
    </cfRule>
  </conditionalFormatting>
  <conditionalFormatting sqref="F3">
    <cfRule type="cellIs" dxfId="735" priority="3" operator="equal">
      <formula>"F"</formula>
    </cfRule>
    <cfRule type="cellIs" dxfId="734" priority="4" operator="equal">
      <formula>"OK"</formula>
    </cfRule>
    <cfRule type="cellIs" dxfId="733" priority="5" operator="between">
      <formula>6</formula>
      <formula>18</formula>
    </cfRule>
  </conditionalFormatting>
  <conditionalFormatting sqref="A3">
    <cfRule type="expression" dxfId="732" priority="1">
      <formula>$A3="FALTA"</formula>
    </cfRule>
    <cfRule type="expression" dxfId="731"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I4 T3:T4 M3:M4 P4 R3:R4 F5:O4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0">
    <tabColor rgb="FF004079"/>
    <outlinePr summaryBelow="0" summaryRight="0"/>
  </sheetPr>
  <dimension ref="A1:V44"/>
  <sheetViews>
    <sheetView zoomScaleNormal="100" workbookViewId="0">
      <pane ySplit="2" topLeftCell="A3" activePane="bottomLeft" state="frozen"/>
      <selection pane="bottomLeft" activeCell="V13" sqref="V13"/>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ZDiego Puerta 1-34</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FALTA</v>
      </c>
      <c r="B3" s="385" t="s">
        <v>116</v>
      </c>
      <c r="C3" s="23" t="s">
        <v>314</v>
      </c>
      <c r="D3" s="29" t="s">
        <v>5</v>
      </c>
      <c r="E3" s="10" t="s">
        <v>316</v>
      </c>
      <c r="F3" s="30">
        <f>IF(AND(ISBLANK(U3),ISBLANK(V3)),1-(COUNTIF(G3:V4,"F")/7),1-(COUNTIF(U3:V3,"F")/2))</f>
        <v>0.85714285714285721</v>
      </c>
      <c r="G3" s="24"/>
      <c r="H3" s="24"/>
      <c r="I3" s="24"/>
      <c r="J3" s="24"/>
      <c r="K3" s="24"/>
      <c r="L3" s="24" t="s">
        <v>28</v>
      </c>
      <c r="M3" s="11" t="s">
        <v>53</v>
      </c>
      <c r="N3" s="24"/>
      <c r="O3" s="24"/>
      <c r="P3" s="25"/>
      <c r="Q3" s="24" t="s">
        <v>24</v>
      </c>
      <c r="R3" s="11" t="s">
        <v>8</v>
      </c>
      <c r="S3" s="24" t="s">
        <v>12</v>
      </c>
      <c r="T3" s="11" t="s">
        <v>53</v>
      </c>
      <c r="U3" s="381"/>
      <c r="V3" s="381"/>
    </row>
    <row r="4" spans="1:22" x14ac:dyDescent="0.25">
      <c r="A4" s="384"/>
      <c r="B4" s="386"/>
      <c r="C4" s="23" t="s">
        <v>315</v>
      </c>
      <c r="D4" s="29" t="s">
        <v>6</v>
      </c>
      <c r="E4" s="10" t="s">
        <v>317</v>
      </c>
      <c r="F4" s="30">
        <f>COUNTIF(A5:A44,"*COMPLETO*")/COUNTA(A5:A44)</f>
        <v>0.77419354838709675</v>
      </c>
      <c r="G4" s="24"/>
      <c r="H4" s="24" t="s">
        <v>18</v>
      </c>
      <c r="I4" s="11" t="s">
        <v>53</v>
      </c>
      <c r="J4" s="24"/>
      <c r="K4" s="24"/>
      <c r="L4" s="24" t="s">
        <v>23</v>
      </c>
      <c r="M4" s="11" t="s">
        <v>53</v>
      </c>
      <c r="N4" s="24"/>
      <c r="O4" s="24"/>
      <c r="P4" s="11"/>
      <c r="Q4" s="24" t="s">
        <v>26</v>
      </c>
      <c r="R4" s="11" t="s">
        <v>53</v>
      </c>
      <c r="S4" s="24" t="s">
        <v>19</v>
      </c>
      <c r="T4" s="11" t="s">
        <v>53</v>
      </c>
      <c r="U4" s="382"/>
      <c r="V4" s="382"/>
    </row>
    <row r="5" spans="1:22" ht="15" customHeight="1" x14ac:dyDescent="0.25">
      <c r="A5" s="19" t="str">
        <f>IF(COUNTIF(F5:V5,"F")&gt;0,"FALTA","COMPLETO")</f>
        <v>COMPLETO</v>
      </c>
      <c r="B5" s="20" t="s">
        <v>151</v>
      </c>
      <c r="C5" s="17" t="s">
        <v>411</v>
      </c>
      <c r="D5" s="18" t="s">
        <v>436</v>
      </c>
      <c r="E5" s="18" t="s">
        <v>437</v>
      </c>
      <c r="F5" s="7" t="s">
        <v>53</v>
      </c>
      <c r="G5" s="7" t="s">
        <v>53</v>
      </c>
      <c r="H5" s="7" t="s">
        <v>53</v>
      </c>
      <c r="I5" s="7" t="s">
        <v>53</v>
      </c>
      <c r="J5" s="11" t="s">
        <v>9</v>
      </c>
      <c r="K5" s="11" t="s">
        <v>9</v>
      </c>
      <c r="L5" s="7" t="s">
        <v>9</v>
      </c>
      <c r="M5" s="11" t="s">
        <v>9</v>
      </c>
      <c r="N5" s="11" t="s">
        <v>9</v>
      </c>
      <c r="O5" s="11" t="s">
        <v>9</v>
      </c>
      <c r="P5" s="7" t="s">
        <v>9</v>
      </c>
      <c r="Q5" s="8" t="s">
        <v>9</v>
      </c>
      <c r="R5" s="7" t="s">
        <v>9</v>
      </c>
      <c r="S5" s="7" t="s">
        <v>9</v>
      </c>
      <c r="T5" s="12" t="s">
        <v>9</v>
      </c>
      <c r="U5" s="7"/>
      <c r="V5" s="7" t="s">
        <v>116</v>
      </c>
    </row>
    <row r="6" spans="1:22" ht="15" customHeight="1" x14ac:dyDescent="0.25">
      <c r="A6" s="19" t="str">
        <f t="shared" ref="A6:A35" si="0">IF(COUNTIF(F6:V6,"F")&gt;0,"FALTA","COMPLETO")</f>
        <v>FALTA</v>
      </c>
      <c r="B6" s="20" t="s">
        <v>155</v>
      </c>
      <c r="C6" s="17" t="s">
        <v>412</v>
      </c>
      <c r="D6" s="18" t="s">
        <v>438</v>
      </c>
      <c r="E6" s="18" t="s">
        <v>1747</v>
      </c>
      <c r="F6" s="7" t="s">
        <v>8</v>
      </c>
      <c r="G6" s="7" t="s">
        <v>8</v>
      </c>
      <c r="H6" s="7" t="s">
        <v>53</v>
      </c>
      <c r="I6" s="7" t="s">
        <v>9</v>
      </c>
      <c r="J6" s="11" t="s">
        <v>9</v>
      </c>
      <c r="K6" s="11" t="s">
        <v>9</v>
      </c>
      <c r="L6" s="7" t="s">
        <v>9</v>
      </c>
      <c r="M6" s="11" t="s">
        <v>9</v>
      </c>
      <c r="N6" s="11" t="s">
        <v>9</v>
      </c>
      <c r="O6" s="11" t="s">
        <v>9</v>
      </c>
      <c r="P6" s="7" t="s">
        <v>9</v>
      </c>
      <c r="Q6" s="8" t="s">
        <v>9</v>
      </c>
      <c r="R6" s="7" t="s">
        <v>9</v>
      </c>
      <c r="S6" s="7" t="s">
        <v>9</v>
      </c>
      <c r="T6" s="12" t="s">
        <v>9</v>
      </c>
      <c r="U6" s="7"/>
      <c r="V6" s="7" t="s">
        <v>116</v>
      </c>
    </row>
    <row r="7" spans="1:22" ht="15" customHeight="1" x14ac:dyDescent="0.25">
      <c r="A7" s="19" t="str">
        <f t="shared" si="0"/>
        <v>COMPLETO</v>
      </c>
      <c r="B7" s="20" t="s">
        <v>156</v>
      </c>
      <c r="C7" s="17" t="s">
        <v>413</v>
      </c>
      <c r="D7" s="18" t="s">
        <v>1347</v>
      </c>
      <c r="E7" s="18" t="s">
        <v>1347</v>
      </c>
      <c r="F7" s="7" t="s">
        <v>53</v>
      </c>
      <c r="G7" s="7" t="s">
        <v>53</v>
      </c>
      <c r="H7" s="7" t="s">
        <v>53</v>
      </c>
      <c r="I7" s="7" t="s">
        <v>9</v>
      </c>
      <c r="J7" s="11" t="s">
        <v>9</v>
      </c>
      <c r="K7" s="11" t="s">
        <v>9</v>
      </c>
      <c r="L7" s="7" t="s">
        <v>9</v>
      </c>
      <c r="M7" s="11" t="s">
        <v>9</v>
      </c>
      <c r="N7" s="11" t="s">
        <v>9</v>
      </c>
      <c r="O7" s="11" t="s">
        <v>9</v>
      </c>
      <c r="P7" s="7" t="s">
        <v>9</v>
      </c>
      <c r="Q7" s="8" t="s">
        <v>9</v>
      </c>
      <c r="R7" s="7" t="s">
        <v>9</v>
      </c>
      <c r="S7" s="7" t="s">
        <v>9</v>
      </c>
      <c r="T7" s="12" t="s">
        <v>9</v>
      </c>
      <c r="U7" s="7"/>
      <c r="V7" s="7" t="s">
        <v>116</v>
      </c>
    </row>
    <row r="8" spans="1:22" x14ac:dyDescent="0.25">
      <c r="A8" s="19" t="str">
        <f t="shared" si="0"/>
        <v>FALTA</v>
      </c>
      <c r="B8" s="20" t="s">
        <v>158</v>
      </c>
      <c r="C8" s="17" t="s">
        <v>414</v>
      </c>
      <c r="D8" s="18" t="s">
        <v>439</v>
      </c>
      <c r="E8" s="18" t="s">
        <v>440</v>
      </c>
      <c r="F8" s="7" t="s">
        <v>8</v>
      </c>
      <c r="G8" s="7" t="s">
        <v>8</v>
      </c>
      <c r="H8" s="7" t="s">
        <v>53</v>
      </c>
      <c r="I8" s="7" t="s">
        <v>9</v>
      </c>
      <c r="J8" s="11" t="s">
        <v>9</v>
      </c>
      <c r="K8" s="11" t="s">
        <v>9</v>
      </c>
      <c r="L8" s="7" t="s">
        <v>9</v>
      </c>
      <c r="M8" s="11" t="s">
        <v>9</v>
      </c>
      <c r="N8" s="11" t="s">
        <v>9</v>
      </c>
      <c r="O8" s="11" t="s">
        <v>9</v>
      </c>
      <c r="P8" s="7" t="s">
        <v>9</v>
      </c>
      <c r="Q8" s="8" t="s">
        <v>9</v>
      </c>
      <c r="R8" s="7" t="s">
        <v>9</v>
      </c>
      <c r="S8" s="7" t="s">
        <v>9</v>
      </c>
      <c r="T8" s="12" t="s">
        <v>9</v>
      </c>
      <c r="U8" s="7"/>
      <c r="V8" s="7" t="s">
        <v>116</v>
      </c>
    </row>
    <row r="9" spans="1:22" x14ac:dyDescent="0.25">
      <c r="A9" s="19" t="str">
        <f t="shared" si="0"/>
        <v>COMPLETO</v>
      </c>
      <c r="B9" s="20" t="s">
        <v>160</v>
      </c>
      <c r="C9" s="17" t="s">
        <v>415</v>
      </c>
      <c r="D9" s="18" t="s">
        <v>441</v>
      </c>
      <c r="E9" s="18" t="s">
        <v>442</v>
      </c>
      <c r="F9" s="7" t="s">
        <v>53</v>
      </c>
      <c r="G9" s="7" t="s">
        <v>53</v>
      </c>
      <c r="H9" s="7" t="s">
        <v>53</v>
      </c>
      <c r="I9" s="7" t="s">
        <v>53</v>
      </c>
      <c r="J9" s="11" t="s">
        <v>9</v>
      </c>
      <c r="K9" s="11" t="s">
        <v>9</v>
      </c>
      <c r="L9" s="7" t="s">
        <v>9</v>
      </c>
      <c r="M9" s="11" t="s">
        <v>9</v>
      </c>
      <c r="N9" s="11" t="s">
        <v>9</v>
      </c>
      <c r="O9" s="11" t="s">
        <v>9</v>
      </c>
      <c r="P9" s="7" t="s">
        <v>9</v>
      </c>
      <c r="Q9" s="8" t="s">
        <v>9</v>
      </c>
      <c r="R9" s="7" t="s">
        <v>9</v>
      </c>
      <c r="S9" s="7" t="s">
        <v>9</v>
      </c>
      <c r="T9" s="12" t="s">
        <v>9</v>
      </c>
      <c r="U9" s="7"/>
      <c r="V9" s="7" t="s">
        <v>116</v>
      </c>
    </row>
    <row r="10" spans="1:22" x14ac:dyDescent="0.25">
      <c r="A10" s="19" t="str">
        <f t="shared" si="0"/>
        <v>COMPLETO</v>
      </c>
      <c r="B10" s="20" t="s">
        <v>162</v>
      </c>
      <c r="C10" s="17" t="s">
        <v>315</v>
      </c>
      <c r="D10" s="18" t="s">
        <v>443</v>
      </c>
      <c r="E10" s="18" t="s">
        <v>1279</v>
      </c>
      <c r="F10" s="7" t="s">
        <v>53</v>
      </c>
      <c r="G10" s="7" t="s">
        <v>53</v>
      </c>
      <c r="H10" s="7" t="s">
        <v>53</v>
      </c>
      <c r="I10" s="7" t="s">
        <v>53</v>
      </c>
      <c r="J10" s="11" t="s">
        <v>9</v>
      </c>
      <c r="K10" s="11" t="s">
        <v>9</v>
      </c>
      <c r="L10" s="7" t="s">
        <v>9</v>
      </c>
      <c r="M10" s="11" t="s">
        <v>9</v>
      </c>
      <c r="N10" s="11" t="s">
        <v>9</v>
      </c>
      <c r="O10" s="11" t="s">
        <v>9</v>
      </c>
      <c r="P10" s="7" t="s">
        <v>9</v>
      </c>
      <c r="Q10" s="8" t="s">
        <v>9</v>
      </c>
      <c r="R10" s="7" t="s">
        <v>9</v>
      </c>
      <c r="S10" s="7" t="s">
        <v>9</v>
      </c>
      <c r="T10" s="12" t="s">
        <v>9</v>
      </c>
      <c r="U10" s="7"/>
      <c r="V10" s="7" t="s">
        <v>116</v>
      </c>
    </row>
    <row r="11" spans="1:22" x14ac:dyDescent="0.25">
      <c r="A11" s="19" t="str">
        <f t="shared" si="0"/>
        <v>COMPLETO</v>
      </c>
      <c r="B11" s="20" t="s">
        <v>164</v>
      </c>
      <c r="C11" s="17" t="s">
        <v>416</v>
      </c>
      <c r="D11" s="18" t="s">
        <v>444</v>
      </c>
      <c r="E11" s="18" t="s">
        <v>1737</v>
      </c>
      <c r="F11" s="7" t="s">
        <v>53</v>
      </c>
      <c r="G11" s="7" t="s">
        <v>53</v>
      </c>
      <c r="H11" s="7" t="s">
        <v>53</v>
      </c>
      <c r="I11" s="7" t="s">
        <v>53</v>
      </c>
      <c r="J11" s="11" t="s">
        <v>9</v>
      </c>
      <c r="K11" s="11" t="s">
        <v>9</v>
      </c>
      <c r="L11" s="7" t="s">
        <v>9</v>
      </c>
      <c r="M11" s="11" t="s">
        <v>9</v>
      </c>
      <c r="N11" s="11" t="s">
        <v>9</v>
      </c>
      <c r="O11" s="11" t="s">
        <v>9</v>
      </c>
      <c r="P11" s="7" t="s">
        <v>9</v>
      </c>
      <c r="Q11" s="8" t="s">
        <v>9</v>
      </c>
      <c r="R11" s="7" t="s">
        <v>9</v>
      </c>
      <c r="S11" s="7" t="s">
        <v>9</v>
      </c>
      <c r="T11" s="12" t="s">
        <v>9</v>
      </c>
      <c r="U11" s="7"/>
      <c r="V11" s="7" t="s">
        <v>116</v>
      </c>
    </row>
    <row r="12" spans="1:22" x14ac:dyDescent="0.25">
      <c r="A12" s="19" t="str">
        <f t="shared" si="0"/>
        <v>COMPLETO</v>
      </c>
      <c r="B12" s="20" t="s">
        <v>166</v>
      </c>
      <c r="C12" s="17" t="s">
        <v>417</v>
      </c>
      <c r="D12" s="18" t="s">
        <v>445</v>
      </c>
      <c r="E12" s="18" t="s">
        <v>1769</v>
      </c>
      <c r="F12" s="7" t="s">
        <v>53</v>
      </c>
      <c r="G12" s="7" t="s">
        <v>53</v>
      </c>
      <c r="H12" s="7" t="s">
        <v>53</v>
      </c>
      <c r="I12" s="7" t="s">
        <v>53</v>
      </c>
      <c r="J12" s="11" t="s">
        <v>53</v>
      </c>
      <c r="K12" s="11" t="s">
        <v>9</v>
      </c>
      <c r="L12" s="7" t="s">
        <v>9</v>
      </c>
      <c r="M12" s="11" t="s">
        <v>9</v>
      </c>
      <c r="N12" s="11" t="s">
        <v>9</v>
      </c>
      <c r="O12" s="11" t="s">
        <v>9</v>
      </c>
      <c r="P12" s="7" t="s">
        <v>9</v>
      </c>
      <c r="Q12" s="8" t="s">
        <v>9</v>
      </c>
      <c r="R12" s="7" t="s">
        <v>9</v>
      </c>
      <c r="S12" s="7" t="s">
        <v>9</v>
      </c>
      <c r="T12" s="12" t="s">
        <v>9</v>
      </c>
      <c r="U12" s="7"/>
      <c r="V12" s="7" t="s">
        <v>116</v>
      </c>
    </row>
    <row r="13" spans="1:22" x14ac:dyDescent="0.25">
      <c r="A13" s="19" t="str">
        <f t="shared" si="0"/>
        <v>COMPLETO</v>
      </c>
      <c r="B13" s="20" t="s">
        <v>168</v>
      </c>
      <c r="C13" s="17" t="s">
        <v>166</v>
      </c>
      <c r="D13" s="18" t="s">
        <v>445</v>
      </c>
      <c r="E13" s="22" t="s">
        <v>446</v>
      </c>
      <c r="F13" s="7"/>
      <c r="G13" s="7"/>
      <c r="H13" s="7"/>
      <c r="I13" s="7"/>
      <c r="J13" s="11"/>
      <c r="K13" s="11"/>
      <c r="L13" s="7"/>
      <c r="M13" s="11"/>
      <c r="N13" s="11"/>
      <c r="O13" s="11"/>
      <c r="P13" s="7"/>
      <c r="Q13" s="8"/>
      <c r="R13" s="7"/>
      <c r="S13" s="7"/>
      <c r="T13" s="12"/>
      <c r="U13" s="7"/>
      <c r="V13" s="7"/>
    </row>
    <row r="14" spans="1:22" x14ac:dyDescent="0.25">
      <c r="A14" s="19" t="str">
        <f t="shared" si="0"/>
        <v>COMPLETO</v>
      </c>
      <c r="B14" s="20" t="s">
        <v>170</v>
      </c>
      <c r="C14" s="17" t="s">
        <v>314</v>
      </c>
      <c r="D14" s="18" t="s">
        <v>447</v>
      </c>
      <c r="E14" s="18" t="s">
        <v>448</v>
      </c>
      <c r="F14" s="7" t="s">
        <v>53</v>
      </c>
      <c r="G14" s="7" t="s">
        <v>53</v>
      </c>
      <c r="H14" s="7" t="s">
        <v>53</v>
      </c>
      <c r="I14" s="7" t="s">
        <v>9</v>
      </c>
      <c r="J14" s="11" t="s">
        <v>9</v>
      </c>
      <c r="K14" s="11" t="s">
        <v>9</v>
      </c>
      <c r="L14" s="7" t="s">
        <v>9</v>
      </c>
      <c r="M14" s="11" t="s">
        <v>9</v>
      </c>
      <c r="N14" s="11" t="s">
        <v>9</v>
      </c>
      <c r="O14" s="11" t="s">
        <v>9</v>
      </c>
      <c r="P14" s="7" t="s">
        <v>9</v>
      </c>
      <c r="Q14" s="8" t="s">
        <v>9</v>
      </c>
      <c r="R14" s="7" t="s">
        <v>9</v>
      </c>
      <c r="S14" s="7" t="s">
        <v>9</v>
      </c>
      <c r="T14" s="12" t="s">
        <v>9</v>
      </c>
      <c r="U14" s="7"/>
      <c r="V14" s="7" t="s">
        <v>116</v>
      </c>
    </row>
    <row r="15" spans="1:22" x14ac:dyDescent="0.25">
      <c r="A15" s="19" t="str">
        <f t="shared" si="0"/>
        <v>COMPLETO</v>
      </c>
      <c r="B15" s="20" t="s">
        <v>172</v>
      </c>
      <c r="C15" s="17" t="s">
        <v>418</v>
      </c>
      <c r="D15" s="18" t="s">
        <v>449</v>
      </c>
      <c r="E15" s="18" t="s">
        <v>450</v>
      </c>
      <c r="F15" s="7" t="s">
        <v>53</v>
      </c>
      <c r="G15" s="7" t="s">
        <v>53</v>
      </c>
      <c r="H15" s="7" t="s">
        <v>53</v>
      </c>
      <c r="I15" s="7" t="s">
        <v>53</v>
      </c>
      <c r="J15" s="11" t="s">
        <v>9</v>
      </c>
      <c r="K15" s="11" t="s">
        <v>9</v>
      </c>
      <c r="L15" s="7" t="s">
        <v>9</v>
      </c>
      <c r="M15" s="11" t="s">
        <v>9</v>
      </c>
      <c r="N15" s="11" t="s">
        <v>9</v>
      </c>
      <c r="O15" s="11" t="s">
        <v>9</v>
      </c>
      <c r="P15" s="7" t="s">
        <v>9</v>
      </c>
      <c r="Q15" s="8" t="s">
        <v>9</v>
      </c>
      <c r="R15" s="7" t="s">
        <v>9</v>
      </c>
      <c r="S15" s="7" t="s">
        <v>9</v>
      </c>
      <c r="T15" s="12" t="s">
        <v>9</v>
      </c>
      <c r="U15" s="7"/>
      <c r="V15" s="7" t="s">
        <v>116</v>
      </c>
    </row>
    <row r="16" spans="1:22" x14ac:dyDescent="0.25">
      <c r="A16" s="19" t="str">
        <f t="shared" si="0"/>
        <v>COMPLETO</v>
      </c>
      <c r="B16" s="20" t="s">
        <v>174</v>
      </c>
      <c r="C16" s="17" t="s">
        <v>419</v>
      </c>
      <c r="D16" s="18" t="s">
        <v>451</v>
      </c>
      <c r="E16" s="18" t="s">
        <v>1269</v>
      </c>
      <c r="F16" s="7" t="s">
        <v>53</v>
      </c>
      <c r="G16" s="7" t="s">
        <v>53</v>
      </c>
      <c r="H16" s="7" t="s">
        <v>53</v>
      </c>
      <c r="I16" s="7" t="s">
        <v>9</v>
      </c>
      <c r="J16" s="11" t="s">
        <v>53</v>
      </c>
      <c r="K16" s="11" t="s">
        <v>9</v>
      </c>
      <c r="L16" s="7" t="s">
        <v>9</v>
      </c>
      <c r="M16" s="11" t="s">
        <v>9</v>
      </c>
      <c r="N16" s="11" t="s">
        <v>9</v>
      </c>
      <c r="O16" s="11" t="s">
        <v>9</v>
      </c>
      <c r="P16" s="7" t="s">
        <v>9</v>
      </c>
      <c r="Q16" s="8" t="s">
        <v>9</v>
      </c>
      <c r="R16" s="7" t="s">
        <v>9</v>
      </c>
      <c r="S16" s="7" t="s">
        <v>9</v>
      </c>
      <c r="T16" s="12" t="s">
        <v>9</v>
      </c>
      <c r="U16" s="7"/>
      <c r="V16" s="7" t="s">
        <v>116</v>
      </c>
    </row>
    <row r="17" spans="1:22" x14ac:dyDescent="0.25">
      <c r="A17" s="19" t="str">
        <f t="shared" si="0"/>
        <v>COMPLETO</v>
      </c>
      <c r="B17" s="20" t="s">
        <v>175</v>
      </c>
      <c r="C17" s="17" t="s">
        <v>174</v>
      </c>
      <c r="D17" s="18" t="s">
        <v>451</v>
      </c>
      <c r="E17" s="22" t="s">
        <v>452</v>
      </c>
      <c r="F17" s="7"/>
      <c r="G17" s="7"/>
      <c r="H17" s="7"/>
      <c r="I17" s="7"/>
      <c r="J17" s="11"/>
      <c r="K17" s="11"/>
      <c r="L17" s="7"/>
      <c r="M17" s="11"/>
      <c r="N17" s="11"/>
      <c r="O17" s="11"/>
      <c r="P17" s="7"/>
      <c r="Q17" s="8"/>
      <c r="R17" s="7"/>
      <c r="S17" s="7"/>
      <c r="T17" s="12"/>
      <c r="U17" s="7"/>
      <c r="V17" s="7"/>
    </row>
    <row r="18" spans="1:22" x14ac:dyDescent="0.25">
      <c r="A18" s="19" t="str">
        <f t="shared" si="0"/>
        <v>FALTA</v>
      </c>
      <c r="B18" s="20" t="s">
        <v>177</v>
      </c>
      <c r="C18" s="17" t="s">
        <v>420</v>
      </c>
      <c r="D18" s="18" t="s">
        <v>453</v>
      </c>
      <c r="E18" s="18" t="s">
        <v>453</v>
      </c>
      <c r="F18" s="7" t="s">
        <v>8</v>
      </c>
      <c r="G18" s="7" t="s">
        <v>8</v>
      </c>
      <c r="H18" s="7" t="s">
        <v>53</v>
      </c>
      <c r="I18" s="7" t="s">
        <v>9</v>
      </c>
      <c r="J18" s="11" t="s">
        <v>9</v>
      </c>
      <c r="K18" s="11" t="s">
        <v>9</v>
      </c>
      <c r="L18" s="7" t="s">
        <v>9</v>
      </c>
      <c r="M18" s="11" t="s">
        <v>9</v>
      </c>
      <c r="N18" s="11" t="s">
        <v>9</v>
      </c>
      <c r="O18" s="11" t="s">
        <v>9</v>
      </c>
      <c r="P18" s="7" t="s">
        <v>9</v>
      </c>
      <c r="Q18" s="8" t="s">
        <v>9</v>
      </c>
      <c r="R18" s="7" t="s">
        <v>9</v>
      </c>
      <c r="S18" s="7" t="s">
        <v>9</v>
      </c>
      <c r="T18" s="12" t="s">
        <v>9</v>
      </c>
      <c r="U18" s="7"/>
      <c r="V18" s="7" t="s">
        <v>116</v>
      </c>
    </row>
    <row r="19" spans="1:22" x14ac:dyDescent="0.25">
      <c r="A19" s="19" t="str">
        <f t="shared" si="0"/>
        <v>COMPLETO</v>
      </c>
      <c r="B19" s="20" t="s">
        <v>179</v>
      </c>
      <c r="C19" s="17" t="s">
        <v>421</v>
      </c>
      <c r="D19" s="18" t="s">
        <v>454</v>
      </c>
      <c r="E19" s="18" t="s">
        <v>1270</v>
      </c>
      <c r="F19" s="7" t="s">
        <v>53</v>
      </c>
      <c r="G19" s="7" t="s">
        <v>53</v>
      </c>
      <c r="H19" s="7" t="s">
        <v>53</v>
      </c>
      <c r="I19" s="7" t="s">
        <v>53</v>
      </c>
      <c r="J19" s="11" t="s">
        <v>53</v>
      </c>
      <c r="K19" s="11" t="s">
        <v>53</v>
      </c>
      <c r="L19" s="7" t="s">
        <v>9</v>
      </c>
      <c r="M19" s="11" t="s">
        <v>9</v>
      </c>
      <c r="N19" s="11" t="s">
        <v>9</v>
      </c>
      <c r="O19" s="11" t="s">
        <v>9</v>
      </c>
      <c r="P19" s="7" t="s">
        <v>9</v>
      </c>
      <c r="Q19" s="8" t="s">
        <v>9</v>
      </c>
      <c r="R19" s="7" t="s">
        <v>9</v>
      </c>
      <c r="S19" s="7" t="s">
        <v>9</v>
      </c>
      <c r="T19" s="12" t="s">
        <v>9</v>
      </c>
      <c r="U19" s="7"/>
      <c r="V19" s="7" t="s">
        <v>116</v>
      </c>
    </row>
    <row r="20" spans="1:22" x14ac:dyDescent="0.25">
      <c r="A20" s="19" t="str">
        <f t="shared" si="0"/>
        <v>FALTA</v>
      </c>
      <c r="B20" s="20" t="s">
        <v>181</v>
      </c>
      <c r="C20" s="17" t="s">
        <v>422</v>
      </c>
      <c r="D20" s="18" t="s">
        <v>455</v>
      </c>
      <c r="E20" s="18" t="s">
        <v>456</v>
      </c>
      <c r="F20" s="7" t="s">
        <v>8</v>
      </c>
      <c r="G20" s="7" t="s">
        <v>8</v>
      </c>
      <c r="H20" s="7" t="s">
        <v>53</v>
      </c>
      <c r="I20" s="7" t="s">
        <v>9</v>
      </c>
      <c r="J20" s="11" t="s">
        <v>9</v>
      </c>
      <c r="K20" s="11" t="s">
        <v>9</v>
      </c>
      <c r="L20" s="7" t="s">
        <v>9</v>
      </c>
      <c r="M20" s="11" t="s">
        <v>9</v>
      </c>
      <c r="N20" s="11" t="s">
        <v>9</v>
      </c>
      <c r="O20" s="11" t="s">
        <v>9</v>
      </c>
      <c r="P20" s="7" t="s">
        <v>9</v>
      </c>
      <c r="Q20" s="8" t="s">
        <v>9</v>
      </c>
      <c r="R20" s="7" t="s">
        <v>9</v>
      </c>
      <c r="S20" s="7" t="s">
        <v>9</v>
      </c>
      <c r="T20" s="12" t="s">
        <v>9</v>
      </c>
      <c r="U20" s="7"/>
      <c r="V20" s="7" t="s">
        <v>116</v>
      </c>
    </row>
    <row r="21" spans="1:22" x14ac:dyDescent="0.25">
      <c r="A21" s="19" t="str">
        <f t="shared" si="0"/>
        <v>FALTA</v>
      </c>
      <c r="B21" s="20" t="s">
        <v>183</v>
      </c>
      <c r="C21" s="17" t="s">
        <v>423</v>
      </c>
      <c r="D21" s="18" t="s">
        <v>457</v>
      </c>
      <c r="E21" s="18" t="s">
        <v>457</v>
      </c>
      <c r="F21" s="7" t="s">
        <v>8</v>
      </c>
      <c r="G21" s="7" t="s">
        <v>8</v>
      </c>
      <c r="H21" s="7" t="s">
        <v>53</v>
      </c>
      <c r="I21" s="7" t="s">
        <v>9</v>
      </c>
      <c r="J21" s="11" t="s">
        <v>9</v>
      </c>
      <c r="K21" s="11" t="s">
        <v>9</v>
      </c>
      <c r="L21" s="7" t="s">
        <v>9</v>
      </c>
      <c r="M21" s="11" t="s">
        <v>9</v>
      </c>
      <c r="N21" s="11" t="s">
        <v>9</v>
      </c>
      <c r="O21" s="11" t="s">
        <v>9</v>
      </c>
      <c r="P21" s="7" t="s">
        <v>9</v>
      </c>
      <c r="Q21" s="8" t="s">
        <v>9</v>
      </c>
      <c r="R21" s="7" t="s">
        <v>9</v>
      </c>
      <c r="S21" s="7" t="s">
        <v>9</v>
      </c>
      <c r="T21" s="12" t="s">
        <v>9</v>
      </c>
      <c r="U21" s="7"/>
      <c r="V21" s="7" t="s">
        <v>116</v>
      </c>
    </row>
    <row r="22" spans="1:22" x14ac:dyDescent="0.25">
      <c r="A22" s="19" t="str">
        <f t="shared" si="0"/>
        <v>COMPLETO</v>
      </c>
      <c r="B22" s="20" t="s">
        <v>185</v>
      </c>
      <c r="C22" s="17" t="s">
        <v>424</v>
      </c>
      <c r="D22" s="18" t="s">
        <v>458</v>
      </c>
      <c r="E22" s="18" t="s">
        <v>459</v>
      </c>
      <c r="F22" s="7" t="s">
        <v>53</v>
      </c>
      <c r="G22" s="7" t="s">
        <v>53</v>
      </c>
      <c r="H22" s="7" t="s">
        <v>53</v>
      </c>
      <c r="I22" s="7" t="s">
        <v>53</v>
      </c>
      <c r="J22" s="11" t="s">
        <v>9</v>
      </c>
      <c r="K22" s="11" t="s">
        <v>9</v>
      </c>
      <c r="L22" s="7" t="s">
        <v>9</v>
      </c>
      <c r="M22" s="11" t="s">
        <v>9</v>
      </c>
      <c r="N22" s="11" t="s">
        <v>9</v>
      </c>
      <c r="O22" s="11" t="s">
        <v>9</v>
      </c>
      <c r="P22" s="7" t="s">
        <v>9</v>
      </c>
      <c r="Q22" s="8" t="s">
        <v>9</v>
      </c>
      <c r="R22" s="7" t="s">
        <v>9</v>
      </c>
      <c r="S22" s="7" t="s">
        <v>9</v>
      </c>
      <c r="T22" s="12" t="s">
        <v>9</v>
      </c>
      <c r="U22" s="7"/>
      <c r="V22" s="7" t="s">
        <v>116</v>
      </c>
    </row>
    <row r="23" spans="1:22" x14ac:dyDescent="0.25">
      <c r="A23" s="19" t="str">
        <f t="shared" si="0"/>
        <v>COMPLETO</v>
      </c>
      <c r="B23" s="20" t="s">
        <v>187</v>
      </c>
      <c r="C23" s="17" t="s">
        <v>425</v>
      </c>
      <c r="D23" s="18" t="s">
        <v>460</v>
      </c>
      <c r="E23" s="18" t="s">
        <v>461</v>
      </c>
      <c r="F23" s="7" t="s">
        <v>53</v>
      </c>
      <c r="G23" s="7" t="s">
        <v>53</v>
      </c>
      <c r="H23" s="7" t="s">
        <v>53</v>
      </c>
      <c r="I23" s="7" t="s">
        <v>53</v>
      </c>
      <c r="J23" s="11" t="s">
        <v>9</v>
      </c>
      <c r="K23" s="11" t="s">
        <v>9</v>
      </c>
      <c r="L23" s="7" t="s">
        <v>9</v>
      </c>
      <c r="M23" s="11" t="s">
        <v>9</v>
      </c>
      <c r="N23" s="11" t="s">
        <v>9</v>
      </c>
      <c r="O23" s="11" t="s">
        <v>9</v>
      </c>
      <c r="P23" s="7" t="s">
        <v>9</v>
      </c>
      <c r="Q23" s="8" t="s">
        <v>9</v>
      </c>
      <c r="R23" s="7" t="s">
        <v>9</v>
      </c>
      <c r="S23" s="7" t="s">
        <v>9</v>
      </c>
      <c r="T23" s="12" t="s">
        <v>9</v>
      </c>
      <c r="U23" s="7"/>
      <c r="V23" s="7" t="s">
        <v>116</v>
      </c>
    </row>
    <row r="24" spans="1:22" x14ac:dyDescent="0.25">
      <c r="A24" s="19" t="str">
        <f t="shared" si="0"/>
        <v>COMPLETO</v>
      </c>
      <c r="B24" s="20" t="s">
        <v>337</v>
      </c>
      <c r="C24" s="17" t="s">
        <v>426</v>
      </c>
      <c r="D24" s="18" t="s">
        <v>462</v>
      </c>
      <c r="E24" s="18" t="s">
        <v>1280</v>
      </c>
      <c r="F24" s="7" t="s">
        <v>53</v>
      </c>
      <c r="G24" s="7" t="s">
        <v>53</v>
      </c>
      <c r="H24" s="7" t="s">
        <v>53</v>
      </c>
      <c r="I24" s="7" t="s">
        <v>53</v>
      </c>
      <c r="J24" s="11" t="s">
        <v>53</v>
      </c>
      <c r="K24" s="11" t="s">
        <v>53</v>
      </c>
      <c r="L24" s="7" t="s">
        <v>9</v>
      </c>
      <c r="M24" s="11" t="s">
        <v>9</v>
      </c>
      <c r="N24" s="11" t="s">
        <v>9</v>
      </c>
      <c r="O24" s="11" t="s">
        <v>9</v>
      </c>
      <c r="P24" s="7" t="s">
        <v>9</v>
      </c>
      <c r="Q24" s="8" t="s">
        <v>9</v>
      </c>
      <c r="R24" s="7" t="s">
        <v>9</v>
      </c>
      <c r="S24" s="7" t="s">
        <v>9</v>
      </c>
      <c r="T24" s="12" t="s">
        <v>9</v>
      </c>
      <c r="U24" s="7"/>
      <c r="V24" s="7" t="s">
        <v>116</v>
      </c>
    </row>
    <row r="25" spans="1:22" x14ac:dyDescent="0.25">
      <c r="A25" s="19" t="str">
        <f t="shared" si="0"/>
        <v>COMPLETO</v>
      </c>
      <c r="B25" s="20" t="s">
        <v>339</v>
      </c>
      <c r="C25" s="17" t="s">
        <v>427</v>
      </c>
      <c r="D25" s="18" t="s">
        <v>463</v>
      </c>
      <c r="E25" s="18" t="s">
        <v>464</v>
      </c>
      <c r="F25" s="7" t="s">
        <v>53</v>
      </c>
      <c r="G25" s="7" t="s">
        <v>53</v>
      </c>
      <c r="H25" s="7" t="s">
        <v>53</v>
      </c>
      <c r="I25" s="7" t="s">
        <v>9</v>
      </c>
      <c r="J25" s="11" t="s">
        <v>9</v>
      </c>
      <c r="K25" s="11" t="s">
        <v>9</v>
      </c>
      <c r="L25" s="7" t="s">
        <v>9</v>
      </c>
      <c r="M25" s="11" t="s">
        <v>9</v>
      </c>
      <c r="N25" s="11" t="s">
        <v>9</v>
      </c>
      <c r="O25" s="11" t="s">
        <v>9</v>
      </c>
      <c r="P25" s="7" t="s">
        <v>9</v>
      </c>
      <c r="Q25" s="8" t="s">
        <v>9</v>
      </c>
      <c r="R25" s="7" t="s">
        <v>9</v>
      </c>
      <c r="S25" s="7" t="s">
        <v>9</v>
      </c>
      <c r="T25" s="12" t="s">
        <v>9</v>
      </c>
      <c r="U25" s="7"/>
      <c r="V25" s="7" t="s">
        <v>116</v>
      </c>
    </row>
    <row r="26" spans="1:22" x14ac:dyDescent="0.25">
      <c r="A26" s="19" t="str">
        <f t="shared" si="0"/>
        <v>FALTA</v>
      </c>
      <c r="B26" s="20" t="s">
        <v>341</v>
      </c>
      <c r="C26" s="21" t="s">
        <v>428</v>
      </c>
      <c r="D26" s="18" t="s">
        <v>465</v>
      </c>
      <c r="E26" s="18" t="s">
        <v>466</v>
      </c>
      <c r="F26" s="7" t="s">
        <v>8</v>
      </c>
      <c r="G26" s="7" t="s">
        <v>8</v>
      </c>
      <c r="H26" s="7" t="s">
        <v>53</v>
      </c>
      <c r="I26" s="7" t="s">
        <v>9</v>
      </c>
      <c r="J26" s="11" t="s">
        <v>9</v>
      </c>
      <c r="K26" s="11" t="s">
        <v>9</v>
      </c>
      <c r="L26" s="7" t="s">
        <v>9</v>
      </c>
      <c r="M26" s="11" t="s">
        <v>9</v>
      </c>
      <c r="N26" s="11" t="s">
        <v>9</v>
      </c>
      <c r="O26" s="11" t="s">
        <v>9</v>
      </c>
      <c r="P26" s="7" t="s">
        <v>9</v>
      </c>
      <c r="Q26" s="8" t="s">
        <v>9</v>
      </c>
      <c r="R26" s="7" t="s">
        <v>9</v>
      </c>
      <c r="S26" s="7" t="s">
        <v>9</v>
      </c>
      <c r="T26" s="12" t="s">
        <v>9</v>
      </c>
      <c r="U26" s="7"/>
      <c r="V26" s="7" t="s">
        <v>116</v>
      </c>
    </row>
    <row r="27" spans="1:22" x14ac:dyDescent="0.25">
      <c r="A27" s="19" t="str">
        <f t="shared" si="0"/>
        <v>COMPLETO</v>
      </c>
      <c r="B27" s="20" t="s">
        <v>343</v>
      </c>
      <c r="C27" s="17" t="s">
        <v>429</v>
      </c>
      <c r="D27" s="18" t="s">
        <v>467</v>
      </c>
      <c r="E27" s="18" t="s">
        <v>1770</v>
      </c>
      <c r="F27" s="7" t="s">
        <v>53</v>
      </c>
      <c r="G27" s="7" t="s">
        <v>53</v>
      </c>
      <c r="H27" s="7" t="s">
        <v>53</v>
      </c>
      <c r="I27" s="7" t="s">
        <v>9</v>
      </c>
      <c r="J27" s="11" t="s">
        <v>9</v>
      </c>
      <c r="K27" s="11" t="s">
        <v>9</v>
      </c>
      <c r="L27" s="7" t="s">
        <v>9</v>
      </c>
      <c r="M27" s="11" t="s">
        <v>9</v>
      </c>
      <c r="N27" s="11" t="s">
        <v>9</v>
      </c>
      <c r="O27" s="11" t="s">
        <v>9</v>
      </c>
      <c r="P27" s="7" t="s">
        <v>9</v>
      </c>
      <c r="Q27" s="8" t="s">
        <v>9</v>
      </c>
      <c r="R27" s="7" t="s">
        <v>9</v>
      </c>
      <c r="S27" s="7" t="s">
        <v>9</v>
      </c>
      <c r="T27" s="12" t="s">
        <v>9</v>
      </c>
      <c r="U27" s="7"/>
      <c r="V27" s="7" t="s">
        <v>116</v>
      </c>
    </row>
    <row r="28" spans="1:22" x14ac:dyDescent="0.25">
      <c r="A28" s="19" t="str">
        <f t="shared" si="0"/>
        <v>COMPLETO</v>
      </c>
      <c r="B28" s="20" t="s">
        <v>345</v>
      </c>
      <c r="C28" s="17" t="s">
        <v>1248</v>
      </c>
      <c r="D28" s="18" t="s">
        <v>468</v>
      </c>
      <c r="E28" s="18" t="s">
        <v>1278</v>
      </c>
      <c r="F28" s="7" t="s">
        <v>53</v>
      </c>
      <c r="G28" s="7" t="s">
        <v>53</v>
      </c>
      <c r="H28" s="7" t="s">
        <v>53</v>
      </c>
      <c r="I28" s="7" t="s">
        <v>53</v>
      </c>
      <c r="J28" s="11" t="s">
        <v>53</v>
      </c>
      <c r="K28" s="11" t="s">
        <v>9</v>
      </c>
      <c r="L28" s="7" t="s">
        <v>9</v>
      </c>
      <c r="M28" s="11" t="s">
        <v>9</v>
      </c>
      <c r="N28" s="11" t="s">
        <v>9</v>
      </c>
      <c r="O28" s="11" t="s">
        <v>9</v>
      </c>
      <c r="P28" s="7" t="s">
        <v>9</v>
      </c>
      <c r="Q28" s="8" t="s">
        <v>9</v>
      </c>
      <c r="R28" s="7" t="s">
        <v>9</v>
      </c>
      <c r="S28" s="7" t="s">
        <v>9</v>
      </c>
      <c r="T28" s="12" t="s">
        <v>9</v>
      </c>
      <c r="U28" s="7"/>
      <c r="V28" s="7" t="s">
        <v>116</v>
      </c>
    </row>
    <row r="29" spans="1:22" x14ac:dyDescent="0.25">
      <c r="A29" s="19" t="str">
        <f t="shared" si="0"/>
        <v>COMPLETO</v>
      </c>
      <c r="B29" s="20" t="s">
        <v>347</v>
      </c>
      <c r="C29" s="17" t="s">
        <v>345</v>
      </c>
      <c r="D29" s="18" t="s">
        <v>468</v>
      </c>
      <c r="E29" s="22" t="s">
        <v>469</v>
      </c>
      <c r="F29" s="7"/>
      <c r="G29" s="7"/>
      <c r="H29" s="7"/>
      <c r="I29" s="7"/>
      <c r="J29" s="11"/>
      <c r="K29" s="11"/>
      <c r="L29" s="7"/>
      <c r="M29" s="11"/>
      <c r="N29" s="11"/>
      <c r="O29" s="11"/>
      <c r="P29" s="7"/>
      <c r="Q29" s="8"/>
      <c r="R29" s="7"/>
      <c r="S29" s="7"/>
      <c r="T29" s="12"/>
      <c r="U29" s="7"/>
      <c r="V29" s="7"/>
    </row>
    <row r="30" spans="1:22" x14ac:dyDescent="0.25">
      <c r="A30" s="19" t="str">
        <f t="shared" si="0"/>
        <v>COMPLETO</v>
      </c>
      <c r="B30" s="20" t="s">
        <v>349</v>
      </c>
      <c r="C30" s="17" t="s">
        <v>430</v>
      </c>
      <c r="D30" s="18" t="s">
        <v>470</v>
      </c>
      <c r="E30" s="18" t="s">
        <v>1738</v>
      </c>
      <c r="F30" s="7" t="s">
        <v>53</v>
      </c>
      <c r="G30" s="7" t="s">
        <v>53</v>
      </c>
      <c r="H30" s="7" t="s">
        <v>53</v>
      </c>
      <c r="I30" s="7" t="s">
        <v>53</v>
      </c>
      <c r="J30" s="11" t="s">
        <v>9</v>
      </c>
      <c r="K30" s="11" t="s">
        <v>9</v>
      </c>
      <c r="L30" s="7" t="s">
        <v>9</v>
      </c>
      <c r="M30" s="11" t="s">
        <v>9</v>
      </c>
      <c r="N30" s="11" t="s">
        <v>9</v>
      </c>
      <c r="O30" s="11" t="s">
        <v>9</v>
      </c>
      <c r="P30" s="7" t="s">
        <v>9</v>
      </c>
      <c r="Q30" s="8" t="s">
        <v>9</v>
      </c>
      <c r="R30" s="7" t="s">
        <v>9</v>
      </c>
      <c r="S30" s="7" t="s">
        <v>9</v>
      </c>
      <c r="T30" s="12" t="s">
        <v>9</v>
      </c>
      <c r="U30" s="7"/>
      <c r="V30" s="7" t="s">
        <v>116</v>
      </c>
    </row>
    <row r="31" spans="1:22" x14ac:dyDescent="0.25">
      <c r="A31" s="19" t="str">
        <f t="shared" si="0"/>
        <v>COMPLETO</v>
      </c>
      <c r="B31" s="20" t="s">
        <v>351</v>
      </c>
      <c r="C31" s="17" t="s">
        <v>431</v>
      </c>
      <c r="D31" s="18" t="s">
        <v>471</v>
      </c>
      <c r="E31" s="18" t="s">
        <v>472</v>
      </c>
      <c r="F31" s="7" t="s">
        <v>53</v>
      </c>
      <c r="G31" s="7" t="s">
        <v>53</v>
      </c>
      <c r="H31" s="7" t="s">
        <v>53</v>
      </c>
      <c r="I31" s="7" t="s">
        <v>53</v>
      </c>
      <c r="J31" s="11" t="s">
        <v>53</v>
      </c>
      <c r="K31" s="11" t="s">
        <v>53</v>
      </c>
      <c r="L31" s="7" t="s">
        <v>9</v>
      </c>
      <c r="M31" s="11" t="s">
        <v>9</v>
      </c>
      <c r="N31" s="11" t="s">
        <v>9</v>
      </c>
      <c r="O31" s="11" t="s">
        <v>9</v>
      </c>
      <c r="P31" s="7" t="s">
        <v>9</v>
      </c>
      <c r="Q31" s="8" t="s">
        <v>9</v>
      </c>
      <c r="R31" s="7" t="s">
        <v>9</v>
      </c>
      <c r="S31" s="7" t="s">
        <v>9</v>
      </c>
      <c r="T31" s="12" t="s">
        <v>9</v>
      </c>
      <c r="U31" s="7"/>
      <c r="V31" s="7" t="s">
        <v>116</v>
      </c>
    </row>
    <row r="32" spans="1:22" x14ac:dyDescent="0.25">
      <c r="A32" s="19" t="str">
        <f t="shared" si="0"/>
        <v>COMPLETO</v>
      </c>
      <c r="B32" s="20" t="s">
        <v>353</v>
      </c>
      <c r="C32" s="17" t="s">
        <v>432</v>
      </c>
      <c r="D32" s="18" t="s">
        <v>1282</v>
      </c>
      <c r="E32" s="18" t="s">
        <v>1281</v>
      </c>
      <c r="F32" s="7" t="s">
        <v>53</v>
      </c>
      <c r="G32" s="7" t="s">
        <v>53</v>
      </c>
      <c r="H32" s="7" t="s">
        <v>53</v>
      </c>
      <c r="I32" s="7" t="s">
        <v>9</v>
      </c>
      <c r="J32" s="11" t="s">
        <v>9</v>
      </c>
      <c r="K32" s="11" t="s">
        <v>9</v>
      </c>
      <c r="L32" s="7" t="s">
        <v>9</v>
      </c>
      <c r="M32" s="11" t="s">
        <v>9</v>
      </c>
      <c r="N32" s="11" t="s">
        <v>9</v>
      </c>
      <c r="O32" s="11" t="s">
        <v>9</v>
      </c>
      <c r="P32" s="7" t="s">
        <v>9</v>
      </c>
      <c r="Q32" s="8" t="s">
        <v>9</v>
      </c>
      <c r="R32" s="7" t="s">
        <v>9</v>
      </c>
      <c r="S32" s="7" t="s">
        <v>9</v>
      </c>
      <c r="T32" s="12" t="s">
        <v>9</v>
      </c>
      <c r="U32" s="7"/>
      <c r="V32" s="7" t="s">
        <v>116</v>
      </c>
    </row>
    <row r="33" spans="1:22" x14ac:dyDescent="0.25">
      <c r="A33" s="19" t="str">
        <f t="shared" si="0"/>
        <v>COMPLETO</v>
      </c>
      <c r="B33" s="20" t="s">
        <v>354</v>
      </c>
      <c r="C33" s="17" t="s">
        <v>433</v>
      </c>
      <c r="D33" s="18" t="s">
        <v>473</v>
      </c>
      <c r="E33" s="18" t="s">
        <v>474</v>
      </c>
      <c r="F33" s="7" t="s">
        <v>53</v>
      </c>
      <c r="G33" s="7" t="s">
        <v>53</v>
      </c>
      <c r="H33" s="7" t="s">
        <v>53</v>
      </c>
      <c r="I33" s="7" t="s">
        <v>53</v>
      </c>
      <c r="J33" s="11" t="s">
        <v>9</v>
      </c>
      <c r="K33" s="11" t="s">
        <v>9</v>
      </c>
      <c r="L33" s="7" t="s">
        <v>9</v>
      </c>
      <c r="M33" s="11" t="s">
        <v>9</v>
      </c>
      <c r="N33" s="11" t="s">
        <v>9</v>
      </c>
      <c r="O33" s="11" t="s">
        <v>9</v>
      </c>
      <c r="P33" s="7" t="s">
        <v>9</v>
      </c>
      <c r="Q33" s="8" t="s">
        <v>9</v>
      </c>
      <c r="R33" s="7" t="s">
        <v>9</v>
      </c>
      <c r="S33" s="7" t="s">
        <v>9</v>
      </c>
      <c r="T33" s="12" t="s">
        <v>9</v>
      </c>
      <c r="U33" s="7"/>
      <c r="V33" s="7" t="s">
        <v>116</v>
      </c>
    </row>
    <row r="34" spans="1:22" x14ac:dyDescent="0.25">
      <c r="A34" s="19" t="str">
        <f t="shared" si="0"/>
        <v>COMPLETO</v>
      </c>
      <c r="B34" s="20" t="s">
        <v>356</v>
      </c>
      <c r="C34" s="17" t="s">
        <v>434</v>
      </c>
      <c r="D34" s="18" t="s">
        <v>475</v>
      </c>
      <c r="E34" s="18" t="s">
        <v>1284</v>
      </c>
      <c r="F34" s="7" t="s">
        <v>53</v>
      </c>
      <c r="G34" s="7" t="s">
        <v>53</v>
      </c>
      <c r="H34" s="7" t="s">
        <v>53</v>
      </c>
      <c r="I34" s="7" t="s">
        <v>9</v>
      </c>
      <c r="J34" s="11" t="s">
        <v>9</v>
      </c>
      <c r="K34" s="11" t="s">
        <v>9</v>
      </c>
      <c r="L34" s="7" t="s">
        <v>9</v>
      </c>
      <c r="M34" s="11" t="s">
        <v>9</v>
      </c>
      <c r="N34" s="11" t="s">
        <v>9</v>
      </c>
      <c r="O34" s="11" t="s">
        <v>9</v>
      </c>
      <c r="P34" s="7" t="s">
        <v>9</v>
      </c>
      <c r="Q34" s="8" t="s">
        <v>9</v>
      </c>
      <c r="R34" s="7" t="s">
        <v>9</v>
      </c>
      <c r="S34" s="7" t="s">
        <v>9</v>
      </c>
      <c r="T34" s="12" t="s">
        <v>9</v>
      </c>
      <c r="U34" s="7"/>
      <c r="V34" s="7" t="s">
        <v>116</v>
      </c>
    </row>
    <row r="35" spans="1:22" x14ac:dyDescent="0.25">
      <c r="A35" s="19" t="str">
        <f t="shared" si="0"/>
        <v>FALTA</v>
      </c>
      <c r="B35" s="20" t="s">
        <v>358</v>
      </c>
      <c r="C35" s="17" t="s">
        <v>435</v>
      </c>
      <c r="D35" s="18" t="s">
        <v>1749</v>
      </c>
      <c r="E35" s="18" t="s">
        <v>1748</v>
      </c>
      <c r="F35" s="7" t="s">
        <v>8</v>
      </c>
      <c r="G35" s="7" t="s">
        <v>8</v>
      </c>
      <c r="H35" s="7" t="s">
        <v>53</v>
      </c>
      <c r="I35" s="7" t="s">
        <v>9</v>
      </c>
      <c r="J35" s="11" t="s">
        <v>9</v>
      </c>
      <c r="K35" s="11" t="s">
        <v>9</v>
      </c>
      <c r="L35" s="7" t="s">
        <v>9</v>
      </c>
      <c r="M35" s="11" t="s">
        <v>9</v>
      </c>
      <c r="N35" s="11" t="s">
        <v>9</v>
      </c>
      <c r="O35" s="11" t="s">
        <v>9</v>
      </c>
      <c r="P35" s="7" t="s">
        <v>9</v>
      </c>
      <c r="Q35" s="8" t="s">
        <v>9</v>
      </c>
      <c r="R35" s="7" t="s">
        <v>9</v>
      </c>
      <c r="S35" s="7" t="s">
        <v>9</v>
      </c>
      <c r="T35" s="12" t="s">
        <v>9</v>
      </c>
      <c r="U35" s="7"/>
      <c r="V35" s="7" t="s">
        <v>116</v>
      </c>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 ref="R1:R2"/>
    <mergeCell ref="S1:S2"/>
    <mergeCell ref="T1:T2"/>
    <mergeCell ref="U1:U2"/>
    <mergeCell ref="V1:V2"/>
  </mergeCells>
  <conditionalFormatting sqref="G3:T4 F5:V44">
    <cfRule type="cellIs" dxfId="730" priority="40" operator="equal">
      <formula>"F"</formula>
    </cfRule>
    <cfRule type="cellIs" dxfId="729" priority="41" operator="equal">
      <formula>"OK"</formula>
    </cfRule>
    <cfRule type="cellIs" dxfId="728" priority="42" operator="between">
      <formula>6</formula>
      <formula>18</formula>
    </cfRule>
  </conditionalFormatting>
  <conditionalFormatting sqref="C1:E1 A2:E2 C3:C4 E3:E4 A5:E1048576">
    <cfRule type="expression" dxfId="727" priority="33">
      <formula>$A1="FALTA"</formula>
    </cfRule>
    <cfRule type="expression" dxfId="726" priority="34">
      <formula>$A1="COMPLETO"</formula>
    </cfRule>
  </conditionalFormatting>
  <conditionalFormatting sqref="B3">
    <cfRule type="expression" dxfId="725" priority="19">
      <formula>$A3="FALTA"</formula>
    </cfRule>
    <cfRule type="expression" dxfId="724" priority="20">
      <formula>$A3="COMPLETO"</formula>
    </cfRule>
  </conditionalFormatting>
  <conditionalFormatting sqref="D3:D4">
    <cfRule type="expression" dxfId="723" priority="17">
      <formula>$A3="FALTA"</formula>
    </cfRule>
    <cfRule type="expression" dxfId="722" priority="18">
      <formula>$A3="COMPLETO"</formula>
    </cfRule>
  </conditionalFormatting>
  <conditionalFormatting sqref="F4">
    <cfRule type="cellIs" dxfId="721" priority="14" operator="equal">
      <formula>"F"</formula>
    </cfRule>
    <cfRule type="cellIs" dxfId="720" priority="15" operator="equal">
      <formula>"OK"</formula>
    </cfRule>
    <cfRule type="cellIs" dxfId="719" priority="16" operator="between">
      <formula>6</formula>
      <formula>18</formula>
    </cfRule>
  </conditionalFormatting>
  <conditionalFormatting sqref="A1:B1">
    <cfRule type="expression" dxfId="718" priority="12">
      <formula>$A1="FALTA"</formula>
    </cfRule>
    <cfRule type="expression" dxfId="717" priority="13">
      <formula>$A1="COMPLETO"</formula>
    </cfRule>
  </conditionalFormatting>
  <conditionalFormatting sqref="U3:V3">
    <cfRule type="cellIs" dxfId="716" priority="6" operator="equal">
      <formula>"F"</formula>
    </cfRule>
    <cfRule type="cellIs" dxfId="715" priority="7" operator="equal">
      <formula>"OK"</formula>
    </cfRule>
    <cfRule type="cellIs" dxfId="714" priority="8" operator="between">
      <formula>6</formula>
      <formula>18</formula>
    </cfRule>
  </conditionalFormatting>
  <conditionalFormatting sqref="F3">
    <cfRule type="cellIs" dxfId="713" priority="3" operator="equal">
      <formula>"F"</formula>
    </cfRule>
    <cfRule type="cellIs" dxfId="712" priority="4" operator="equal">
      <formula>"OK"</formula>
    </cfRule>
    <cfRule type="cellIs" dxfId="711" priority="5" operator="between">
      <formula>6</formula>
      <formula>18</formula>
    </cfRule>
  </conditionalFormatting>
  <conditionalFormatting sqref="A3">
    <cfRule type="expression" dxfId="710" priority="1">
      <formula>$A3="FALTA"</formula>
    </cfRule>
    <cfRule type="expression" dxfId="709"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T3:T4 R3:R4 I4 P4 M3:M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4">
    <tabColor rgb="FF004079"/>
    <outlinePr summaryBelow="0" summaryRight="0"/>
  </sheetPr>
  <dimension ref="A1:V44"/>
  <sheetViews>
    <sheetView zoomScaleNormal="100" workbookViewId="0">
      <pane ySplit="2" topLeftCell="A3" activePane="bottomLeft" state="frozen"/>
      <selection pane="bottomLeft" activeCell="P5" sqref="P5:S35"/>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ZDiego Puerta 1-35</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COMPLETO</v>
      </c>
      <c r="B3" s="385" t="s">
        <v>116</v>
      </c>
      <c r="C3" s="23" t="s">
        <v>314</v>
      </c>
      <c r="D3" s="29" t="s">
        <v>5</v>
      </c>
      <c r="E3" s="10" t="s">
        <v>316</v>
      </c>
      <c r="F3" s="30">
        <f>IF(AND(ISBLANK(U3),ISBLANK(V3)),1-(COUNTIF(G3:V4,"F")/7),1-(COUNTIF(U3:V3,"F")/2))</f>
        <v>1</v>
      </c>
      <c r="G3" s="24"/>
      <c r="H3" s="24"/>
      <c r="I3" s="24"/>
      <c r="J3" s="24"/>
      <c r="K3" s="24"/>
      <c r="L3" s="24" t="s">
        <v>28</v>
      </c>
      <c r="M3" s="11" t="s">
        <v>7</v>
      </c>
      <c r="N3" s="24"/>
      <c r="O3" s="24"/>
      <c r="P3" s="25"/>
      <c r="Q3" s="24" t="s">
        <v>24</v>
      </c>
      <c r="R3" s="11" t="s">
        <v>7</v>
      </c>
      <c r="S3" s="24" t="s">
        <v>12</v>
      </c>
      <c r="T3" s="11" t="s">
        <v>7</v>
      </c>
      <c r="U3" s="381" t="s">
        <v>7</v>
      </c>
      <c r="V3" s="381" t="s">
        <v>7</v>
      </c>
    </row>
    <row r="4" spans="1:22" x14ac:dyDescent="0.25">
      <c r="A4" s="384"/>
      <c r="B4" s="386"/>
      <c r="C4" s="23" t="s">
        <v>315</v>
      </c>
      <c r="D4" s="29" t="s">
        <v>6</v>
      </c>
      <c r="E4" s="10" t="s">
        <v>317</v>
      </c>
      <c r="F4" s="30">
        <f>COUNTIF(A5:A44,"*COMPLETO*")/COUNTA(A5:A44)</f>
        <v>0.87096774193548387</v>
      </c>
      <c r="G4" s="24"/>
      <c r="H4" s="24" t="s">
        <v>18</v>
      </c>
      <c r="I4" s="11" t="s">
        <v>7</v>
      </c>
      <c r="J4" s="24"/>
      <c r="K4" s="24"/>
      <c r="L4" s="24" t="s">
        <v>23</v>
      </c>
      <c r="M4" s="11" t="s">
        <v>7</v>
      </c>
      <c r="N4" s="24"/>
      <c r="O4" s="24"/>
      <c r="P4" s="11"/>
      <c r="Q4" s="24" t="s">
        <v>26</v>
      </c>
      <c r="R4" s="11" t="s">
        <v>7</v>
      </c>
      <c r="S4" s="24" t="s">
        <v>19</v>
      </c>
      <c r="T4" s="11" t="s">
        <v>7</v>
      </c>
      <c r="U4" s="382"/>
      <c r="V4" s="382"/>
    </row>
    <row r="5" spans="1:22" ht="15" customHeight="1" x14ac:dyDescent="0.25">
      <c r="A5" s="19" t="str">
        <f>IF(COUNTIF(F5:V5,"F")&gt;0,"FALTA","COMPLETO")</f>
        <v>COMPLETO</v>
      </c>
      <c r="B5" s="20" t="s">
        <v>151</v>
      </c>
      <c r="C5" s="17" t="s">
        <v>318</v>
      </c>
      <c r="D5" s="18" t="s">
        <v>360</v>
      </c>
      <c r="E5" s="18" t="s">
        <v>361</v>
      </c>
      <c r="F5" s="7" t="s">
        <v>53</v>
      </c>
      <c r="G5" s="7" t="s">
        <v>53</v>
      </c>
      <c r="H5" s="7" t="s">
        <v>53</v>
      </c>
      <c r="I5" s="7" t="s">
        <v>9</v>
      </c>
      <c r="J5" s="11" t="s">
        <v>9</v>
      </c>
      <c r="K5" s="11" t="s">
        <v>9</v>
      </c>
      <c r="L5" s="7" t="s">
        <v>9</v>
      </c>
      <c r="M5" s="11" t="s">
        <v>9</v>
      </c>
      <c r="N5" s="11" t="s">
        <v>9</v>
      </c>
      <c r="O5" s="11" t="s">
        <v>9</v>
      </c>
      <c r="P5" s="7" t="s">
        <v>9</v>
      </c>
      <c r="Q5" s="8" t="s">
        <v>9</v>
      </c>
      <c r="R5" s="7" t="s">
        <v>9</v>
      </c>
      <c r="S5" s="7" t="s">
        <v>9</v>
      </c>
      <c r="T5" s="12" t="s">
        <v>9</v>
      </c>
      <c r="U5" s="7"/>
      <c r="V5" s="7" t="s">
        <v>116</v>
      </c>
    </row>
    <row r="6" spans="1:22" ht="15" customHeight="1" x14ac:dyDescent="0.25">
      <c r="A6" s="19" t="str">
        <f t="shared" ref="A6:A35" si="0">IF(COUNTIF(F6:V6,"F")&gt;0,"FALTA","COMPLETO")</f>
        <v>COMPLETO</v>
      </c>
      <c r="B6" s="20" t="s">
        <v>155</v>
      </c>
      <c r="C6" s="17" t="s">
        <v>319</v>
      </c>
      <c r="D6" s="18" t="s">
        <v>362</v>
      </c>
      <c r="E6" s="18" t="s">
        <v>363</v>
      </c>
      <c r="F6" s="7" t="s">
        <v>53</v>
      </c>
      <c r="G6" s="7" t="s">
        <v>53</v>
      </c>
      <c r="H6" s="7" t="s">
        <v>53</v>
      </c>
      <c r="I6" s="7" t="s">
        <v>9</v>
      </c>
      <c r="J6" s="11" t="s">
        <v>9</v>
      </c>
      <c r="K6" s="11" t="s">
        <v>9</v>
      </c>
      <c r="L6" s="7" t="s">
        <v>9</v>
      </c>
      <c r="M6" s="11" t="s">
        <v>9</v>
      </c>
      <c r="N6" s="11" t="s">
        <v>9</v>
      </c>
      <c r="O6" s="11" t="s">
        <v>9</v>
      </c>
      <c r="P6" s="7" t="s">
        <v>9</v>
      </c>
      <c r="Q6" s="8" t="s">
        <v>9</v>
      </c>
      <c r="R6" s="7" t="s">
        <v>9</v>
      </c>
      <c r="S6" s="7" t="s">
        <v>9</v>
      </c>
      <c r="T6" s="12" t="s">
        <v>9</v>
      </c>
      <c r="U6" s="7"/>
      <c r="V6" s="7" t="s">
        <v>116</v>
      </c>
    </row>
    <row r="7" spans="1:22" ht="15" customHeight="1" x14ac:dyDescent="0.25">
      <c r="A7" s="19" t="str">
        <f t="shared" si="0"/>
        <v>COMPLETO</v>
      </c>
      <c r="B7" s="20" t="s">
        <v>156</v>
      </c>
      <c r="C7" s="17" t="s">
        <v>320</v>
      </c>
      <c r="D7" s="18" t="s">
        <v>1771</v>
      </c>
      <c r="E7" s="18" t="s">
        <v>1773</v>
      </c>
      <c r="F7" s="7" t="s">
        <v>53</v>
      </c>
      <c r="G7" s="7" t="s">
        <v>53</v>
      </c>
      <c r="H7" s="7" t="s">
        <v>53</v>
      </c>
      <c r="I7" s="7" t="s">
        <v>9</v>
      </c>
      <c r="J7" s="11" t="s">
        <v>53</v>
      </c>
      <c r="K7" s="11" t="s">
        <v>53</v>
      </c>
      <c r="L7" s="7" t="s">
        <v>9</v>
      </c>
      <c r="M7" s="11" t="s">
        <v>9</v>
      </c>
      <c r="N7" s="11" t="s">
        <v>9</v>
      </c>
      <c r="O7" s="11" t="s">
        <v>9</v>
      </c>
      <c r="P7" s="7" t="s">
        <v>9</v>
      </c>
      <c r="Q7" s="8" t="s">
        <v>9</v>
      </c>
      <c r="R7" s="7" t="s">
        <v>9</v>
      </c>
      <c r="S7" s="7" t="s">
        <v>9</v>
      </c>
      <c r="T7" s="12" t="s">
        <v>9</v>
      </c>
      <c r="U7" s="7"/>
      <c r="V7" s="7" t="s">
        <v>116</v>
      </c>
    </row>
    <row r="8" spans="1:22" x14ac:dyDescent="0.25">
      <c r="A8" s="19" t="str">
        <f t="shared" si="0"/>
        <v>COMPLETO</v>
      </c>
      <c r="B8" s="20" t="s">
        <v>158</v>
      </c>
      <c r="C8" s="17" t="s">
        <v>321</v>
      </c>
      <c r="D8" s="18" t="s">
        <v>364</v>
      </c>
      <c r="E8" s="18" t="s">
        <v>365</v>
      </c>
      <c r="F8" s="7" t="s">
        <v>53</v>
      </c>
      <c r="G8" s="7" t="s">
        <v>53</v>
      </c>
      <c r="H8" s="7" t="s">
        <v>53</v>
      </c>
      <c r="I8" s="7" t="s">
        <v>53</v>
      </c>
      <c r="J8" s="11" t="s">
        <v>9</v>
      </c>
      <c r="K8" s="11" t="s">
        <v>9</v>
      </c>
      <c r="L8" s="7" t="s">
        <v>9</v>
      </c>
      <c r="M8" s="11" t="s">
        <v>9</v>
      </c>
      <c r="N8" s="11" t="s">
        <v>9</v>
      </c>
      <c r="O8" s="11" t="s">
        <v>9</v>
      </c>
      <c r="P8" s="7" t="s">
        <v>9</v>
      </c>
      <c r="Q8" s="8" t="s">
        <v>9</v>
      </c>
      <c r="R8" s="7" t="s">
        <v>9</v>
      </c>
      <c r="S8" s="7" t="s">
        <v>9</v>
      </c>
      <c r="T8" s="12" t="s">
        <v>9</v>
      </c>
      <c r="U8" s="7"/>
      <c r="V8" s="7" t="s">
        <v>116</v>
      </c>
    </row>
    <row r="9" spans="1:22" x14ac:dyDescent="0.25">
      <c r="A9" s="19" t="str">
        <f t="shared" si="0"/>
        <v>COMPLETO</v>
      </c>
      <c r="B9" s="20" t="s">
        <v>160</v>
      </c>
      <c r="C9" s="17" t="s">
        <v>322</v>
      </c>
      <c r="D9" s="18" t="s">
        <v>366</v>
      </c>
      <c r="E9" s="18" t="s">
        <v>1283</v>
      </c>
      <c r="F9" s="7" t="s">
        <v>53</v>
      </c>
      <c r="G9" s="7" t="s">
        <v>53</v>
      </c>
      <c r="H9" s="7" t="s">
        <v>53</v>
      </c>
      <c r="I9" s="7" t="s">
        <v>53</v>
      </c>
      <c r="J9" s="11" t="s">
        <v>9</v>
      </c>
      <c r="K9" s="11" t="s">
        <v>9</v>
      </c>
      <c r="L9" s="7" t="s">
        <v>9</v>
      </c>
      <c r="M9" s="11" t="s">
        <v>9</v>
      </c>
      <c r="N9" s="11" t="s">
        <v>9</v>
      </c>
      <c r="O9" s="11" t="s">
        <v>9</v>
      </c>
      <c r="P9" s="7" t="s">
        <v>9</v>
      </c>
      <c r="Q9" s="8" t="s">
        <v>9</v>
      </c>
      <c r="R9" s="7" t="s">
        <v>9</v>
      </c>
      <c r="S9" s="7" t="s">
        <v>9</v>
      </c>
      <c r="T9" s="12" t="s">
        <v>9</v>
      </c>
      <c r="U9" s="7"/>
      <c r="V9" s="7" t="s">
        <v>116</v>
      </c>
    </row>
    <row r="10" spans="1:22" x14ac:dyDescent="0.25">
      <c r="A10" s="19" t="str">
        <f t="shared" si="0"/>
        <v>COMPLETO</v>
      </c>
      <c r="B10" s="20" t="s">
        <v>162</v>
      </c>
      <c r="C10" s="17" t="s">
        <v>323</v>
      </c>
      <c r="D10" s="18" t="s">
        <v>367</v>
      </c>
      <c r="E10" s="18" t="s">
        <v>368</v>
      </c>
      <c r="F10" s="7" t="s">
        <v>53</v>
      </c>
      <c r="G10" s="7" t="s">
        <v>53</v>
      </c>
      <c r="H10" s="7" t="s">
        <v>53</v>
      </c>
      <c r="I10" s="7" t="s">
        <v>53</v>
      </c>
      <c r="J10" s="11" t="s">
        <v>9</v>
      </c>
      <c r="K10" s="11" t="s">
        <v>9</v>
      </c>
      <c r="L10" s="7" t="s">
        <v>9</v>
      </c>
      <c r="M10" s="11" t="s">
        <v>9</v>
      </c>
      <c r="N10" s="11" t="s">
        <v>9</v>
      </c>
      <c r="O10" s="11" t="s">
        <v>9</v>
      </c>
      <c r="P10" s="7" t="s">
        <v>9</v>
      </c>
      <c r="Q10" s="8" t="s">
        <v>9</v>
      </c>
      <c r="R10" s="7" t="s">
        <v>9</v>
      </c>
      <c r="S10" s="7" t="s">
        <v>9</v>
      </c>
      <c r="T10" s="12" t="s">
        <v>9</v>
      </c>
      <c r="U10" s="7"/>
      <c r="V10" s="7" t="s">
        <v>116</v>
      </c>
    </row>
    <row r="11" spans="1:22" x14ac:dyDescent="0.25">
      <c r="A11" s="19" t="str">
        <f t="shared" si="0"/>
        <v>FALTA</v>
      </c>
      <c r="B11" s="20" t="s">
        <v>164</v>
      </c>
      <c r="C11" s="17" t="s">
        <v>324</v>
      </c>
      <c r="D11" s="18" t="s">
        <v>369</v>
      </c>
      <c r="E11" s="18" t="s">
        <v>370</v>
      </c>
      <c r="F11" s="7" t="s">
        <v>53</v>
      </c>
      <c r="G11" s="7" t="s">
        <v>53</v>
      </c>
      <c r="H11" s="7" t="s">
        <v>53</v>
      </c>
      <c r="I11" s="7" t="s">
        <v>9</v>
      </c>
      <c r="J11" s="11" t="s">
        <v>8</v>
      </c>
      <c r="K11" s="11" t="s">
        <v>8</v>
      </c>
      <c r="L11" s="7" t="s">
        <v>9</v>
      </c>
      <c r="M11" s="11" t="s">
        <v>9</v>
      </c>
      <c r="N11" s="11" t="s">
        <v>9</v>
      </c>
      <c r="O11" s="11" t="s">
        <v>9</v>
      </c>
      <c r="P11" s="7" t="s">
        <v>9</v>
      </c>
      <c r="Q11" s="8" t="s">
        <v>9</v>
      </c>
      <c r="R11" s="7" t="s">
        <v>9</v>
      </c>
      <c r="S11" s="7" t="s">
        <v>9</v>
      </c>
      <c r="T11" s="12" t="s">
        <v>9</v>
      </c>
      <c r="U11" s="7"/>
      <c r="V11" s="7" t="s">
        <v>116</v>
      </c>
    </row>
    <row r="12" spans="1:22" x14ac:dyDescent="0.25">
      <c r="A12" s="19" t="str">
        <f t="shared" si="0"/>
        <v>COMPLETO</v>
      </c>
      <c r="B12" s="20" t="s">
        <v>166</v>
      </c>
      <c r="C12" s="21" t="s">
        <v>325</v>
      </c>
      <c r="D12" s="18" t="s">
        <v>371</v>
      </c>
      <c r="E12" s="18" t="s">
        <v>372</v>
      </c>
      <c r="F12" s="7" t="s">
        <v>53</v>
      </c>
      <c r="G12" s="7" t="s">
        <v>53</v>
      </c>
      <c r="H12" s="7" t="s">
        <v>53</v>
      </c>
      <c r="I12" s="7" t="s">
        <v>9</v>
      </c>
      <c r="J12" s="11" t="s">
        <v>9</v>
      </c>
      <c r="K12" s="11" t="s">
        <v>9</v>
      </c>
      <c r="L12" s="7" t="s">
        <v>9</v>
      </c>
      <c r="M12" s="11" t="s">
        <v>9</v>
      </c>
      <c r="N12" s="11" t="s">
        <v>9</v>
      </c>
      <c r="O12" s="11" t="s">
        <v>9</v>
      </c>
      <c r="P12" s="7" t="s">
        <v>9</v>
      </c>
      <c r="Q12" s="8" t="s">
        <v>9</v>
      </c>
      <c r="R12" s="7" t="s">
        <v>9</v>
      </c>
      <c r="S12" s="7" t="s">
        <v>9</v>
      </c>
      <c r="T12" s="12" t="s">
        <v>9</v>
      </c>
      <c r="U12" s="7"/>
      <c r="V12" s="7" t="s">
        <v>116</v>
      </c>
    </row>
    <row r="13" spans="1:22" x14ac:dyDescent="0.25">
      <c r="A13" s="19" t="str">
        <f t="shared" si="0"/>
        <v>COMPLETO</v>
      </c>
      <c r="B13" s="20" t="s">
        <v>168</v>
      </c>
      <c r="C13" s="17" t="s">
        <v>326</v>
      </c>
      <c r="D13" s="18" t="s">
        <v>373</v>
      </c>
      <c r="E13" s="18" t="s">
        <v>374</v>
      </c>
      <c r="F13" s="7" t="s">
        <v>53</v>
      </c>
      <c r="G13" s="7" t="s">
        <v>53</v>
      </c>
      <c r="H13" s="7" t="s">
        <v>53</v>
      </c>
      <c r="I13" s="7" t="s">
        <v>53</v>
      </c>
      <c r="J13" s="11" t="s">
        <v>9</v>
      </c>
      <c r="K13" s="11" t="s">
        <v>9</v>
      </c>
      <c r="L13" s="7" t="s">
        <v>9</v>
      </c>
      <c r="M13" s="11" t="s">
        <v>9</v>
      </c>
      <c r="N13" s="11" t="s">
        <v>9</v>
      </c>
      <c r="O13" s="11" t="s">
        <v>9</v>
      </c>
      <c r="P13" s="7" t="s">
        <v>9</v>
      </c>
      <c r="Q13" s="8" t="s">
        <v>9</v>
      </c>
      <c r="R13" s="7" t="s">
        <v>9</v>
      </c>
      <c r="S13" s="7" t="s">
        <v>9</v>
      </c>
      <c r="T13" s="12" t="s">
        <v>9</v>
      </c>
      <c r="U13" s="7"/>
      <c r="V13" s="7" t="s">
        <v>116</v>
      </c>
    </row>
    <row r="14" spans="1:22" x14ac:dyDescent="0.25">
      <c r="A14" s="19" t="str">
        <f t="shared" si="0"/>
        <v>COMPLETO</v>
      </c>
      <c r="B14" s="20" t="s">
        <v>170</v>
      </c>
      <c r="C14" s="17" t="s">
        <v>327</v>
      </c>
      <c r="D14" s="18" t="s">
        <v>375</v>
      </c>
      <c r="E14" s="18" t="s">
        <v>376</v>
      </c>
      <c r="F14" s="7" t="s">
        <v>53</v>
      </c>
      <c r="G14" s="7" t="s">
        <v>53</v>
      </c>
      <c r="H14" s="7" t="s">
        <v>53</v>
      </c>
      <c r="I14" s="7" t="s">
        <v>53</v>
      </c>
      <c r="J14" s="11" t="s">
        <v>9</v>
      </c>
      <c r="K14" s="11" t="s">
        <v>9</v>
      </c>
      <c r="L14" s="7" t="s">
        <v>9</v>
      </c>
      <c r="M14" s="11" t="s">
        <v>9</v>
      </c>
      <c r="N14" s="11" t="s">
        <v>9</v>
      </c>
      <c r="O14" s="11" t="s">
        <v>9</v>
      </c>
      <c r="P14" s="7" t="s">
        <v>9</v>
      </c>
      <c r="Q14" s="8" t="s">
        <v>9</v>
      </c>
      <c r="R14" s="7" t="s">
        <v>9</v>
      </c>
      <c r="S14" s="7" t="s">
        <v>9</v>
      </c>
      <c r="T14" s="12" t="s">
        <v>9</v>
      </c>
      <c r="U14" s="7"/>
      <c r="V14" s="7" t="s">
        <v>116</v>
      </c>
    </row>
    <row r="15" spans="1:22" x14ac:dyDescent="0.25">
      <c r="A15" s="19" t="str">
        <f t="shared" si="0"/>
        <v>COMPLETO</v>
      </c>
      <c r="B15" s="20" t="s">
        <v>172</v>
      </c>
      <c r="C15" s="17" t="s">
        <v>328</v>
      </c>
      <c r="D15" s="18" t="s">
        <v>377</v>
      </c>
      <c r="E15" s="18" t="s">
        <v>378</v>
      </c>
      <c r="F15" s="7" t="s">
        <v>53</v>
      </c>
      <c r="G15" s="7" t="s">
        <v>53</v>
      </c>
      <c r="H15" s="7" t="s">
        <v>53</v>
      </c>
      <c r="I15" s="7" t="s">
        <v>53</v>
      </c>
      <c r="J15" s="11" t="s">
        <v>9</v>
      </c>
      <c r="K15" s="11" t="s">
        <v>9</v>
      </c>
      <c r="L15" s="7" t="s">
        <v>9</v>
      </c>
      <c r="M15" s="11" t="s">
        <v>9</v>
      </c>
      <c r="N15" s="11" t="s">
        <v>9</v>
      </c>
      <c r="O15" s="11" t="s">
        <v>9</v>
      </c>
      <c r="P15" s="7" t="s">
        <v>9</v>
      </c>
      <c r="Q15" s="8" t="s">
        <v>9</v>
      </c>
      <c r="R15" s="7" t="s">
        <v>9</v>
      </c>
      <c r="S15" s="7" t="s">
        <v>9</v>
      </c>
      <c r="T15" s="12" t="s">
        <v>9</v>
      </c>
      <c r="U15" s="7"/>
      <c r="V15" s="7" t="s">
        <v>116</v>
      </c>
    </row>
    <row r="16" spans="1:22" x14ac:dyDescent="0.25">
      <c r="A16" s="19" t="str">
        <f t="shared" si="0"/>
        <v>COMPLETO</v>
      </c>
      <c r="B16" s="20" t="s">
        <v>174</v>
      </c>
      <c r="C16" s="17" t="s">
        <v>329</v>
      </c>
      <c r="D16" s="18" t="s">
        <v>379</v>
      </c>
      <c r="E16" s="18" t="s">
        <v>380</v>
      </c>
      <c r="F16" s="7" t="s">
        <v>53</v>
      </c>
      <c r="G16" s="7" t="s">
        <v>53</v>
      </c>
      <c r="H16" s="7" t="s">
        <v>53</v>
      </c>
      <c r="I16" s="7" t="s">
        <v>53</v>
      </c>
      <c r="J16" s="11" t="s">
        <v>9</v>
      </c>
      <c r="K16" s="11" t="s">
        <v>9</v>
      </c>
      <c r="L16" s="7" t="s">
        <v>9</v>
      </c>
      <c r="M16" s="11" t="s">
        <v>9</v>
      </c>
      <c r="N16" s="11" t="s">
        <v>9</v>
      </c>
      <c r="O16" s="11" t="s">
        <v>9</v>
      </c>
      <c r="P16" s="7" t="s">
        <v>9</v>
      </c>
      <c r="Q16" s="8" t="s">
        <v>9</v>
      </c>
      <c r="R16" s="7" t="s">
        <v>9</v>
      </c>
      <c r="S16" s="7" t="s">
        <v>9</v>
      </c>
      <c r="T16" s="12" t="s">
        <v>9</v>
      </c>
      <c r="U16" s="7"/>
      <c r="V16" s="7" t="s">
        <v>116</v>
      </c>
    </row>
    <row r="17" spans="1:22" x14ac:dyDescent="0.25">
      <c r="A17" s="19" t="str">
        <f t="shared" si="0"/>
        <v>FALTA</v>
      </c>
      <c r="B17" s="20" t="s">
        <v>175</v>
      </c>
      <c r="C17" s="17" t="s">
        <v>330</v>
      </c>
      <c r="D17" s="18" t="s">
        <v>381</v>
      </c>
      <c r="E17" s="22" t="s">
        <v>2411</v>
      </c>
      <c r="F17" s="7" t="s">
        <v>8</v>
      </c>
      <c r="G17" s="7" t="s">
        <v>8</v>
      </c>
      <c r="H17" s="7" t="s">
        <v>53</v>
      </c>
      <c r="I17" s="7" t="s">
        <v>9</v>
      </c>
      <c r="J17" s="11" t="s">
        <v>9</v>
      </c>
      <c r="K17" s="11" t="s">
        <v>9</v>
      </c>
      <c r="L17" s="7" t="s">
        <v>9</v>
      </c>
      <c r="M17" s="11" t="s">
        <v>9</v>
      </c>
      <c r="N17" s="11" t="s">
        <v>9</v>
      </c>
      <c r="O17" s="11" t="s">
        <v>9</v>
      </c>
      <c r="P17" s="7" t="s">
        <v>9</v>
      </c>
      <c r="Q17" s="8" t="s">
        <v>9</v>
      </c>
      <c r="R17" s="7" t="s">
        <v>9</v>
      </c>
      <c r="S17" s="7" t="s">
        <v>9</v>
      </c>
      <c r="T17" s="12" t="s">
        <v>9</v>
      </c>
      <c r="U17" s="7"/>
      <c r="V17" s="7" t="s">
        <v>116</v>
      </c>
    </row>
    <row r="18" spans="1:22" x14ac:dyDescent="0.25">
      <c r="A18" s="19" t="str">
        <f t="shared" si="0"/>
        <v>COMPLETO</v>
      </c>
      <c r="B18" s="20" t="s">
        <v>177</v>
      </c>
      <c r="C18" s="17" t="s">
        <v>331</v>
      </c>
      <c r="D18" s="18" t="s">
        <v>382</v>
      </c>
      <c r="E18" s="18" t="s">
        <v>1768</v>
      </c>
      <c r="F18" s="7" t="s">
        <v>53</v>
      </c>
      <c r="G18" s="7" t="s">
        <v>53</v>
      </c>
      <c r="H18" s="7" t="s">
        <v>53</v>
      </c>
      <c r="I18" s="7" t="s">
        <v>9</v>
      </c>
      <c r="J18" s="11" t="s">
        <v>53</v>
      </c>
      <c r="K18" s="11" t="s">
        <v>9</v>
      </c>
      <c r="L18" s="7" t="s">
        <v>9</v>
      </c>
      <c r="M18" s="11" t="s">
        <v>9</v>
      </c>
      <c r="N18" s="11" t="s">
        <v>9</v>
      </c>
      <c r="O18" s="11" t="s">
        <v>9</v>
      </c>
      <c r="P18" s="7" t="s">
        <v>9</v>
      </c>
      <c r="Q18" s="8" t="s">
        <v>9</v>
      </c>
      <c r="R18" s="7" t="s">
        <v>9</v>
      </c>
      <c r="S18" s="7" t="s">
        <v>9</v>
      </c>
      <c r="T18" s="12" t="s">
        <v>9</v>
      </c>
      <c r="U18" s="7"/>
      <c r="V18" s="7" t="s">
        <v>116</v>
      </c>
    </row>
    <row r="19" spans="1:22" x14ac:dyDescent="0.25">
      <c r="A19" s="19" t="str">
        <f t="shared" si="0"/>
        <v>FALTA</v>
      </c>
      <c r="B19" s="20" t="s">
        <v>179</v>
      </c>
      <c r="C19" s="17" t="s">
        <v>332</v>
      </c>
      <c r="D19" s="18" t="s">
        <v>383</v>
      </c>
      <c r="E19" s="18" t="s">
        <v>384</v>
      </c>
      <c r="F19" s="7" t="s">
        <v>8</v>
      </c>
      <c r="G19" s="7" t="s">
        <v>8</v>
      </c>
      <c r="H19" s="7" t="s">
        <v>53</v>
      </c>
      <c r="I19" s="7" t="s">
        <v>9</v>
      </c>
      <c r="J19" s="11" t="s">
        <v>9</v>
      </c>
      <c r="K19" s="11" t="s">
        <v>9</v>
      </c>
      <c r="L19" s="7" t="s">
        <v>9</v>
      </c>
      <c r="M19" s="11" t="s">
        <v>9</v>
      </c>
      <c r="N19" s="11" t="s">
        <v>9</v>
      </c>
      <c r="O19" s="11" t="s">
        <v>9</v>
      </c>
      <c r="P19" s="7" t="s">
        <v>9</v>
      </c>
      <c r="Q19" s="8" t="s">
        <v>9</v>
      </c>
      <c r="R19" s="7" t="s">
        <v>9</v>
      </c>
      <c r="S19" s="7" t="s">
        <v>9</v>
      </c>
      <c r="T19" s="12" t="s">
        <v>9</v>
      </c>
      <c r="U19" s="7"/>
      <c r="V19" s="7" t="s">
        <v>116</v>
      </c>
    </row>
    <row r="20" spans="1:22" x14ac:dyDescent="0.25">
      <c r="A20" s="19" t="str">
        <f t="shared" si="0"/>
        <v>COMPLETO</v>
      </c>
      <c r="B20" s="20" t="s">
        <v>181</v>
      </c>
      <c r="C20" s="17" t="s">
        <v>333</v>
      </c>
      <c r="D20" s="18" t="s">
        <v>385</v>
      </c>
      <c r="E20" s="18" t="s">
        <v>386</v>
      </c>
      <c r="F20" s="7" t="s">
        <v>53</v>
      </c>
      <c r="G20" s="7" t="s">
        <v>53</v>
      </c>
      <c r="H20" s="7" t="s">
        <v>53</v>
      </c>
      <c r="I20" s="7" t="s">
        <v>53</v>
      </c>
      <c r="J20" s="11" t="s">
        <v>9</v>
      </c>
      <c r="K20" s="11" t="s">
        <v>9</v>
      </c>
      <c r="L20" s="7" t="s">
        <v>9</v>
      </c>
      <c r="M20" s="11" t="s">
        <v>9</v>
      </c>
      <c r="N20" s="11" t="s">
        <v>9</v>
      </c>
      <c r="O20" s="11" t="s">
        <v>9</v>
      </c>
      <c r="P20" s="7" t="s">
        <v>9</v>
      </c>
      <c r="Q20" s="8" t="s">
        <v>9</v>
      </c>
      <c r="R20" s="7" t="s">
        <v>9</v>
      </c>
      <c r="S20" s="7" t="s">
        <v>9</v>
      </c>
      <c r="T20" s="12" t="s">
        <v>9</v>
      </c>
      <c r="U20" s="7"/>
      <c r="V20" s="7" t="s">
        <v>116</v>
      </c>
    </row>
    <row r="21" spans="1:22" x14ac:dyDescent="0.25">
      <c r="A21" s="19" t="str">
        <f t="shared" si="0"/>
        <v>COMPLETO</v>
      </c>
      <c r="B21" s="20" t="s">
        <v>183</v>
      </c>
      <c r="C21" s="17" t="s">
        <v>334</v>
      </c>
      <c r="D21" s="18" t="s">
        <v>387</v>
      </c>
      <c r="E21" s="18" t="s">
        <v>388</v>
      </c>
      <c r="F21" s="7" t="s">
        <v>53</v>
      </c>
      <c r="G21" s="7" t="s">
        <v>53</v>
      </c>
      <c r="H21" s="7" t="s">
        <v>53</v>
      </c>
      <c r="I21" s="7" t="s">
        <v>53</v>
      </c>
      <c r="J21" s="11" t="s">
        <v>9</v>
      </c>
      <c r="K21" s="11" t="s">
        <v>9</v>
      </c>
      <c r="L21" s="7" t="s">
        <v>9</v>
      </c>
      <c r="M21" s="11" t="s">
        <v>9</v>
      </c>
      <c r="N21" s="11" t="s">
        <v>9</v>
      </c>
      <c r="O21" s="11" t="s">
        <v>9</v>
      </c>
      <c r="P21" s="7" t="s">
        <v>9</v>
      </c>
      <c r="Q21" s="8" t="s">
        <v>9</v>
      </c>
      <c r="R21" s="7" t="s">
        <v>9</v>
      </c>
      <c r="S21" s="7" t="s">
        <v>9</v>
      </c>
      <c r="T21" s="12" t="s">
        <v>9</v>
      </c>
      <c r="U21" s="7"/>
      <c r="V21" s="7" t="s">
        <v>116</v>
      </c>
    </row>
    <row r="22" spans="1:22" x14ac:dyDescent="0.25">
      <c r="A22" s="19" t="str">
        <f t="shared" si="0"/>
        <v>COMPLETO</v>
      </c>
      <c r="B22" s="20" t="s">
        <v>185</v>
      </c>
      <c r="C22" s="17" t="s">
        <v>335</v>
      </c>
      <c r="D22" s="18" t="s">
        <v>1267</v>
      </c>
      <c r="E22" s="18" t="s">
        <v>1268</v>
      </c>
      <c r="F22" s="7" t="s">
        <v>53</v>
      </c>
      <c r="G22" s="7" t="s">
        <v>53</v>
      </c>
      <c r="H22" s="7" t="s">
        <v>53</v>
      </c>
      <c r="I22" s="7" t="s">
        <v>53</v>
      </c>
      <c r="J22" s="11" t="s">
        <v>53</v>
      </c>
      <c r="K22" s="11" t="s">
        <v>9</v>
      </c>
      <c r="L22" s="7" t="s">
        <v>9</v>
      </c>
      <c r="M22" s="11" t="s">
        <v>9</v>
      </c>
      <c r="N22" s="11" t="s">
        <v>9</v>
      </c>
      <c r="O22" s="11" t="s">
        <v>9</v>
      </c>
      <c r="P22" s="7" t="s">
        <v>9</v>
      </c>
      <c r="Q22" s="8" t="s">
        <v>9</v>
      </c>
      <c r="R22" s="7" t="s">
        <v>9</v>
      </c>
      <c r="S22" s="7" t="s">
        <v>9</v>
      </c>
      <c r="T22" s="12" t="s">
        <v>9</v>
      </c>
      <c r="U22" s="7"/>
      <c r="V22" s="7" t="s">
        <v>116</v>
      </c>
    </row>
    <row r="23" spans="1:22" x14ac:dyDescent="0.25">
      <c r="A23" s="19" t="str">
        <f t="shared" si="0"/>
        <v>COMPLETO</v>
      </c>
      <c r="B23" s="20" t="s">
        <v>187</v>
      </c>
      <c r="C23" s="17" t="s">
        <v>336</v>
      </c>
      <c r="D23" s="18" t="s">
        <v>389</v>
      </c>
      <c r="E23" s="18" t="s">
        <v>390</v>
      </c>
      <c r="F23" s="7" t="s">
        <v>53</v>
      </c>
      <c r="G23" s="7" t="s">
        <v>53</v>
      </c>
      <c r="H23" s="7" t="s">
        <v>53</v>
      </c>
      <c r="I23" s="7" t="s">
        <v>53</v>
      </c>
      <c r="J23" s="11" t="s">
        <v>53</v>
      </c>
      <c r="K23" s="11" t="s">
        <v>53</v>
      </c>
      <c r="L23" s="7" t="s">
        <v>9</v>
      </c>
      <c r="M23" s="11" t="s">
        <v>9</v>
      </c>
      <c r="N23" s="11" t="s">
        <v>9</v>
      </c>
      <c r="O23" s="11" t="s">
        <v>9</v>
      </c>
      <c r="P23" s="7" t="s">
        <v>9</v>
      </c>
      <c r="Q23" s="8" t="s">
        <v>9</v>
      </c>
      <c r="R23" s="7" t="s">
        <v>9</v>
      </c>
      <c r="S23" s="7" t="s">
        <v>9</v>
      </c>
      <c r="T23" s="12" t="s">
        <v>9</v>
      </c>
      <c r="U23" s="7"/>
      <c r="V23" s="7" t="s">
        <v>116</v>
      </c>
    </row>
    <row r="24" spans="1:22" x14ac:dyDescent="0.25">
      <c r="A24" s="19" t="str">
        <f t="shared" si="0"/>
        <v>COMPLETO</v>
      </c>
      <c r="B24" s="20" t="s">
        <v>337</v>
      </c>
      <c r="C24" s="17" t="s">
        <v>338</v>
      </c>
      <c r="D24" s="18" t="s">
        <v>391</v>
      </c>
      <c r="E24" s="18" t="s">
        <v>392</v>
      </c>
      <c r="F24" s="7" t="s">
        <v>53</v>
      </c>
      <c r="G24" s="7" t="s">
        <v>53</v>
      </c>
      <c r="H24" s="7" t="s">
        <v>53</v>
      </c>
      <c r="I24" s="7" t="s">
        <v>53</v>
      </c>
      <c r="J24" s="11" t="s">
        <v>9</v>
      </c>
      <c r="K24" s="11" t="s">
        <v>9</v>
      </c>
      <c r="L24" s="7" t="s">
        <v>9</v>
      </c>
      <c r="M24" s="11" t="s">
        <v>9</v>
      </c>
      <c r="N24" s="11" t="s">
        <v>9</v>
      </c>
      <c r="O24" s="11" t="s">
        <v>9</v>
      </c>
      <c r="P24" s="7" t="s">
        <v>9</v>
      </c>
      <c r="Q24" s="8" t="s">
        <v>9</v>
      </c>
      <c r="R24" s="7" t="s">
        <v>9</v>
      </c>
      <c r="S24" s="7" t="s">
        <v>9</v>
      </c>
      <c r="T24" s="12" t="s">
        <v>9</v>
      </c>
      <c r="U24" s="7"/>
      <c r="V24" s="7" t="s">
        <v>116</v>
      </c>
    </row>
    <row r="25" spans="1:22" x14ac:dyDescent="0.25">
      <c r="A25" s="19" t="str">
        <f t="shared" si="0"/>
        <v>COMPLETO</v>
      </c>
      <c r="B25" s="20" t="s">
        <v>339</v>
      </c>
      <c r="C25" s="17" t="s">
        <v>340</v>
      </c>
      <c r="D25" s="18" t="s">
        <v>393</v>
      </c>
      <c r="E25" s="18" t="s">
        <v>394</v>
      </c>
      <c r="F25" s="7" t="s">
        <v>53</v>
      </c>
      <c r="G25" s="7" t="s">
        <v>53</v>
      </c>
      <c r="H25" s="7" t="s">
        <v>53</v>
      </c>
      <c r="I25" s="7" t="s">
        <v>9</v>
      </c>
      <c r="J25" s="11" t="s">
        <v>9</v>
      </c>
      <c r="K25" s="11" t="s">
        <v>9</v>
      </c>
      <c r="L25" s="7" t="s">
        <v>9</v>
      </c>
      <c r="M25" s="11" t="s">
        <v>9</v>
      </c>
      <c r="N25" s="11" t="s">
        <v>9</v>
      </c>
      <c r="O25" s="11" t="s">
        <v>9</v>
      </c>
      <c r="P25" s="7" t="s">
        <v>9</v>
      </c>
      <c r="Q25" s="8" t="s">
        <v>9</v>
      </c>
      <c r="R25" s="7" t="s">
        <v>9</v>
      </c>
      <c r="S25" s="7" t="s">
        <v>9</v>
      </c>
      <c r="T25" s="12" t="s">
        <v>9</v>
      </c>
      <c r="U25" s="7"/>
      <c r="V25" s="7" t="s">
        <v>116</v>
      </c>
    </row>
    <row r="26" spans="1:22" x14ac:dyDescent="0.25">
      <c r="A26" s="19" t="str">
        <f t="shared" si="0"/>
        <v>COMPLETO</v>
      </c>
      <c r="B26" s="20" t="s">
        <v>341</v>
      </c>
      <c r="C26" s="17" t="s">
        <v>342</v>
      </c>
      <c r="D26" s="18" t="s">
        <v>1363</v>
      </c>
      <c r="E26" s="18" t="s">
        <v>1351</v>
      </c>
      <c r="F26" s="7" t="s">
        <v>53</v>
      </c>
      <c r="G26" s="7" t="s">
        <v>53</v>
      </c>
      <c r="H26" s="7" t="s">
        <v>53</v>
      </c>
      <c r="I26" s="7" t="s">
        <v>53</v>
      </c>
      <c r="J26" s="11" t="s">
        <v>9</v>
      </c>
      <c r="K26" s="11" t="s">
        <v>9</v>
      </c>
      <c r="L26" s="7" t="s">
        <v>9</v>
      </c>
      <c r="M26" s="11" t="s">
        <v>9</v>
      </c>
      <c r="N26" s="11" t="s">
        <v>9</v>
      </c>
      <c r="O26" s="11" t="s">
        <v>9</v>
      </c>
      <c r="P26" s="7" t="s">
        <v>9</v>
      </c>
      <c r="Q26" s="8" t="s">
        <v>9</v>
      </c>
      <c r="R26" s="7" t="s">
        <v>9</v>
      </c>
      <c r="S26" s="7" t="s">
        <v>9</v>
      </c>
      <c r="T26" s="12" t="s">
        <v>9</v>
      </c>
      <c r="U26" s="7"/>
      <c r="V26" s="7" t="s">
        <v>116</v>
      </c>
    </row>
    <row r="27" spans="1:22" x14ac:dyDescent="0.25">
      <c r="A27" s="19" t="str">
        <f t="shared" si="0"/>
        <v>COMPLETO</v>
      </c>
      <c r="B27" s="20" t="s">
        <v>343</v>
      </c>
      <c r="C27" s="17" t="s">
        <v>344</v>
      </c>
      <c r="D27" s="18" t="s">
        <v>395</v>
      </c>
      <c r="E27" s="18" t="s">
        <v>396</v>
      </c>
      <c r="F27" s="7" t="s">
        <v>53</v>
      </c>
      <c r="G27" s="7" t="s">
        <v>53</v>
      </c>
      <c r="H27" s="7" t="s">
        <v>53</v>
      </c>
      <c r="I27" s="7" t="s">
        <v>53</v>
      </c>
      <c r="J27" s="11" t="s">
        <v>9</v>
      </c>
      <c r="K27" s="11" t="s">
        <v>9</v>
      </c>
      <c r="L27" s="7" t="s">
        <v>9</v>
      </c>
      <c r="M27" s="11" t="s">
        <v>9</v>
      </c>
      <c r="N27" s="11" t="s">
        <v>9</v>
      </c>
      <c r="O27" s="11" t="s">
        <v>9</v>
      </c>
      <c r="P27" s="7" t="s">
        <v>9</v>
      </c>
      <c r="Q27" s="8" t="s">
        <v>9</v>
      </c>
      <c r="R27" s="7" t="s">
        <v>9</v>
      </c>
      <c r="S27" s="7" t="s">
        <v>9</v>
      </c>
      <c r="T27" s="12" t="s">
        <v>9</v>
      </c>
      <c r="U27" s="7"/>
      <c r="V27" s="7" t="s">
        <v>116</v>
      </c>
    </row>
    <row r="28" spans="1:22" x14ac:dyDescent="0.25">
      <c r="A28" s="19" t="str">
        <f t="shared" si="0"/>
        <v>COMPLETO</v>
      </c>
      <c r="B28" s="20" t="s">
        <v>345</v>
      </c>
      <c r="C28" s="17" t="s">
        <v>346</v>
      </c>
      <c r="D28" s="18" t="s">
        <v>397</v>
      </c>
      <c r="E28" s="18" t="s">
        <v>398</v>
      </c>
      <c r="F28" s="7" t="s">
        <v>53</v>
      </c>
      <c r="G28" s="7" t="s">
        <v>53</v>
      </c>
      <c r="H28" s="7" t="s">
        <v>53</v>
      </c>
      <c r="I28" s="7" t="s">
        <v>9</v>
      </c>
      <c r="J28" s="11" t="s">
        <v>9</v>
      </c>
      <c r="K28" s="11" t="s">
        <v>9</v>
      </c>
      <c r="L28" s="7" t="s">
        <v>9</v>
      </c>
      <c r="M28" s="11" t="s">
        <v>9</v>
      </c>
      <c r="N28" s="11" t="s">
        <v>9</v>
      </c>
      <c r="O28" s="11" t="s">
        <v>9</v>
      </c>
      <c r="P28" s="7" t="s">
        <v>9</v>
      </c>
      <c r="Q28" s="8" t="s">
        <v>9</v>
      </c>
      <c r="R28" s="7" t="s">
        <v>9</v>
      </c>
      <c r="S28" s="7" t="s">
        <v>9</v>
      </c>
      <c r="T28" s="12" t="s">
        <v>9</v>
      </c>
      <c r="U28" s="7"/>
      <c r="V28" s="7" t="s">
        <v>116</v>
      </c>
    </row>
    <row r="29" spans="1:22" x14ac:dyDescent="0.25">
      <c r="A29" s="19" t="str">
        <f t="shared" si="0"/>
        <v>COMPLETO</v>
      </c>
      <c r="B29" s="20" t="s">
        <v>347</v>
      </c>
      <c r="C29" s="17" t="s">
        <v>348</v>
      </c>
      <c r="D29" s="18" t="s">
        <v>399</v>
      </c>
      <c r="E29" s="18" t="s">
        <v>400</v>
      </c>
      <c r="F29" s="7" t="s">
        <v>53</v>
      </c>
      <c r="G29" s="7" t="s">
        <v>53</v>
      </c>
      <c r="H29" s="7" t="s">
        <v>53</v>
      </c>
      <c r="I29" s="7" t="s">
        <v>53</v>
      </c>
      <c r="J29" s="11" t="s">
        <v>9</v>
      </c>
      <c r="K29" s="11" t="s">
        <v>9</v>
      </c>
      <c r="L29" s="7" t="s">
        <v>9</v>
      </c>
      <c r="M29" s="11" t="s">
        <v>9</v>
      </c>
      <c r="N29" s="11" t="s">
        <v>9</v>
      </c>
      <c r="O29" s="11" t="s">
        <v>9</v>
      </c>
      <c r="P29" s="7" t="s">
        <v>9</v>
      </c>
      <c r="Q29" s="8" t="s">
        <v>9</v>
      </c>
      <c r="R29" s="7" t="s">
        <v>9</v>
      </c>
      <c r="S29" s="7" t="s">
        <v>9</v>
      </c>
      <c r="T29" s="12" t="s">
        <v>9</v>
      </c>
      <c r="U29" s="7"/>
      <c r="V29" s="7" t="s">
        <v>116</v>
      </c>
    </row>
    <row r="30" spans="1:22" x14ac:dyDescent="0.25">
      <c r="A30" s="19" t="str">
        <f t="shared" si="0"/>
        <v>COMPLETO</v>
      </c>
      <c r="B30" s="20" t="s">
        <v>349</v>
      </c>
      <c r="C30" s="17" t="s">
        <v>350</v>
      </c>
      <c r="D30" s="18" t="s">
        <v>401</v>
      </c>
      <c r="E30" s="18" t="s">
        <v>402</v>
      </c>
      <c r="F30" s="7" t="s">
        <v>53</v>
      </c>
      <c r="G30" s="7" t="s">
        <v>53</v>
      </c>
      <c r="H30" s="7" t="s">
        <v>53</v>
      </c>
      <c r="I30" s="7" t="s">
        <v>53</v>
      </c>
      <c r="J30" s="11" t="s">
        <v>9</v>
      </c>
      <c r="K30" s="11" t="s">
        <v>9</v>
      </c>
      <c r="L30" s="7" t="s">
        <v>9</v>
      </c>
      <c r="M30" s="11" t="s">
        <v>9</v>
      </c>
      <c r="N30" s="11" t="s">
        <v>9</v>
      </c>
      <c r="O30" s="11" t="s">
        <v>9</v>
      </c>
      <c r="P30" s="7" t="s">
        <v>9</v>
      </c>
      <c r="Q30" s="8" t="s">
        <v>9</v>
      </c>
      <c r="R30" s="7" t="s">
        <v>9</v>
      </c>
      <c r="S30" s="7" t="s">
        <v>9</v>
      </c>
      <c r="T30" s="12" t="s">
        <v>9</v>
      </c>
      <c r="U30" s="7"/>
      <c r="V30" s="7" t="s">
        <v>116</v>
      </c>
    </row>
    <row r="31" spans="1:22" x14ac:dyDescent="0.25">
      <c r="A31" s="19" t="str">
        <f t="shared" si="0"/>
        <v>COMPLETO</v>
      </c>
      <c r="B31" s="20" t="s">
        <v>351</v>
      </c>
      <c r="C31" s="17" t="s">
        <v>352</v>
      </c>
      <c r="D31" s="18" t="s">
        <v>403</v>
      </c>
      <c r="E31" s="18" t="s">
        <v>404</v>
      </c>
      <c r="F31" s="7" t="s">
        <v>53</v>
      </c>
      <c r="G31" s="7" t="s">
        <v>53</v>
      </c>
      <c r="H31" s="7" t="s">
        <v>53</v>
      </c>
      <c r="I31" s="7" t="s">
        <v>9</v>
      </c>
      <c r="J31" s="11" t="s">
        <v>53</v>
      </c>
      <c r="K31" s="11" t="s">
        <v>9</v>
      </c>
      <c r="L31" s="7" t="s">
        <v>9</v>
      </c>
      <c r="M31" s="11" t="s">
        <v>9</v>
      </c>
      <c r="N31" s="11" t="s">
        <v>9</v>
      </c>
      <c r="O31" s="11" t="s">
        <v>9</v>
      </c>
      <c r="P31" s="7" t="s">
        <v>9</v>
      </c>
      <c r="Q31" s="8" t="s">
        <v>9</v>
      </c>
      <c r="R31" s="7" t="s">
        <v>9</v>
      </c>
      <c r="S31" s="7" t="s">
        <v>9</v>
      </c>
      <c r="T31" s="12" t="s">
        <v>9</v>
      </c>
      <c r="U31" s="7"/>
      <c r="V31" s="7" t="s">
        <v>116</v>
      </c>
    </row>
    <row r="32" spans="1:22" x14ac:dyDescent="0.25">
      <c r="A32" s="19" t="str">
        <f t="shared" si="0"/>
        <v>FALTA</v>
      </c>
      <c r="B32" s="20" t="s">
        <v>353</v>
      </c>
      <c r="C32" s="21" t="s">
        <v>2475</v>
      </c>
      <c r="D32" s="18" t="s">
        <v>405</v>
      </c>
      <c r="E32" s="18" t="s">
        <v>2589</v>
      </c>
      <c r="F32" s="7" t="s">
        <v>8</v>
      </c>
      <c r="G32" s="7" t="s">
        <v>8</v>
      </c>
      <c r="H32" s="7" t="s">
        <v>53</v>
      </c>
      <c r="I32" s="7" t="s">
        <v>9</v>
      </c>
      <c r="J32" s="11" t="s">
        <v>9</v>
      </c>
      <c r="K32" s="11" t="s">
        <v>9</v>
      </c>
      <c r="L32" s="7" t="s">
        <v>9</v>
      </c>
      <c r="M32" s="11" t="s">
        <v>9</v>
      </c>
      <c r="N32" s="11" t="s">
        <v>9</v>
      </c>
      <c r="O32" s="11" t="s">
        <v>9</v>
      </c>
      <c r="P32" s="7" t="s">
        <v>9</v>
      </c>
      <c r="Q32" s="8" t="s">
        <v>9</v>
      </c>
      <c r="R32" s="7" t="s">
        <v>9</v>
      </c>
      <c r="S32" s="7" t="s">
        <v>9</v>
      </c>
      <c r="T32" s="12" t="s">
        <v>9</v>
      </c>
      <c r="U32" s="7"/>
      <c r="V32" s="7" t="s">
        <v>116</v>
      </c>
    </row>
    <row r="33" spans="1:22" x14ac:dyDescent="0.25">
      <c r="A33" s="19" t="str">
        <f t="shared" si="0"/>
        <v>COMPLETO</v>
      </c>
      <c r="B33" s="20" t="s">
        <v>354</v>
      </c>
      <c r="C33" s="17" t="s">
        <v>355</v>
      </c>
      <c r="D33" s="18" t="s">
        <v>406</v>
      </c>
      <c r="E33" s="18" t="s">
        <v>407</v>
      </c>
      <c r="F33" s="7" t="s">
        <v>53</v>
      </c>
      <c r="G33" s="7" t="s">
        <v>53</v>
      </c>
      <c r="H33" s="7" t="s">
        <v>53</v>
      </c>
      <c r="I33" s="7" t="s">
        <v>53</v>
      </c>
      <c r="J33" s="11" t="s">
        <v>9</v>
      </c>
      <c r="K33" s="11" t="s">
        <v>9</v>
      </c>
      <c r="L33" s="7" t="s">
        <v>9</v>
      </c>
      <c r="M33" s="11" t="s">
        <v>9</v>
      </c>
      <c r="N33" s="11" t="s">
        <v>9</v>
      </c>
      <c r="O33" s="11" t="s">
        <v>9</v>
      </c>
      <c r="P33" s="7" t="s">
        <v>9</v>
      </c>
      <c r="Q33" s="8" t="s">
        <v>9</v>
      </c>
      <c r="R33" s="7" t="s">
        <v>9</v>
      </c>
      <c r="S33" s="7" t="s">
        <v>9</v>
      </c>
      <c r="T33" s="12" t="s">
        <v>9</v>
      </c>
      <c r="U33" s="7"/>
      <c r="V33" s="7" t="s">
        <v>116</v>
      </c>
    </row>
    <row r="34" spans="1:22" x14ac:dyDescent="0.25">
      <c r="A34" s="19" t="str">
        <f t="shared" si="0"/>
        <v>COMPLETO</v>
      </c>
      <c r="B34" s="20" t="s">
        <v>356</v>
      </c>
      <c r="C34" s="17" t="s">
        <v>357</v>
      </c>
      <c r="D34" s="18" t="s">
        <v>408</v>
      </c>
      <c r="E34" s="18" t="s">
        <v>1250</v>
      </c>
      <c r="F34" s="7" t="s">
        <v>53</v>
      </c>
      <c r="G34" s="7" t="s">
        <v>53</v>
      </c>
      <c r="H34" s="7" t="s">
        <v>53</v>
      </c>
      <c r="I34" s="7" t="s">
        <v>9</v>
      </c>
      <c r="J34" s="11" t="s">
        <v>53</v>
      </c>
      <c r="K34" s="11" t="s">
        <v>53</v>
      </c>
      <c r="L34" s="7" t="s">
        <v>9</v>
      </c>
      <c r="M34" s="11" t="s">
        <v>9</v>
      </c>
      <c r="N34" s="11" t="s">
        <v>9</v>
      </c>
      <c r="O34" s="11" t="s">
        <v>9</v>
      </c>
      <c r="P34" s="7" t="s">
        <v>9</v>
      </c>
      <c r="Q34" s="8" t="s">
        <v>9</v>
      </c>
      <c r="R34" s="7" t="s">
        <v>9</v>
      </c>
      <c r="S34" s="7" t="s">
        <v>9</v>
      </c>
      <c r="T34" s="12" t="s">
        <v>9</v>
      </c>
      <c r="U34" s="7"/>
      <c r="V34" s="7" t="s">
        <v>116</v>
      </c>
    </row>
    <row r="35" spans="1:22" x14ac:dyDescent="0.25">
      <c r="A35" s="19" t="str">
        <f t="shared" si="0"/>
        <v>COMPLETO</v>
      </c>
      <c r="B35" s="20" t="s">
        <v>358</v>
      </c>
      <c r="C35" s="17" t="s">
        <v>359</v>
      </c>
      <c r="D35" s="18" t="s">
        <v>409</v>
      </c>
      <c r="E35" s="18" t="s">
        <v>410</v>
      </c>
      <c r="F35" s="7" t="s">
        <v>53</v>
      </c>
      <c r="G35" s="7" t="s">
        <v>53</v>
      </c>
      <c r="H35" s="7" t="s">
        <v>53</v>
      </c>
      <c r="I35" s="7" t="s">
        <v>53</v>
      </c>
      <c r="J35" s="11" t="s">
        <v>9</v>
      </c>
      <c r="K35" s="11" t="s">
        <v>9</v>
      </c>
      <c r="L35" s="7" t="s">
        <v>9</v>
      </c>
      <c r="M35" s="11" t="s">
        <v>9</v>
      </c>
      <c r="N35" s="11" t="s">
        <v>9</v>
      </c>
      <c r="O35" s="11" t="s">
        <v>9</v>
      </c>
      <c r="P35" s="7" t="s">
        <v>9</v>
      </c>
      <c r="Q35" s="8" t="s">
        <v>9</v>
      </c>
      <c r="R35" s="7" t="s">
        <v>9</v>
      </c>
      <c r="S35" s="7" t="s">
        <v>9</v>
      </c>
      <c r="T35" s="12" t="s">
        <v>9</v>
      </c>
      <c r="U35" s="7"/>
      <c r="V35" s="7" t="s">
        <v>116</v>
      </c>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 ref="R1:R2"/>
    <mergeCell ref="S1:S2"/>
    <mergeCell ref="T1:T2"/>
    <mergeCell ref="U1:U2"/>
    <mergeCell ref="V1:V2"/>
  </mergeCells>
  <conditionalFormatting sqref="G4:T4 F5:V44">
    <cfRule type="cellIs" dxfId="708" priority="38" operator="equal">
      <formula>"F"</formula>
    </cfRule>
    <cfRule type="cellIs" dxfId="707" priority="39" operator="equal">
      <formula>"OK"</formula>
    </cfRule>
    <cfRule type="cellIs" dxfId="706" priority="40" operator="between">
      <formula>6</formula>
      <formula>18</formula>
    </cfRule>
  </conditionalFormatting>
  <conditionalFormatting sqref="C1:E1 A2:E2 C3:C4 E3:E4 A5:E1048576">
    <cfRule type="expression" dxfId="705" priority="36">
      <formula>$A1="FALTA"</formula>
    </cfRule>
    <cfRule type="expression" dxfId="704" priority="37">
      <formula>$A1="COMPLETO"</formula>
    </cfRule>
  </conditionalFormatting>
  <conditionalFormatting sqref="G3:T3">
    <cfRule type="cellIs" dxfId="703" priority="21" operator="equal">
      <formula>"F"</formula>
    </cfRule>
    <cfRule type="cellIs" dxfId="702" priority="22" operator="equal">
      <formula>"OK"</formula>
    </cfRule>
    <cfRule type="cellIs" dxfId="701" priority="23" operator="between">
      <formula>6</formula>
      <formula>18</formula>
    </cfRule>
  </conditionalFormatting>
  <conditionalFormatting sqref="B3">
    <cfRule type="expression" dxfId="700" priority="19">
      <formula>$A3="FALTA"</formula>
    </cfRule>
    <cfRule type="expression" dxfId="699" priority="20">
      <formula>$A3="COMPLETO"</formula>
    </cfRule>
  </conditionalFormatting>
  <conditionalFormatting sqref="D3:D4">
    <cfRule type="expression" dxfId="698" priority="17">
      <formula>$A3="FALTA"</formula>
    </cfRule>
    <cfRule type="expression" dxfId="697" priority="18">
      <formula>$A3="COMPLETO"</formula>
    </cfRule>
  </conditionalFormatting>
  <conditionalFormatting sqref="F4">
    <cfRule type="cellIs" dxfId="696" priority="14" operator="equal">
      <formula>"F"</formula>
    </cfRule>
    <cfRule type="cellIs" dxfId="695" priority="15" operator="equal">
      <formula>"OK"</formula>
    </cfRule>
    <cfRule type="cellIs" dxfId="694" priority="16" operator="between">
      <formula>6</formula>
      <formula>18</formula>
    </cfRule>
  </conditionalFormatting>
  <conditionalFormatting sqref="A1:B1">
    <cfRule type="expression" dxfId="693" priority="12">
      <formula>$A1="FALTA"</formula>
    </cfRule>
    <cfRule type="expression" dxfId="692" priority="13">
      <formula>$A1="COMPLETO"</formula>
    </cfRule>
  </conditionalFormatting>
  <conditionalFormatting sqref="U3:V3">
    <cfRule type="cellIs" dxfId="691" priority="6" operator="equal">
      <formula>"F"</formula>
    </cfRule>
    <cfRule type="cellIs" dxfId="690" priority="7" operator="equal">
      <formula>"OK"</formula>
    </cfRule>
    <cfRule type="cellIs" dxfId="689" priority="8" operator="between">
      <formula>6</formula>
      <formula>18</formula>
    </cfRule>
  </conditionalFormatting>
  <conditionalFormatting sqref="F3">
    <cfRule type="cellIs" dxfId="688" priority="3" operator="equal">
      <formula>"F"</formula>
    </cfRule>
    <cfRule type="cellIs" dxfId="687" priority="4" operator="equal">
      <formula>"OK"</formula>
    </cfRule>
    <cfRule type="cellIs" dxfId="686" priority="5" operator="between">
      <formula>6</formula>
      <formula>18</formula>
    </cfRule>
  </conditionalFormatting>
  <conditionalFormatting sqref="A3">
    <cfRule type="expression" dxfId="685" priority="1">
      <formula>$A3="FALTA"</formula>
    </cfRule>
    <cfRule type="expression" dxfId="684"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T3:T4 M3:M4 R3:R4 I4 P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5">
    <tabColor rgb="FF004079"/>
    <outlinePr summaryBelow="0" summaryRight="0"/>
  </sheetPr>
  <dimension ref="A1:V44"/>
  <sheetViews>
    <sheetView zoomScaleNormal="100" workbookViewId="0">
      <pane ySplit="2" topLeftCell="A3" activePane="bottomLeft" state="frozen"/>
      <selection pane="bottomLeft" activeCell="P5" sqref="P5:S35"/>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ZDiego Puerta 5-38</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FALTA</v>
      </c>
      <c r="B3" s="385" t="s">
        <v>116</v>
      </c>
      <c r="C3" s="23" t="s">
        <v>314</v>
      </c>
      <c r="D3" s="29" t="s">
        <v>5</v>
      </c>
      <c r="E3" s="10" t="s">
        <v>316</v>
      </c>
      <c r="F3" s="30">
        <f>IF(AND(ISBLANK(U3),ISBLANK(V3)),1-(COUNTIF(G3:V4,"F")/7),1-(COUNTIF(U3:V3,"F")/2))</f>
        <v>0</v>
      </c>
      <c r="G3" s="24"/>
      <c r="H3" s="24"/>
      <c r="I3" s="24"/>
      <c r="J3" s="24"/>
      <c r="K3" s="24"/>
      <c r="L3" s="24" t="s">
        <v>28</v>
      </c>
      <c r="M3" s="11" t="s">
        <v>8</v>
      </c>
      <c r="N3" s="24"/>
      <c r="O3" s="24"/>
      <c r="P3" s="25"/>
      <c r="Q3" s="24" t="s">
        <v>24</v>
      </c>
      <c r="R3" s="11" t="s">
        <v>8</v>
      </c>
      <c r="S3" s="24" t="s">
        <v>12</v>
      </c>
      <c r="T3" s="11" t="s">
        <v>8</v>
      </c>
      <c r="U3" s="381"/>
      <c r="V3" s="381"/>
    </row>
    <row r="4" spans="1:22" x14ac:dyDescent="0.25">
      <c r="A4" s="384"/>
      <c r="B4" s="386"/>
      <c r="C4" s="23" t="s">
        <v>1333</v>
      </c>
      <c r="D4" s="29" t="s">
        <v>6</v>
      </c>
      <c r="E4" s="10"/>
      <c r="F4" s="30">
        <f>COUNTIF(A5:A44,"*COMPLETO*")/COUNTA(A5:A44)</f>
        <v>0.22580645161290322</v>
      </c>
      <c r="G4" s="24"/>
      <c r="H4" s="24" t="s">
        <v>18</v>
      </c>
      <c r="I4" s="11" t="s">
        <v>8</v>
      </c>
      <c r="J4" s="24"/>
      <c r="K4" s="24"/>
      <c r="L4" s="24" t="s">
        <v>23</v>
      </c>
      <c r="M4" s="11" t="s">
        <v>8</v>
      </c>
      <c r="N4" s="24"/>
      <c r="O4" s="24"/>
      <c r="P4" s="11"/>
      <c r="Q4" s="24" t="s">
        <v>26</v>
      </c>
      <c r="R4" s="11" t="s">
        <v>8</v>
      </c>
      <c r="S4" s="24" t="s">
        <v>19</v>
      </c>
      <c r="T4" s="11" t="s">
        <v>8</v>
      </c>
      <c r="U4" s="382"/>
      <c r="V4" s="382"/>
    </row>
    <row r="5" spans="1:22" ht="15" customHeight="1" x14ac:dyDescent="0.25">
      <c r="A5" s="19" t="str">
        <f>IF(COUNTIF(F5:V5,"F")&gt;0,"FALTA","COMPLETO")</f>
        <v>FALTA</v>
      </c>
      <c r="B5" s="20" t="s">
        <v>151</v>
      </c>
      <c r="C5" s="17" t="s">
        <v>4</v>
      </c>
      <c r="D5" s="18"/>
      <c r="E5" s="18"/>
      <c r="F5" s="7" t="s">
        <v>8</v>
      </c>
      <c r="G5" s="7" t="s">
        <v>8</v>
      </c>
      <c r="H5" s="7"/>
      <c r="I5" s="7" t="s">
        <v>9</v>
      </c>
      <c r="J5" s="11" t="s">
        <v>9</v>
      </c>
      <c r="K5" s="11" t="s">
        <v>9</v>
      </c>
      <c r="L5" s="7" t="s">
        <v>9</v>
      </c>
      <c r="M5" s="11" t="s">
        <v>9</v>
      </c>
      <c r="N5" s="11" t="s">
        <v>9</v>
      </c>
      <c r="O5" s="11" t="s">
        <v>9</v>
      </c>
      <c r="P5" s="7" t="s">
        <v>9</v>
      </c>
      <c r="Q5" s="8" t="s">
        <v>9</v>
      </c>
      <c r="R5" s="7" t="s">
        <v>9</v>
      </c>
      <c r="S5" s="7" t="s">
        <v>9</v>
      </c>
      <c r="T5" s="12" t="s">
        <v>9</v>
      </c>
      <c r="U5" s="7"/>
      <c r="V5" s="7" t="s">
        <v>116</v>
      </c>
    </row>
    <row r="6" spans="1:22" ht="15" customHeight="1" x14ac:dyDescent="0.25">
      <c r="A6" s="19" t="str">
        <f t="shared" ref="A6:A35" si="0">IF(COUNTIF(F6:V6,"F")&gt;0,"FALTA","COMPLETO")</f>
        <v>FALTA</v>
      </c>
      <c r="B6" s="20" t="s">
        <v>155</v>
      </c>
      <c r="C6" s="17" t="s">
        <v>4</v>
      </c>
      <c r="D6" s="18"/>
      <c r="E6" s="18"/>
      <c r="F6" s="7" t="s">
        <v>8</v>
      </c>
      <c r="G6" s="7" t="s">
        <v>8</v>
      </c>
      <c r="H6" s="7"/>
      <c r="I6" s="7" t="s">
        <v>9</v>
      </c>
      <c r="J6" s="11" t="s">
        <v>9</v>
      </c>
      <c r="K6" s="11" t="s">
        <v>9</v>
      </c>
      <c r="L6" s="7" t="s">
        <v>9</v>
      </c>
      <c r="M6" s="11" t="s">
        <v>9</v>
      </c>
      <c r="N6" s="11" t="s">
        <v>9</v>
      </c>
      <c r="O6" s="11" t="s">
        <v>9</v>
      </c>
      <c r="P6" s="7" t="s">
        <v>9</v>
      </c>
      <c r="Q6" s="8" t="s">
        <v>9</v>
      </c>
      <c r="R6" s="7" t="s">
        <v>9</v>
      </c>
      <c r="S6" s="7" t="s">
        <v>9</v>
      </c>
      <c r="T6" s="12" t="s">
        <v>9</v>
      </c>
      <c r="U6" s="7"/>
      <c r="V6" s="7" t="s">
        <v>116</v>
      </c>
    </row>
    <row r="7" spans="1:22" ht="15" customHeight="1" x14ac:dyDescent="0.25">
      <c r="A7" s="19" t="str">
        <f t="shared" si="0"/>
        <v>FALTA</v>
      </c>
      <c r="B7" s="20" t="s">
        <v>156</v>
      </c>
      <c r="C7" s="17" t="s">
        <v>4</v>
      </c>
      <c r="D7" s="18"/>
      <c r="E7" s="18"/>
      <c r="F7" s="7" t="s">
        <v>8</v>
      </c>
      <c r="G7" s="7" t="s">
        <v>8</v>
      </c>
      <c r="H7" s="7"/>
      <c r="I7" s="7" t="s">
        <v>9</v>
      </c>
      <c r="J7" s="11" t="s">
        <v>9</v>
      </c>
      <c r="K7" s="11" t="s">
        <v>9</v>
      </c>
      <c r="L7" s="7" t="s">
        <v>9</v>
      </c>
      <c r="M7" s="11" t="s">
        <v>9</v>
      </c>
      <c r="N7" s="11" t="s">
        <v>9</v>
      </c>
      <c r="O7" s="11" t="s">
        <v>9</v>
      </c>
      <c r="P7" s="7" t="s">
        <v>9</v>
      </c>
      <c r="Q7" s="8" t="s">
        <v>9</v>
      </c>
      <c r="R7" s="7" t="s">
        <v>9</v>
      </c>
      <c r="S7" s="7" t="s">
        <v>9</v>
      </c>
      <c r="T7" s="12" t="s">
        <v>9</v>
      </c>
      <c r="U7" s="7"/>
      <c r="V7" s="7" t="s">
        <v>116</v>
      </c>
    </row>
    <row r="8" spans="1:22" x14ac:dyDescent="0.25">
      <c r="A8" s="19" t="str">
        <f t="shared" si="0"/>
        <v>COMPLETO</v>
      </c>
      <c r="B8" s="20" t="s">
        <v>158</v>
      </c>
      <c r="C8" s="17" t="s">
        <v>431</v>
      </c>
      <c r="D8" s="18"/>
      <c r="E8" s="18" t="s">
        <v>1389</v>
      </c>
      <c r="F8" s="7" t="s">
        <v>53</v>
      </c>
      <c r="G8" s="7" t="s">
        <v>53</v>
      </c>
      <c r="H8" s="7"/>
      <c r="I8" s="7" t="s">
        <v>53</v>
      </c>
      <c r="J8" s="11" t="s">
        <v>9</v>
      </c>
      <c r="K8" s="11" t="s">
        <v>9</v>
      </c>
      <c r="L8" s="7" t="s">
        <v>9</v>
      </c>
      <c r="M8" s="11" t="s">
        <v>9</v>
      </c>
      <c r="N8" s="11" t="s">
        <v>9</v>
      </c>
      <c r="O8" s="11" t="s">
        <v>9</v>
      </c>
      <c r="P8" s="7" t="s">
        <v>9</v>
      </c>
      <c r="Q8" s="8" t="s">
        <v>9</v>
      </c>
      <c r="R8" s="7" t="s">
        <v>9</v>
      </c>
      <c r="S8" s="7" t="s">
        <v>9</v>
      </c>
      <c r="T8" s="12" t="s">
        <v>9</v>
      </c>
      <c r="U8" s="7"/>
      <c r="V8" s="7" t="s">
        <v>116</v>
      </c>
    </row>
    <row r="9" spans="1:22" x14ac:dyDescent="0.25">
      <c r="A9" s="19" t="str">
        <f t="shared" si="0"/>
        <v>COMPLETO</v>
      </c>
      <c r="B9" s="20" t="s">
        <v>160</v>
      </c>
      <c r="C9" s="17" t="s">
        <v>1326</v>
      </c>
      <c r="D9" s="18"/>
      <c r="E9" s="18" t="s">
        <v>1390</v>
      </c>
      <c r="F9" s="7" t="s">
        <v>53</v>
      </c>
      <c r="G9" s="7" t="s">
        <v>53</v>
      </c>
      <c r="H9" s="7"/>
      <c r="I9" s="7" t="s">
        <v>9</v>
      </c>
      <c r="J9" s="11" t="s">
        <v>9</v>
      </c>
      <c r="K9" s="11" t="s">
        <v>9</v>
      </c>
      <c r="L9" s="7" t="s">
        <v>9</v>
      </c>
      <c r="M9" s="11" t="s">
        <v>9</v>
      </c>
      <c r="N9" s="11" t="s">
        <v>9</v>
      </c>
      <c r="O9" s="11" t="s">
        <v>9</v>
      </c>
      <c r="P9" s="7" t="s">
        <v>9</v>
      </c>
      <c r="Q9" s="8" t="s">
        <v>9</v>
      </c>
      <c r="R9" s="7" t="s">
        <v>9</v>
      </c>
      <c r="S9" s="7" t="s">
        <v>9</v>
      </c>
      <c r="T9" s="12" t="s">
        <v>9</v>
      </c>
      <c r="U9" s="7"/>
      <c r="V9" s="7" t="s">
        <v>116</v>
      </c>
    </row>
    <row r="10" spans="1:22" x14ac:dyDescent="0.25">
      <c r="A10" s="19" t="str">
        <f t="shared" si="0"/>
        <v>FALTA</v>
      </c>
      <c r="B10" s="20" t="s">
        <v>162</v>
      </c>
      <c r="C10" s="17" t="s">
        <v>4</v>
      </c>
      <c r="D10" s="18"/>
      <c r="E10" s="18"/>
      <c r="F10" s="7" t="s">
        <v>8</v>
      </c>
      <c r="G10" s="7" t="s">
        <v>8</v>
      </c>
      <c r="H10" s="7"/>
      <c r="I10" s="7" t="s">
        <v>9</v>
      </c>
      <c r="J10" s="11" t="s">
        <v>9</v>
      </c>
      <c r="K10" s="11" t="s">
        <v>9</v>
      </c>
      <c r="L10" s="7" t="s">
        <v>9</v>
      </c>
      <c r="M10" s="11" t="s">
        <v>9</v>
      </c>
      <c r="N10" s="11" t="s">
        <v>9</v>
      </c>
      <c r="O10" s="11" t="s">
        <v>9</v>
      </c>
      <c r="P10" s="7" t="s">
        <v>9</v>
      </c>
      <c r="Q10" s="8" t="s">
        <v>9</v>
      </c>
      <c r="R10" s="7" t="s">
        <v>9</v>
      </c>
      <c r="S10" s="7" t="s">
        <v>9</v>
      </c>
      <c r="T10" s="12" t="s">
        <v>9</v>
      </c>
      <c r="U10" s="7"/>
      <c r="V10" s="7" t="s">
        <v>116</v>
      </c>
    </row>
    <row r="11" spans="1:22" x14ac:dyDescent="0.25">
      <c r="A11" s="19" t="str">
        <f t="shared" si="0"/>
        <v>FALTA</v>
      </c>
      <c r="B11" s="20" t="s">
        <v>164</v>
      </c>
      <c r="C11" s="17" t="s">
        <v>4</v>
      </c>
      <c r="D11" s="18"/>
      <c r="E11" s="18"/>
      <c r="F11" s="7" t="s">
        <v>8</v>
      </c>
      <c r="G11" s="7" t="s">
        <v>8</v>
      </c>
      <c r="H11" s="7"/>
      <c r="I11" s="7" t="s">
        <v>9</v>
      </c>
      <c r="J11" s="11" t="s">
        <v>9</v>
      </c>
      <c r="K11" s="11" t="s">
        <v>9</v>
      </c>
      <c r="L11" s="7" t="s">
        <v>9</v>
      </c>
      <c r="M11" s="11" t="s">
        <v>9</v>
      </c>
      <c r="N11" s="11" t="s">
        <v>9</v>
      </c>
      <c r="O11" s="11" t="s">
        <v>9</v>
      </c>
      <c r="P11" s="7" t="s">
        <v>9</v>
      </c>
      <c r="Q11" s="8" t="s">
        <v>9</v>
      </c>
      <c r="R11" s="7" t="s">
        <v>9</v>
      </c>
      <c r="S11" s="7" t="s">
        <v>9</v>
      </c>
      <c r="T11" s="12" t="s">
        <v>9</v>
      </c>
      <c r="U11" s="7"/>
      <c r="V11" s="7" t="s">
        <v>116</v>
      </c>
    </row>
    <row r="12" spans="1:22" x14ac:dyDescent="0.25">
      <c r="A12" s="19" t="str">
        <f t="shared" si="0"/>
        <v>FALTA</v>
      </c>
      <c r="B12" s="20" t="s">
        <v>166</v>
      </c>
      <c r="C12" s="17" t="s">
        <v>4</v>
      </c>
      <c r="D12" s="18"/>
      <c r="E12" s="18"/>
      <c r="F12" s="7" t="s">
        <v>8</v>
      </c>
      <c r="G12" s="7" t="s">
        <v>8</v>
      </c>
      <c r="H12" s="7"/>
      <c r="I12" s="7" t="s">
        <v>9</v>
      </c>
      <c r="J12" s="11" t="s">
        <v>9</v>
      </c>
      <c r="K12" s="11" t="s">
        <v>9</v>
      </c>
      <c r="L12" s="7" t="s">
        <v>9</v>
      </c>
      <c r="M12" s="11" t="s">
        <v>9</v>
      </c>
      <c r="N12" s="11" t="s">
        <v>9</v>
      </c>
      <c r="O12" s="11" t="s">
        <v>9</v>
      </c>
      <c r="P12" s="7" t="s">
        <v>9</v>
      </c>
      <c r="Q12" s="8" t="s">
        <v>9</v>
      </c>
      <c r="R12" s="7" t="s">
        <v>9</v>
      </c>
      <c r="S12" s="7" t="s">
        <v>9</v>
      </c>
      <c r="T12" s="12" t="s">
        <v>9</v>
      </c>
      <c r="U12" s="7"/>
      <c r="V12" s="7" t="s">
        <v>116</v>
      </c>
    </row>
    <row r="13" spans="1:22" x14ac:dyDescent="0.25">
      <c r="A13" s="19" t="str">
        <f t="shared" si="0"/>
        <v>FALTA</v>
      </c>
      <c r="B13" s="20" t="s">
        <v>168</v>
      </c>
      <c r="C13" s="17" t="s">
        <v>4</v>
      </c>
      <c r="D13" s="18"/>
      <c r="E13" s="18"/>
      <c r="F13" s="7" t="s">
        <v>8</v>
      </c>
      <c r="G13" s="7" t="s">
        <v>8</v>
      </c>
      <c r="H13" s="7"/>
      <c r="I13" s="7" t="s">
        <v>9</v>
      </c>
      <c r="J13" s="11" t="s">
        <v>9</v>
      </c>
      <c r="K13" s="11" t="s">
        <v>9</v>
      </c>
      <c r="L13" s="7" t="s">
        <v>9</v>
      </c>
      <c r="M13" s="11" t="s">
        <v>9</v>
      </c>
      <c r="N13" s="11" t="s">
        <v>9</v>
      </c>
      <c r="O13" s="11" t="s">
        <v>9</v>
      </c>
      <c r="P13" s="7" t="s">
        <v>9</v>
      </c>
      <c r="Q13" s="8" t="s">
        <v>9</v>
      </c>
      <c r="R13" s="7" t="s">
        <v>9</v>
      </c>
      <c r="S13" s="7" t="s">
        <v>9</v>
      </c>
      <c r="T13" s="12" t="s">
        <v>9</v>
      </c>
      <c r="U13" s="7"/>
      <c r="V13" s="7" t="s">
        <v>116</v>
      </c>
    </row>
    <row r="14" spans="1:22" x14ac:dyDescent="0.25">
      <c r="A14" s="19" t="str">
        <f t="shared" si="0"/>
        <v>FALTA</v>
      </c>
      <c r="B14" s="20" t="s">
        <v>170</v>
      </c>
      <c r="C14" s="17" t="s">
        <v>4</v>
      </c>
      <c r="D14" s="18"/>
      <c r="E14" s="18"/>
      <c r="F14" s="7" t="s">
        <v>8</v>
      </c>
      <c r="G14" s="7" t="s">
        <v>8</v>
      </c>
      <c r="H14" s="7"/>
      <c r="I14" s="7" t="s">
        <v>9</v>
      </c>
      <c r="J14" s="11" t="s">
        <v>9</v>
      </c>
      <c r="K14" s="11" t="s">
        <v>9</v>
      </c>
      <c r="L14" s="7" t="s">
        <v>9</v>
      </c>
      <c r="M14" s="11" t="s">
        <v>9</v>
      </c>
      <c r="N14" s="11" t="s">
        <v>9</v>
      </c>
      <c r="O14" s="11" t="s">
        <v>9</v>
      </c>
      <c r="P14" s="7" t="s">
        <v>9</v>
      </c>
      <c r="Q14" s="8" t="s">
        <v>9</v>
      </c>
      <c r="R14" s="7" t="s">
        <v>9</v>
      </c>
      <c r="S14" s="7" t="s">
        <v>9</v>
      </c>
      <c r="T14" s="12" t="s">
        <v>9</v>
      </c>
      <c r="U14" s="7"/>
      <c r="V14" s="7" t="s">
        <v>116</v>
      </c>
    </row>
    <row r="15" spans="1:22" x14ac:dyDescent="0.25">
      <c r="A15" s="19" t="str">
        <f t="shared" si="0"/>
        <v>FALTA</v>
      </c>
      <c r="B15" s="20" t="s">
        <v>172</v>
      </c>
      <c r="C15" s="17" t="s">
        <v>4</v>
      </c>
      <c r="D15" s="18"/>
      <c r="E15" s="18"/>
      <c r="F15" s="7" t="s">
        <v>8</v>
      </c>
      <c r="G15" s="7" t="s">
        <v>8</v>
      </c>
      <c r="H15" s="7"/>
      <c r="I15" s="7" t="s">
        <v>9</v>
      </c>
      <c r="J15" s="11" t="s">
        <v>9</v>
      </c>
      <c r="K15" s="11" t="s">
        <v>9</v>
      </c>
      <c r="L15" s="7" t="s">
        <v>9</v>
      </c>
      <c r="M15" s="11" t="s">
        <v>9</v>
      </c>
      <c r="N15" s="11" t="s">
        <v>9</v>
      </c>
      <c r="O15" s="11" t="s">
        <v>9</v>
      </c>
      <c r="P15" s="7" t="s">
        <v>9</v>
      </c>
      <c r="Q15" s="8" t="s">
        <v>9</v>
      </c>
      <c r="R15" s="7" t="s">
        <v>9</v>
      </c>
      <c r="S15" s="7" t="s">
        <v>9</v>
      </c>
      <c r="T15" s="12" t="s">
        <v>9</v>
      </c>
      <c r="U15" s="7"/>
      <c r="V15" s="7" t="s">
        <v>116</v>
      </c>
    </row>
    <row r="16" spans="1:22" x14ac:dyDescent="0.25">
      <c r="A16" s="19" t="str">
        <f t="shared" si="0"/>
        <v>COMPLETO</v>
      </c>
      <c r="B16" s="20" t="s">
        <v>174</v>
      </c>
      <c r="C16" s="17" t="s">
        <v>1294</v>
      </c>
      <c r="D16" s="18"/>
      <c r="E16" s="18" t="s">
        <v>1293</v>
      </c>
      <c r="F16" s="7" t="s">
        <v>53</v>
      </c>
      <c r="G16" s="7" t="s">
        <v>53</v>
      </c>
      <c r="H16" s="7"/>
      <c r="I16" s="7" t="s">
        <v>9</v>
      </c>
      <c r="J16" s="11" t="s">
        <v>9</v>
      </c>
      <c r="K16" s="11" t="s">
        <v>9</v>
      </c>
      <c r="L16" s="7" t="s">
        <v>9</v>
      </c>
      <c r="M16" s="11" t="s">
        <v>9</v>
      </c>
      <c r="N16" s="11" t="s">
        <v>9</v>
      </c>
      <c r="O16" s="11" t="s">
        <v>9</v>
      </c>
      <c r="P16" s="7" t="s">
        <v>9</v>
      </c>
      <c r="Q16" s="8" t="s">
        <v>9</v>
      </c>
      <c r="R16" s="7" t="s">
        <v>9</v>
      </c>
      <c r="S16" s="7" t="s">
        <v>9</v>
      </c>
      <c r="T16" s="12" t="s">
        <v>9</v>
      </c>
      <c r="U16" s="7"/>
      <c r="V16" s="7" t="s">
        <v>116</v>
      </c>
    </row>
    <row r="17" spans="1:22" x14ac:dyDescent="0.25">
      <c r="A17" s="19" t="str">
        <f t="shared" si="0"/>
        <v>FALTA</v>
      </c>
      <c r="B17" s="20" t="s">
        <v>175</v>
      </c>
      <c r="C17" s="17" t="s">
        <v>4</v>
      </c>
      <c r="D17" s="18"/>
      <c r="E17" s="18"/>
      <c r="F17" s="7" t="s">
        <v>8</v>
      </c>
      <c r="G17" s="7" t="s">
        <v>8</v>
      </c>
      <c r="H17" s="7"/>
      <c r="I17" s="7" t="s">
        <v>9</v>
      </c>
      <c r="J17" s="11" t="s">
        <v>9</v>
      </c>
      <c r="K17" s="11" t="s">
        <v>9</v>
      </c>
      <c r="L17" s="7" t="s">
        <v>9</v>
      </c>
      <c r="M17" s="11" t="s">
        <v>9</v>
      </c>
      <c r="N17" s="11" t="s">
        <v>9</v>
      </c>
      <c r="O17" s="11" t="s">
        <v>9</v>
      </c>
      <c r="P17" s="7" t="s">
        <v>9</v>
      </c>
      <c r="Q17" s="8" t="s">
        <v>9</v>
      </c>
      <c r="R17" s="7" t="s">
        <v>9</v>
      </c>
      <c r="S17" s="7" t="s">
        <v>9</v>
      </c>
      <c r="T17" s="12" t="s">
        <v>9</v>
      </c>
      <c r="U17" s="7"/>
      <c r="V17" s="7" t="s">
        <v>116</v>
      </c>
    </row>
    <row r="18" spans="1:22" x14ac:dyDescent="0.25">
      <c r="A18" s="19" t="str">
        <f t="shared" si="0"/>
        <v>FALTA</v>
      </c>
      <c r="B18" s="20" t="s">
        <v>177</v>
      </c>
      <c r="C18" s="17" t="s">
        <v>4</v>
      </c>
      <c r="D18" s="18"/>
      <c r="E18" s="18"/>
      <c r="F18" s="7" t="s">
        <v>8</v>
      </c>
      <c r="G18" s="7" t="s">
        <v>8</v>
      </c>
      <c r="H18" s="7"/>
      <c r="I18" s="7" t="s">
        <v>9</v>
      </c>
      <c r="J18" s="11" t="s">
        <v>9</v>
      </c>
      <c r="K18" s="11" t="s">
        <v>9</v>
      </c>
      <c r="L18" s="7" t="s">
        <v>9</v>
      </c>
      <c r="M18" s="11" t="s">
        <v>9</v>
      </c>
      <c r="N18" s="11" t="s">
        <v>9</v>
      </c>
      <c r="O18" s="11" t="s">
        <v>9</v>
      </c>
      <c r="P18" s="7" t="s">
        <v>9</v>
      </c>
      <c r="Q18" s="8" t="s">
        <v>9</v>
      </c>
      <c r="R18" s="7" t="s">
        <v>9</v>
      </c>
      <c r="S18" s="7" t="s">
        <v>9</v>
      </c>
      <c r="T18" s="12" t="s">
        <v>9</v>
      </c>
      <c r="U18" s="7"/>
      <c r="V18" s="7" t="s">
        <v>116</v>
      </c>
    </row>
    <row r="19" spans="1:22" x14ac:dyDescent="0.25">
      <c r="A19" s="19" t="str">
        <f t="shared" si="0"/>
        <v>COMPLETO</v>
      </c>
      <c r="B19" s="20" t="s">
        <v>179</v>
      </c>
      <c r="C19" s="17" t="s">
        <v>4</v>
      </c>
      <c r="D19" s="18"/>
      <c r="E19" s="18" t="s">
        <v>2593</v>
      </c>
      <c r="F19" s="7" t="s">
        <v>53</v>
      </c>
      <c r="G19" s="7" t="s">
        <v>53</v>
      </c>
      <c r="H19" s="7"/>
      <c r="I19" s="7" t="s">
        <v>53</v>
      </c>
      <c r="J19" s="11" t="s">
        <v>9</v>
      </c>
      <c r="K19" s="11" t="s">
        <v>9</v>
      </c>
      <c r="L19" s="7" t="s">
        <v>9</v>
      </c>
      <c r="M19" s="11" t="s">
        <v>9</v>
      </c>
      <c r="N19" s="11" t="s">
        <v>9</v>
      </c>
      <c r="O19" s="11" t="s">
        <v>9</v>
      </c>
      <c r="P19" s="7" t="s">
        <v>9</v>
      </c>
      <c r="Q19" s="8" t="s">
        <v>9</v>
      </c>
      <c r="R19" s="7" t="s">
        <v>9</v>
      </c>
      <c r="S19" s="7" t="s">
        <v>9</v>
      </c>
      <c r="T19" s="12" t="s">
        <v>9</v>
      </c>
      <c r="U19" s="7"/>
      <c r="V19" s="7" t="s">
        <v>116</v>
      </c>
    </row>
    <row r="20" spans="1:22" x14ac:dyDescent="0.25">
      <c r="A20" s="19" t="str">
        <f t="shared" si="0"/>
        <v>FALTA</v>
      </c>
      <c r="B20" s="20" t="s">
        <v>181</v>
      </c>
      <c r="C20" s="17" t="s">
        <v>4</v>
      </c>
      <c r="D20" s="18"/>
      <c r="E20" s="18"/>
      <c r="F20" s="7" t="s">
        <v>8</v>
      </c>
      <c r="G20" s="7" t="s">
        <v>8</v>
      </c>
      <c r="H20" s="7"/>
      <c r="I20" s="7" t="s">
        <v>9</v>
      </c>
      <c r="J20" s="11" t="s">
        <v>9</v>
      </c>
      <c r="K20" s="11" t="s">
        <v>9</v>
      </c>
      <c r="L20" s="7" t="s">
        <v>9</v>
      </c>
      <c r="M20" s="11" t="s">
        <v>9</v>
      </c>
      <c r="N20" s="11" t="s">
        <v>9</v>
      </c>
      <c r="O20" s="11" t="s">
        <v>9</v>
      </c>
      <c r="P20" s="7" t="s">
        <v>9</v>
      </c>
      <c r="Q20" s="8" t="s">
        <v>9</v>
      </c>
      <c r="R20" s="7" t="s">
        <v>9</v>
      </c>
      <c r="S20" s="7" t="s">
        <v>9</v>
      </c>
      <c r="T20" s="12" t="s">
        <v>9</v>
      </c>
      <c r="U20" s="7"/>
      <c r="V20" s="7" t="s">
        <v>116</v>
      </c>
    </row>
    <row r="21" spans="1:22" x14ac:dyDescent="0.25">
      <c r="A21" s="19" t="str">
        <f t="shared" si="0"/>
        <v>FALTA</v>
      </c>
      <c r="B21" s="20" t="s">
        <v>183</v>
      </c>
      <c r="C21" s="17" t="s">
        <v>4</v>
      </c>
      <c r="D21" s="18"/>
      <c r="E21" s="18"/>
      <c r="F21" s="7" t="s">
        <v>8</v>
      </c>
      <c r="G21" s="7" t="s">
        <v>8</v>
      </c>
      <c r="H21" s="7"/>
      <c r="I21" s="7" t="s">
        <v>9</v>
      </c>
      <c r="J21" s="11" t="s">
        <v>9</v>
      </c>
      <c r="K21" s="11" t="s">
        <v>9</v>
      </c>
      <c r="L21" s="7" t="s">
        <v>9</v>
      </c>
      <c r="M21" s="11" t="s">
        <v>9</v>
      </c>
      <c r="N21" s="11" t="s">
        <v>9</v>
      </c>
      <c r="O21" s="11" t="s">
        <v>9</v>
      </c>
      <c r="P21" s="7" t="s">
        <v>9</v>
      </c>
      <c r="Q21" s="8" t="s">
        <v>9</v>
      </c>
      <c r="R21" s="7" t="s">
        <v>9</v>
      </c>
      <c r="S21" s="7" t="s">
        <v>9</v>
      </c>
      <c r="T21" s="12" t="s">
        <v>9</v>
      </c>
      <c r="U21" s="7"/>
      <c r="V21" s="7" t="s">
        <v>116</v>
      </c>
    </row>
    <row r="22" spans="1:22" x14ac:dyDescent="0.25">
      <c r="A22" s="19" t="str">
        <f t="shared" si="0"/>
        <v>COMPLETO</v>
      </c>
      <c r="B22" s="20" t="s">
        <v>185</v>
      </c>
      <c r="C22" s="17" t="s">
        <v>1292</v>
      </c>
      <c r="D22" s="18"/>
      <c r="E22" s="18" t="s">
        <v>1291</v>
      </c>
      <c r="F22" s="7" t="s">
        <v>53</v>
      </c>
      <c r="G22" s="7" t="s">
        <v>53</v>
      </c>
      <c r="H22" s="7"/>
      <c r="I22" s="7" t="s">
        <v>9</v>
      </c>
      <c r="J22" s="11" t="s">
        <v>9</v>
      </c>
      <c r="K22" s="11" t="s">
        <v>9</v>
      </c>
      <c r="L22" s="7" t="s">
        <v>9</v>
      </c>
      <c r="M22" s="11" t="s">
        <v>9</v>
      </c>
      <c r="N22" s="11" t="s">
        <v>9</v>
      </c>
      <c r="O22" s="11" t="s">
        <v>9</v>
      </c>
      <c r="P22" s="7" t="s">
        <v>9</v>
      </c>
      <c r="Q22" s="8" t="s">
        <v>9</v>
      </c>
      <c r="R22" s="7" t="s">
        <v>9</v>
      </c>
      <c r="S22" s="7" t="s">
        <v>9</v>
      </c>
      <c r="T22" s="12" t="s">
        <v>9</v>
      </c>
      <c r="U22" s="7"/>
      <c r="V22" s="7" t="s">
        <v>116</v>
      </c>
    </row>
    <row r="23" spans="1:22" x14ac:dyDescent="0.25">
      <c r="A23" s="19" t="str">
        <f t="shared" si="0"/>
        <v>COMPLETO</v>
      </c>
      <c r="B23" s="20" t="s">
        <v>187</v>
      </c>
      <c r="C23" s="17" t="s">
        <v>4</v>
      </c>
      <c r="D23" s="18"/>
      <c r="E23" s="18" t="s">
        <v>1336</v>
      </c>
      <c r="F23" s="7" t="s">
        <v>53</v>
      </c>
      <c r="G23" s="7" t="s">
        <v>53</v>
      </c>
      <c r="H23" s="7"/>
      <c r="I23" s="7" t="s">
        <v>53</v>
      </c>
      <c r="J23" s="11" t="s">
        <v>9</v>
      </c>
      <c r="K23" s="11" t="s">
        <v>9</v>
      </c>
      <c r="L23" s="7" t="s">
        <v>9</v>
      </c>
      <c r="M23" s="11" t="s">
        <v>9</v>
      </c>
      <c r="N23" s="11" t="s">
        <v>9</v>
      </c>
      <c r="O23" s="11" t="s">
        <v>9</v>
      </c>
      <c r="P23" s="7" t="s">
        <v>9</v>
      </c>
      <c r="Q23" s="8" t="s">
        <v>9</v>
      </c>
      <c r="R23" s="7" t="s">
        <v>9</v>
      </c>
      <c r="S23" s="7" t="s">
        <v>9</v>
      </c>
      <c r="T23" s="12" t="s">
        <v>9</v>
      </c>
      <c r="U23" s="7"/>
      <c r="V23" s="7" t="s">
        <v>116</v>
      </c>
    </row>
    <row r="24" spans="1:22" x14ac:dyDescent="0.25">
      <c r="A24" s="19" t="str">
        <f t="shared" si="0"/>
        <v>FALTA</v>
      </c>
      <c r="B24" s="20" t="s">
        <v>337</v>
      </c>
      <c r="C24" s="17" t="s">
        <v>4</v>
      </c>
      <c r="D24" s="18"/>
      <c r="E24" s="18"/>
      <c r="F24" s="7" t="s">
        <v>8</v>
      </c>
      <c r="G24" s="7" t="s">
        <v>8</v>
      </c>
      <c r="H24" s="7"/>
      <c r="I24" s="7" t="s">
        <v>9</v>
      </c>
      <c r="J24" s="11" t="s">
        <v>9</v>
      </c>
      <c r="K24" s="11" t="s">
        <v>9</v>
      </c>
      <c r="L24" s="7" t="s">
        <v>9</v>
      </c>
      <c r="M24" s="11" t="s">
        <v>9</v>
      </c>
      <c r="N24" s="11" t="s">
        <v>9</v>
      </c>
      <c r="O24" s="11" t="s">
        <v>9</v>
      </c>
      <c r="P24" s="7" t="s">
        <v>9</v>
      </c>
      <c r="Q24" s="8" t="s">
        <v>9</v>
      </c>
      <c r="R24" s="7" t="s">
        <v>9</v>
      </c>
      <c r="S24" s="7" t="s">
        <v>9</v>
      </c>
      <c r="T24" s="12" t="s">
        <v>9</v>
      </c>
      <c r="U24" s="7"/>
      <c r="V24" s="7" t="s">
        <v>116</v>
      </c>
    </row>
    <row r="25" spans="1:22" x14ac:dyDescent="0.25">
      <c r="A25" s="19" t="str">
        <f t="shared" si="0"/>
        <v>FALTA</v>
      </c>
      <c r="B25" s="20" t="s">
        <v>339</v>
      </c>
      <c r="C25" s="17" t="s">
        <v>4</v>
      </c>
      <c r="D25" s="18"/>
      <c r="E25" s="18"/>
      <c r="F25" s="7" t="s">
        <v>8</v>
      </c>
      <c r="G25" s="7" t="s">
        <v>8</v>
      </c>
      <c r="H25" s="7"/>
      <c r="I25" s="7" t="s">
        <v>9</v>
      </c>
      <c r="J25" s="11" t="s">
        <v>9</v>
      </c>
      <c r="K25" s="11" t="s">
        <v>9</v>
      </c>
      <c r="L25" s="7" t="s">
        <v>9</v>
      </c>
      <c r="M25" s="11" t="s">
        <v>9</v>
      </c>
      <c r="N25" s="11" t="s">
        <v>9</v>
      </c>
      <c r="O25" s="11" t="s">
        <v>9</v>
      </c>
      <c r="P25" s="7" t="s">
        <v>9</v>
      </c>
      <c r="Q25" s="8" t="s">
        <v>9</v>
      </c>
      <c r="R25" s="7" t="s">
        <v>9</v>
      </c>
      <c r="S25" s="7" t="s">
        <v>9</v>
      </c>
      <c r="T25" s="12" t="s">
        <v>9</v>
      </c>
      <c r="U25" s="7"/>
      <c r="V25" s="7" t="s">
        <v>116</v>
      </c>
    </row>
    <row r="26" spans="1:22" x14ac:dyDescent="0.25">
      <c r="A26" s="19" t="str">
        <f t="shared" si="0"/>
        <v>FALTA</v>
      </c>
      <c r="B26" s="20" t="s">
        <v>341</v>
      </c>
      <c r="C26" s="17" t="s">
        <v>4</v>
      </c>
      <c r="D26" s="18"/>
      <c r="E26" s="18"/>
      <c r="F26" s="7" t="s">
        <v>8</v>
      </c>
      <c r="G26" s="7" t="s">
        <v>8</v>
      </c>
      <c r="H26" s="7"/>
      <c r="I26" s="7" t="s">
        <v>9</v>
      </c>
      <c r="J26" s="11" t="s">
        <v>9</v>
      </c>
      <c r="K26" s="11" t="s">
        <v>9</v>
      </c>
      <c r="L26" s="7" t="s">
        <v>9</v>
      </c>
      <c r="M26" s="11" t="s">
        <v>9</v>
      </c>
      <c r="N26" s="11" t="s">
        <v>9</v>
      </c>
      <c r="O26" s="11" t="s">
        <v>9</v>
      </c>
      <c r="P26" s="7" t="s">
        <v>9</v>
      </c>
      <c r="Q26" s="8" t="s">
        <v>9</v>
      </c>
      <c r="R26" s="7" t="s">
        <v>9</v>
      </c>
      <c r="S26" s="7" t="s">
        <v>9</v>
      </c>
      <c r="T26" s="12" t="s">
        <v>9</v>
      </c>
      <c r="U26" s="7"/>
      <c r="V26" s="7" t="s">
        <v>116</v>
      </c>
    </row>
    <row r="27" spans="1:22" x14ac:dyDescent="0.25">
      <c r="A27" s="19" t="str">
        <f t="shared" si="0"/>
        <v>FALTA</v>
      </c>
      <c r="B27" s="20" t="s">
        <v>343</v>
      </c>
      <c r="C27" s="17" t="s">
        <v>4</v>
      </c>
      <c r="D27" s="18"/>
      <c r="E27" s="18"/>
      <c r="F27" s="7" t="s">
        <v>8</v>
      </c>
      <c r="G27" s="7" t="s">
        <v>8</v>
      </c>
      <c r="H27" s="7"/>
      <c r="I27" s="7" t="s">
        <v>9</v>
      </c>
      <c r="J27" s="11" t="s">
        <v>9</v>
      </c>
      <c r="K27" s="11" t="s">
        <v>9</v>
      </c>
      <c r="L27" s="7" t="s">
        <v>9</v>
      </c>
      <c r="M27" s="11" t="s">
        <v>9</v>
      </c>
      <c r="N27" s="11" t="s">
        <v>9</v>
      </c>
      <c r="O27" s="11" t="s">
        <v>9</v>
      </c>
      <c r="P27" s="7" t="s">
        <v>9</v>
      </c>
      <c r="Q27" s="8" t="s">
        <v>9</v>
      </c>
      <c r="R27" s="7" t="s">
        <v>9</v>
      </c>
      <c r="S27" s="7" t="s">
        <v>9</v>
      </c>
      <c r="T27" s="12" t="s">
        <v>9</v>
      </c>
      <c r="U27" s="7"/>
      <c r="V27" s="7" t="s">
        <v>116</v>
      </c>
    </row>
    <row r="28" spans="1:22" x14ac:dyDescent="0.25">
      <c r="A28" s="19" t="str">
        <f t="shared" si="0"/>
        <v>COMPLETO</v>
      </c>
      <c r="B28" s="20" t="s">
        <v>345</v>
      </c>
      <c r="C28" s="17" t="s">
        <v>4</v>
      </c>
      <c r="D28" s="18"/>
      <c r="E28" s="18" t="s">
        <v>1323</v>
      </c>
      <c r="F28" s="7" t="s">
        <v>53</v>
      </c>
      <c r="G28" s="7" t="s">
        <v>53</v>
      </c>
      <c r="H28" s="7"/>
      <c r="I28" s="7" t="s">
        <v>9</v>
      </c>
      <c r="J28" s="11" t="s">
        <v>9</v>
      </c>
      <c r="K28" s="11" t="s">
        <v>9</v>
      </c>
      <c r="L28" s="7" t="s">
        <v>9</v>
      </c>
      <c r="M28" s="11" t="s">
        <v>9</v>
      </c>
      <c r="N28" s="11" t="s">
        <v>9</v>
      </c>
      <c r="O28" s="11" t="s">
        <v>9</v>
      </c>
      <c r="P28" s="7" t="s">
        <v>9</v>
      </c>
      <c r="Q28" s="8" t="s">
        <v>9</v>
      </c>
      <c r="R28" s="7" t="s">
        <v>9</v>
      </c>
      <c r="S28" s="7" t="s">
        <v>9</v>
      </c>
      <c r="T28" s="12" t="s">
        <v>9</v>
      </c>
      <c r="U28" s="7"/>
      <c r="V28" s="7" t="s">
        <v>116</v>
      </c>
    </row>
    <row r="29" spans="1:22" x14ac:dyDescent="0.25">
      <c r="A29" s="19" t="str">
        <f t="shared" si="0"/>
        <v>FALTA</v>
      </c>
      <c r="B29" s="20" t="s">
        <v>347</v>
      </c>
      <c r="C29" s="17" t="s">
        <v>4</v>
      </c>
      <c r="D29" s="18"/>
      <c r="E29" s="18"/>
      <c r="F29" s="7" t="s">
        <v>8</v>
      </c>
      <c r="G29" s="7" t="s">
        <v>8</v>
      </c>
      <c r="H29" s="7"/>
      <c r="I29" s="7" t="s">
        <v>9</v>
      </c>
      <c r="J29" s="11" t="s">
        <v>9</v>
      </c>
      <c r="K29" s="11" t="s">
        <v>9</v>
      </c>
      <c r="L29" s="7" t="s">
        <v>9</v>
      </c>
      <c r="M29" s="11" t="s">
        <v>9</v>
      </c>
      <c r="N29" s="11" t="s">
        <v>9</v>
      </c>
      <c r="O29" s="11" t="s">
        <v>9</v>
      </c>
      <c r="P29" s="7" t="s">
        <v>9</v>
      </c>
      <c r="Q29" s="8" t="s">
        <v>9</v>
      </c>
      <c r="R29" s="7" t="s">
        <v>9</v>
      </c>
      <c r="S29" s="7" t="s">
        <v>9</v>
      </c>
      <c r="T29" s="12" t="s">
        <v>9</v>
      </c>
      <c r="U29" s="7"/>
      <c r="V29" s="7" t="s">
        <v>116</v>
      </c>
    </row>
    <row r="30" spans="1:22" x14ac:dyDescent="0.25">
      <c r="A30" s="19" t="str">
        <f t="shared" si="0"/>
        <v>FALTA</v>
      </c>
      <c r="B30" s="20" t="s">
        <v>349</v>
      </c>
      <c r="C30" s="17" t="s">
        <v>4</v>
      </c>
      <c r="D30" s="18"/>
      <c r="E30" s="18"/>
      <c r="F30" s="7" t="s">
        <v>8</v>
      </c>
      <c r="G30" s="7" t="s">
        <v>8</v>
      </c>
      <c r="H30" s="7"/>
      <c r="I30" s="7" t="s">
        <v>9</v>
      </c>
      <c r="J30" s="11" t="s">
        <v>9</v>
      </c>
      <c r="K30" s="11" t="s">
        <v>9</v>
      </c>
      <c r="L30" s="7" t="s">
        <v>9</v>
      </c>
      <c r="M30" s="11" t="s">
        <v>9</v>
      </c>
      <c r="N30" s="11" t="s">
        <v>9</v>
      </c>
      <c r="O30" s="11" t="s">
        <v>9</v>
      </c>
      <c r="P30" s="7" t="s">
        <v>9</v>
      </c>
      <c r="Q30" s="8" t="s">
        <v>9</v>
      </c>
      <c r="R30" s="7" t="s">
        <v>9</v>
      </c>
      <c r="S30" s="7" t="s">
        <v>9</v>
      </c>
      <c r="T30" s="12" t="s">
        <v>9</v>
      </c>
      <c r="U30" s="7"/>
      <c r="V30" s="7" t="s">
        <v>116</v>
      </c>
    </row>
    <row r="31" spans="1:22" x14ac:dyDescent="0.25">
      <c r="A31" s="19" t="str">
        <f t="shared" si="0"/>
        <v>FALTA</v>
      </c>
      <c r="B31" s="20" t="s">
        <v>351</v>
      </c>
      <c r="C31" s="17" t="s">
        <v>4</v>
      </c>
      <c r="D31" s="18"/>
      <c r="E31" s="18"/>
      <c r="F31" s="7" t="s">
        <v>8</v>
      </c>
      <c r="G31" s="7" t="s">
        <v>8</v>
      </c>
      <c r="H31" s="7"/>
      <c r="I31" s="7" t="s">
        <v>9</v>
      </c>
      <c r="J31" s="11" t="s">
        <v>9</v>
      </c>
      <c r="K31" s="11" t="s">
        <v>9</v>
      </c>
      <c r="L31" s="7" t="s">
        <v>9</v>
      </c>
      <c r="M31" s="11" t="s">
        <v>9</v>
      </c>
      <c r="N31" s="11" t="s">
        <v>9</v>
      </c>
      <c r="O31" s="11" t="s">
        <v>9</v>
      </c>
      <c r="P31" s="7" t="s">
        <v>9</v>
      </c>
      <c r="Q31" s="8" t="s">
        <v>9</v>
      </c>
      <c r="R31" s="7" t="s">
        <v>9</v>
      </c>
      <c r="S31" s="7" t="s">
        <v>9</v>
      </c>
      <c r="T31" s="12" t="s">
        <v>9</v>
      </c>
      <c r="U31" s="7"/>
      <c r="V31" s="7" t="s">
        <v>116</v>
      </c>
    </row>
    <row r="32" spans="1:22" x14ac:dyDescent="0.25">
      <c r="A32" s="19" t="str">
        <f t="shared" si="0"/>
        <v>FALTA</v>
      </c>
      <c r="B32" s="20" t="s">
        <v>353</v>
      </c>
      <c r="C32" s="17" t="s">
        <v>4</v>
      </c>
      <c r="D32" s="18"/>
      <c r="E32" s="18"/>
      <c r="F32" s="7" t="s">
        <v>8</v>
      </c>
      <c r="G32" s="7" t="s">
        <v>8</v>
      </c>
      <c r="H32" s="7"/>
      <c r="I32" s="7" t="s">
        <v>9</v>
      </c>
      <c r="J32" s="11" t="s">
        <v>9</v>
      </c>
      <c r="K32" s="11" t="s">
        <v>9</v>
      </c>
      <c r="L32" s="7" t="s">
        <v>9</v>
      </c>
      <c r="M32" s="11" t="s">
        <v>9</v>
      </c>
      <c r="N32" s="11" t="s">
        <v>9</v>
      </c>
      <c r="O32" s="11" t="s">
        <v>9</v>
      </c>
      <c r="P32" s="7" t="s">
        <v>9</v>
      </c>
      <c r="Q32" s="8" t="s">
        <v>9</v>
      </c>
      <c r="R32" s="7" t="s">
        <v>9</v>
      </c>
      <c r="S32" s="7" t="s">
        <v>9</v>
      </c>
      <c r="T32" s="12" t="s">
        <v>9</v>
      </c>
      <c r="U32" s="7"/>
      <c r="V32" s="7" t="s">
        <v>116</v>
      </c>
    </row>
    <row r="33" spans="1:22" x14ac:dyDescent="0.25">
      <c r="A33" s="19" t="str">
        <f t="shared" si="0"/>
        <v>FALTA</v>
      </c>
      <c r="B33" s="20" t="s">
        <v>354</v>
      </c>
      <c r="C33" s="17" t="s">
        <v>4</v>
      </c>
      <c r="D33" s="18"/>
      <c r="E33" s="18"/>
      <c r="F33" s="7" t="s">
        <v>8</v>
      </c>
      <c r="G33" s="7" t="s">
        <v>8</v>
      </c>
      <c r="H33" s="7"/>
      <c r="I33" s="7" t="s">
        <v>9</v>
      </c>
      <c r="J33" s="11" t="s">
        <v>9</v>
      </c>
      <c r="K33" s="11" t="s">
        <v>9</v>
      </c>
      <c r="L33" s="7" t="s">
        <v>9</v>
      </c>
      <c r="M33" s="11" t="s">
        <v>9</v>
      </c>
      <c r="N33" s="11" t="s">
        <v>9</v>
      </c>
      <c r="O33" s="11" t="s">
        <v>9</v>
      </c>
      <c r="P33" s="7" t="s">
        <v>9</v>
      </c>
      <c r="Q33" s="8" t="s">
        <v>9</v>
      </c>
      <c r="R33" s="7" t="s">
        <v>9</v>
      </c>
      <c r="S33" s="7" t="s">
        <v>9</v>
      </c>
      <c r="T33" s="12" t="s">
        <v>9</v>
      </c>
      <c r="U33" s="7"/>
      <c r="V33" s="7" t="s">
        <v>116</v>
      </c>
    </row>
    <row r="34" spans="1:22" x14ac:dyDescent="0.25">
      <c r="A34" s="19" t="str">
        <f t="shared" si="0"/>
        <v>FALTA</v>
      </c>
      <c r="B34" s="20" t="s">
        <v>356</v>
      </c>
      <c r="C34" s="17" t="s">
        <v>4</v>
      </c>
      <c r="D34" s="18"/>
      <c r="E34" s="18"/>
      <c r="F34" s="7" t="s">
        <v>8</v>
      </c>
      <c r="G34" s="7" t="s">
        <v>8</v>
      </c>
      <c r="H34" s="7"/>
      <c r="I34" s="7" t="s">
        <v>9</v>
      </c>
      <c r="J34" s="11" t="s">
        <v>9</v>
      </c>
      <c r="K34" s="11" t="s">
        <v>9</v>
      </c>
      <c r="L34" s="7" t="s">
        <v>9</v>
      </c>
      <c r="M34" s="11" t="s">
        <v>9</v>
      </c>
      <c r="N34" s="11" t="s">
        <v>9</v>
      </c>
      <c r="O34" s="11" t="s">
        <v>9</v>
      </c>
      <c r="P34" s="7" t="s">
        <v>9</v>
      </c>
      <c r="Q34" s="8" t="s">
        <v>9</v>
      </c>
      <c r="R34" s="7" t="s">
        <v>9</v>
      </c>
      <c r="S34" s="7" t="s">
        <v>9</v>
      </c>
      <c r="T34" s="12" t="s">
        <v>9</v>
      </c>
      <c r="U34" s="7"/>
      <c r="V34" s="7" t="s">
        <v>116</v>
      </c>
    </row>
    <row r="35" spans="1:22" x14ac:dyDescent="0.25">
      <c r="A35" s="19" t="str">
        <f t="shared" si="0"/>
        <v>FALTA</v>
      </c>
      <c r="B35" s="20" t="s">
        <v>358</v>
      </c>
      <c r="C35" s="17" t="s">
        <v>4</v>
      </c>
      <c r="D35" s="18"/>
      <c r="E35" s="18"/>
      <c r="F35" s="7" t="s">
        <v>8</v>
      </c>
      <c r="G35" s="7" t="s">
        <v>8</v>
      </c>
      <c r="H35" s="7"/>
      <c r="I35" s="7" t="s">
        <v>9</v>
      </c>
      <c r="J35" s="11" t="s">
        <v>9</v>
      </c>
      <c r="K35" s="11" t="s">
        <v>9</v>
      </c>
      <c r="L35" s="7" t="s">
        <v>9</v>
      </c>
      <c r="M35" s="11" t="s">
        <v>9</v>
      </c>
      <c r="N35" s="11" t="s">
        <v>9</v>
      </c>
      <c r="O35" s="11" t="s">
        <v>9</v>
      </c>
      <c r="P35" s="7" t="s">
        <v>9</v>
      </c>
      <c r="Q35" s="8" t="s">
        <v>9</v>
      </c>
      <c r="R35" s="7" t="s">
        <v>9</v>
      </c>
      <c r="S35" s="7" t="s">
        <v>9</v>
      </c>
      <c r="T35" s="12" t="s">
        <v>9</v>
      </c>
      <c r="U35" s="7"/>
      <c r="V35" s="7" t="s">
        <v>116</v>
      </c>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 ref="R1:R2"/>
    <mergeCell ref="S1:S2"/>
    <mergeCell ref="T1:T2"/>
    <mergeCell ref="U1:U2"/>
    <mergeCell ref="V1:V2"/>
  </mergeCells>
  <conditionalFormatting sqref="G3:T4 F5:V44">
    <cfRule type="cellIs" dxfId="683" priority="35" operator="equal">
      <formula>"F"</formula>
    </cfRule>
    <cfRule type="cellIs" dxfId="682" priority="36" operator="equal">
      <formula>"OK"</formula>
    </cfRule>
    <cfRule type="cellIs" dxfId="681" priority="37" operator="between">
      <formula>6</formula>
      <formula>18</formula>
    </cfRule>
  </conditionalFormatting>
  <conditionalFormatting sqref="C1:E1 A2:E2 C3:C4 E3:E4 A5:E1048576">
    <cfRule type="expression" dxfId="680" priority="33">
      <formula>$A1="FALTA"</formula>
    </cfRule>
    <cfRule type="expression" dxfId="679" priority="34">
      <formula>$A1="COMPLETO"</formula>
    </cfRule>
  </conditionalFormatting>
  <conditionalFormatting sqref="B3">
    <cfRule type="expression" dxfId="678" priority="19">
      <formula>$A3="FALTA"</formula>
    </cfRule>
    <cfRule type="expression" dxfId="677" priority="20">
      <formula>$A3="COMPLETO"</formula>
    </cfRule>
  </conditionalFormatting>
  <conditionalFormatting sqref="D3:D4">
    <cfRule type="expression" dxfId="676" priority="17">
      <formula>$A3="FALTA"</formula>
    </cfRule>
    <cfRule type="expression" dxfId="675" priority="18">
      <formula>$A3="COMPLETO"</formula>
    </cfRule>
  </conditionalFormatting>
  <conditionalFormatting sqref="F4">
    <cfRule type="cellIs" dxfId="674" priority="14" operator="equal">
      <formula>"F"</formula>
    </cfRule>
    <cfRule type="cellIs" dxfId="673" priority="15" operator="equal">
      <formula>"OK"</formula>
    </cfRule>
    <cfRule type="cellIs" dxfId="672" priority="16" operator="between">
      <formula>6</formula>
      <formula>18</formula>
    </cfRule>
  </conditionalFormatting>
  <conditionalFormatting sqref="A1:B1">
    <cfRule type="expression" dxfId="671" priority="12">
      <formula>$A1="FALTA"</formula>
    </cfRule>
    <cfRule type="expression" dxfId="670" priority="13">
      <formula>$A1="COMPLETO"</formula>
    </cfRule>
  </conditionalFormatting>
  <conditionalFormatting sqref="U3:V3">
    <cfRule type="cellIs" dxfId="669" priority="6" operator="equal">
      <formula>"F"</formula>
    </cfRule>
    <cfRule type="cellIs" dxfId="668" priority="7" operator="equal">
      <formula>"OK"</formula>
    </cfRule>
    <cfRule type="cellIs" dxfId="667" priority="8" operator="between">
      <formula>6</formula>
      <formula>18</formula>
    </cfRule>
  </conditionalFormatting>
  <conditionalFormatting sqref="F3">
    <cfRule type="cellIs" dxfId="666" priority="3" operator="equal">
      <formula>"F"</formula>
    </cfRule>
    <cfRule type="cellIs" dxfId="665" priority="4" operator="equal">
      <formula>"OK"</formula>
    </cfRule>
    <cfRule type="cellIs" dxfId="664" priority="5" operator="between">
      <formula>6</formula>
      <formula>18</formula>
    </cfRule>
  </conditionalFormatting>
  <conditionalFormatting sqref="A3">
    <cfRule type="expression" dxfId="663" priority="1">
      <formula>$A3="FALTA"</formula>
    </cfRule>
    <cfRule type="expression" dxfId="662"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6">
    <tabColor rgb="FF004079"/>
    <outlinePr summaryBelow="0" summaryRight="0"/>
  </sheetPr>
  <dimension ref="A1:V44"/>
  <sheetViews>
    <sheetView zoomScaleNormal="100" workbookViewId="0">
      <pane ySplit="2" topLeftCell="A3" activePane="bottomLeft" state="frozen"/>
      <selection pane="bottomLeft" activeCell="P5" sqref="P5:S35"/>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ZDiego Puerta 5-39</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COMPLETO</v>
      </c>
      <c r="B3" s="385" t="s">
        <v>116</v>
      </c>
      <c r="C3" s="23" t="s">
        <v>314</v>
      </c>
      <c r="D3" s="29" t="s">
        <v>5</v>
      </c>
      <c r="E3" s="10" t="s">
        <v>316</v>
      </c>
      <c r="F3" s="30">
        <f>IF(AND(ISBLANK(U3),ISBLANK(V3)),1-(COUNTIF(G3:V4,"F")/7),1-(COUNTIF(U3:V3,"F")/2))</f>
        <v>1</v>
      </c>
      <c r="G3" s="24"/>
      <c r="H3" s="24"/>
      <c r="I3" s="24"/>
      <c r="J3" s="24"/>
      <c r="K3" s="24"/>
      <c r="L3" s="24" t="s">
        <v>28</v>
      </c>
      <c r="M3" s="11" t="s">
        <v>7</v>
      </c>
      <c r="N3" s="24"/>
      <c r="O3" s="24"/>
      <c r="P3" s="25"/>
      <c r="Q3" s="24" t="s">
        <v>24</v>
      </c>
      <c r="R3" s="11" t="s">
        <v>7</v>
      </c>
      <c r="S3" s="24" t="s">
        <v>12</v>
      </c>
      <c r="T3" s="11" t="s">
        <v>7</v>
      </c>
      <c r="U3" s="381"/>
      <c r="V3" s="381"/>
    </row>
    <row r="4" spans="1:22" x14ac:dyDescent="0.25">
      <c r="A4" s="384"/>
      <c r="B4" s="386"/>
      <c r="C4" s="23" t="s">
        <v>1333</v>
      </c>
      <c r="D4" s="29" t="s">
        <v>6</v>
      </c>
      <c r="E4" s="10"/>
      <c r="F4" s="30">
        <f>COUNTIF(A5:A44,"*COMPLETO*")/COUNTA(A5:A44)</f>
        <v>0.38709677419354838</v>
      </c>
      <c r="G4" s="24"/>
      <c r="H4" s="24" t="s">
        <v>18</v>
      </c>
      <c r="I4" s="11" t="s">
        <v>7</v>
      </c>
      <c r="J4" s="24"/>
      <c r="K4" s="24"/>
      <c r="L4" s="24" t="s">
        <v>23</v>
      </c>
      <c r="M4" s="11" t="s">
        <v>7</v>
      </c>
      <c r="N4" s="24"/>
      <c r="O4" s="24"/>
      <c r="P4" s="11"/>
      <c r="Q4" s="24" t="s">
        <v>26</v>
      </c>
      <c r="R4" s="11" t="s">
        <v>7</v>
      </c>
      <c r="S4" s="24" t="s">
        <v>19</v>
      </c>
      <c r="T4" s="11" t="s">
        <v>7</v>
      </c>
      <c r="U4" s="382"/>
      <c r="V4" s="382"/>
    </row>
    <row r="5" spans="1:22" ht="15" customHeight="1" x14ac:dyDescent="0.25">
      <c r="A5" s="19" t="str">
        <f>IF(COUNTIF(F5:V5,"F")&gt;0,"FALTA","COMPLETO")</f>
        <v>FALTA</v>
      </c>
      <c r="B5" s="20" t="s">
        <v>151</v>
      </c>
      <c r="C5" s="17" t="s">
        <v>1333</v>
      </c>
      <c r="D5" s="18"/>
      <c r="E5" s="18"/>
      <c r="F5" s="7" t="s">
        <v>8</v>
      </c>
      <c r="G5" s="7" t="s">
        <v>8</v>
      </c>
      <c r="H5" s="7"/>
      <c r="I5" s="7" t="s">
        <v>9</v>
      </c>
      <c r="J5" s="11" t="s">
        <v>9</v>
      </c>
      <c r="K5" s="11" t="s">
        <v>9</v>
      </c>
      <c r="L5" s="7" t="s">
        <v>9</v>
      </c>
      <c r="M5" s="11" t="s">
        <v>9</v>
      </c>
      <c r="N5" s="11" t="s">
        <v>9</v>
      </c>
      <c r="O5" s="11" t="s">
        <v>9</v>
      </c>
      <c r="P5" s="7" t="s">
        <v>9</v>
      </c>
      <c r="Q5" s="8" t="s">
        <v>9</v>
      </c>
      <c r="R5" s="7" t="s">
        <v>9</v>
      </c>
      <c r="S5" s="7" t="s">
        <v>9</v>
      </c>
      <c r="T5" s="12" t="s">
        <v>9</v>
      </c>
      <c r="U5" s="7"/>
      <c r="V5" s="7" t="s">
        <v>116</v>
      </c>
    </row>
    <row r="6" spans="1:22" ht="15" customHeight="1" x14ac:dyDescent="0.25">
      <c r="A6" s="19" t="str">
        <f t="shared" ref="A6:A35" si="0">IF(COUNTIF(F6:V6,"F")&gt;0,"FALTA","COMPLETO")</f>
        <v>FALTA</v>
      </c>
      <c r="B6" s="20" t="s">
        <v>155</v>
      </c>
      <c r="C6" s="17" t="s">
        <v>1333</v>
      </c>
      <c r="D6" s="18"/>
      <c r="E6" s="18"/>
      <c r="F6" s="7" t="s">
        <v>8</v>
      </c>
      <c r="G6" s="7" t="s">
        <v>8</v>
      </c>
      <c r="H6" s="7"/>
      <c r="I6" s="7" t="s">
        <v>9</v>
      </c>
      <c r="J6" s="11" t="s">
        <v>9</v>
      </c>
      <c r="K6" s="11" t="s">
        <v>9</v>
      </c>
      <c r="L6" s="7" t="s">
        <v>9</v>
      </c>
      <c r="M6" s="11" t="s">
        <v>9</v>
      </c>
      <c r="N6" s="11" t="s">
        <v>9</v>
      </c>
      <c r="O6" s="11" t="s">
        <v>9</v>
      </c>
      <c r="P6" s="7" t="s">
        <v>9</v>
      </c>
      <c r="Q6" s="8" t="s">
        <v>9</v>
      </c>
      <c r="R6" s="7" t="s">
        <v>9</v>
      </c>
      <c r="S6" s="7" t="s">
        <v>9</v>
      </c>
      <c r="T6" s="12" t="s">
        <v>9</v>
      </c>
      <c r="U6" s="7"/>
      <c r="V6" s="7" t="s">
        <v>116</v>
      </c>
    </row>
    <row r="7" spans="1:22" ht="15" customHeight="1" x14ac:dyDescent="0.25">
      <c r="A7" s="19" t="str">
        <f t="shared" si="0"/>
        <v>FALTA</v>
      </c>
      <c r="B7" s="20" t="s">
        <v>156</v>
      </c>
      <c r="C7" s="17" t="s">
        <v>1333</v>
      </c>
      <c r="D7" s="18"/>
      <c r="E7" s="18"/>
      <c r="F7" s="7" t="s">
        <v>8</v>
      </c>
      <c r="G7" s="7" t="s">
        <v>8</v>
      </c>
      <c r="H7" s="7"/>
      <c r="I7" s="7" t="s">
        <v>7</v>
      </c>
      <c r="J7" s="11" t="s">
        <v>9</v>
      </c>
      <c r="K7" s="11" t="s">
        <v>9</v>
      </c>
      <c r="L7" s="7" t="s">
        <v>9</v>
      </c>
      <c r="M7" s="11" t="s">
        <v>9</v>
      </c>
      <c r="N7" s="11" t="s">
        <v>9</v>
      </c>
      <c r="O7" s="11" t="s">
        <v>9</v>
      </c>
      <c r="P7" s="7" t="s">
        <v>9</v>
      </c>
      <c r="Q7" s="8" t="s">
        <v>9</v>
      </c>
      <c r="R7" s="7" t="s">
        <v>9</v>
      </c>
      <c r="S7" s="7" t="s">
        <v>9</v>
      </c>
      <c r="T7" s="12" t="s">
        <v>9</v>
      </c>
      <c r="U7" s="7"/>
      <c r="V7" s="7" t="s">
        <v>116</v>
      </c>
    </row>
    <row r="8" spans="1:22" x14ac:dyDescent="0.25">
      <c r="A8" s="19" t="str">
        <f t="shared" si="0"/>
        <v>FALTA</v>
      </c>
      <c r="B8" s="20" t="s">
        <v>158</v>
      </c>
      <c r="C8" s="17" t="s">
        <v>1333</v>
      </c>
      <c r="D8" s="18"/>
      <c r="E8" s="18"/>
      <c r="F8" s="7" t="s">
        <v>8</v>
      </c>
      <c r="G8" s="7" t="s">
        <v>8</v>
      </c>
      <c r="H8" s="7"/>
      <c r="I8" s="7" t="s">
        <v>9</v>
      </c>
      <c r="J8" s="11" t="s">
        <v>9</v>
      </c>
      <c r="K8" s="11" t="s">
        <v>9</v>
      </c>
      <c r="L8" s="7" t="s">
        <v>9</v>
      </c>
      <c r="M8" s="11" t="s">
        <v>9</v>
      </c>
      <c r="N8" s="11" t="s">
        <v>9</v>
      </c>
      <c r="O8" s="11" t="s">
        <v>9</v>
      </c>
      <c r="P8" s="7" t="s">
        <v>9</v>
      </c>
      <c r="Q8" s="8" t="s">
        <v>9</v>
      </c>
      <c r="R8" s="7" t="s">
        <v>9</v>
      </c>
      <c r="S8" s="7" t="s">
        <v>9</v>
      </c>
      <c r="T8" s="12" t="s">
        <v>9</v>
      </c>
      <c r="U8" s="7"/>
      <c r="V8" s="7" t="s">
        <v>116</v>
      </c>
    </row>
    <row r="9" spans="1:22" x14ac:dyDescent="0.25">
      <c r="A9" s="19" t="str">
        <f t="shared" si="0"/>
        <v>COMPLETO</v>
      </c>
      <c r="B9" s="20" t="s">
        <v>160</v>
      </c>
      <c r="C9" s="17" t="s">
        <v>1286</v>
      </c>
      <c r="D9" s="18"/>
      <c r="E9" s="18" t="s">
        <v>1285</v>
      </c>
      <c r="F9" s="7" t="s">
        <v>53</v>
      </c>
      <c r="G9" s="7" t="s">
        <v>53</v>
      </c>
      <c r="H9" s="7"/>
      <c r="I9" s="7" t="s">
        <v>9</v>
      </c>
      <c r="J9" s="11" t="s">
        <v>9</v>
      </c>
      <c r="K9" s="11" t="s">
        <v>9</v>
      </c>
      <c r="L9" s="7" t="s">
        <v>9</v>
      </c>
      <c r="M9" s="11" t="s">
        <v>9</v>
      </c>
      <c r="N9" s="11" t="s">
        <v>9</v>
      </c>
      <c r="O9" s="11" t="s">
        <v>9</v>
      </c>
      <c r="P9" s="7" t="s">
        <v>9</v>
      </c>
      <c r="Q9" s="8" t="s">
        <v>9</v>
      </c>
      <c r="R9" s="7" t="s">
        <v>9</v>
      </c>
      <c r="S9" s="7" t="s">
        <v>9</v>
      </c>
      <c r="T9" s="12" t="s">
        <v>9</v>
      </c>
      <c r="U9" s="7"/>
      <c r="V9" s="7" t="s">
        <v>116</v>
      </c>
    </row>
    <row r="10" spans="1:22" x14ac:dyDescent="0.25">
      <c r="A10" s="19" t="str">
        <f t="shared" si="0"/>
        <v>FALTA</v>
      </c>
      <c r="B10" s="20" t="s">
        <v>162</v>
      </c>
      <c r="C10" s="17" t="s">
        <v>1333</v>
      </c>
      <c r="D10" s="18"/>
      <c r="E10" s="18"/>
      <c r="F10" s="7" t="s">
        <v>8</v>
      </c>
      <c r="G10" s="7" t="s">
        <v>8</v>
      </c>
      <c r="H10" s="7"/>
      <c r="I10" s="7" t="s">
        <v>9</v>
      </c>
      <c r="J10" s="11" t="s">
        <v>9</v>
      </c>
      <c r="K10" s="11" t="s">
        <v>9</v>
      </c>
      <c r="L10" s="7" t="s">
        <v>9</v>
      </c>
      <c r="M10" s="11" t="s">
        <v>9</v>
      </c>
      <c r="N10" s="11" t="s">
        <v>9</v>
      </c>
      <c r="O10" s="11" t="s">
        <v>9</v>
      </c>
      <c r="P10" s="7" t="s">
        <v>9</v>
      </c>
      <c r="Q10" s="8" t="s">
        <v>9</v>
      </c>
      <c r="R10" s="7" t="s">
        <v>9</v>
      </c>
      <c r="S10" s="7" t="s">
        <v>9</v>
      </c>
      <c r="T10" s="12" t="s">
        <v>9</v>
      </c>
      <c r="U10" s="7"/>
      <c r="V10" s="7" t="s">
        <v>116</v>
      </c>
    </row>
    <row r="11" spans="1:22" x14ac:dyDescent="0.25">
      <c r="A11" s="19" t="str">
        <f t="shared" si="0"/>
        <v>FALTA</v>
      </c>
      <c r="B11" s="20" t="s">
        <v>164</v>
      </c>
      <c r="C11" s="17" t="s">
        <v>1333</v>
      </c>
      <c r="D11" s="18"/>
      <c r="E11" s="18"/>
      <c r="F11" s="7" t="s">
        <v>8</v>
      </c>
      <c r="G11" s="7" t="s">
        <v>8</v>
      </c>
      <c r="H11" s="7"/>
      <c r="I11" s="7" t="s">
        <v>9</v>
      </c>
      <c r="J11" s="11" t="s">
        <v>9</v>
      </c>
      <c r="K11" s="11" t="s">
        <v>9</v>
      </c>
      <c r="L11" s="7" t="s">
        <v>9</v>
      </c>
      <c r="M11" s="11" t="s">
        <v>9</v>
      </c>
      <c r="N11" s="11" t="s">
        <v>9</v>
      </c>
      <c r="O11" s="11" t="s">
        <v>9</v>
      </c>
      <c r="P11" s="7" t="s">
        <v>9</v>
      </c>
      <c r="Q11" s="8" t="s">
        <v>9</v>
      </c>
      <c r="R11" s="7" t="s">
        <v>9</v>
      </c>
      <c r="S11" s="7" t="s">
        <v>9</v>
      </c>
      <c r="T11" s="12" t="s">
        <v>9</v>
      </c>
      <c r="U11" s="7"/>
      <c r="V11" s="7" t="s">
        <v>116</v>
      </c>
    </row>
    <row r="12" spans="1:22" x14ac:dyDescent="0.25">
      <c r="A12" s="19" t="str">
        <f t="shared" si="0"/>
        <v>FALTA</v>
      </c>
      <c r="B12" s="20" t="s">
        <v>166</v>
      </c>
      <c r="C12" s="17" t="s">
        <v>1333</v>
      </c>
      <c r="D12" s="18"/>
      <c r="E12" s="18"/>
      <c r="F12" s="7" t="s">
        <v>8</v>
      </c>
      <c r="G12" s="7" t="s">
        <v>8</v>
      </c>
      <c r="H12" s="7"/>
      <c r="I12" s="7" t="s">
        <v>9</v>
      </c>
      <c r="J12" s="11" t="s">
        <v>9</v>
      </c>
      <c r="K12" s="11" t="s">
        <v>9</v>
      </c>
      <c r="L12" s="7" t="s">
        <v>9</v>
      </c>
      <c r="M12" s="11" t="s">
        <v>9</v>
      </c>
      <c r="N12" s="11" t="s">
        <v>9</v>
      </c>
      <c r="O12" s="11" t="s">
        <v>9</v>
      </c>
      <c r="P12" s="7" t="s">
        <v>9</v>
      </c>
      <c r="Q12" s="8" t="s">
        <v>9</v>
      </c>
      <c r="R12" s="7" t="s">
        <v>9</v>
      </c>
      <c r="S12" s="7" t="s">
        <v>9</v>
      </c>
      <c r="T12" s="12" t="s">
        <v>9</v>
      </c>
      <c r="U12" s="7"/>
      <c r="V12" s="7" t="s">
        <v>116</v>
      </c>
    </row>
    <row r="13" spans="1:22" x14ac:dyDescent="0.25">
      <c r="A13" s="19" t="str">
        <f t="shared" si="0"/>
        <v>FALTA</v>
      </c>
      <c r="B13" s="20" t="s">
        <v>168</v>
      </c>
      <c r="C13" s="17" t="s">
        <v>1333</v>
      </c>
      <c r="D13" s="18"/>
      <c r="E13" s="18"/>
      <c r="F13" s="7" t="s">
        <v>8</v>
      </c>
      <c r="G13" s="7" t="s">
        <v>8</v>
      </c>
      <c r="H13" s="7"/>
      <c r="I13" s="7" t="s">
        <v>9</v>
      </c>
      <c r="J13" s="11" t="s">
        <v>9</v>
      </c>
      <c r="K13" s="11" t="s">
        <v>9</v>
      </c>
      <c r="L13" s="7" t="s">
        <v>9</v>
      </c>
      <c r="M13" s="11" t="s">
        <v>9</v>
      </c>
      <c r="N13" s="11" t="s">
        <v>9</v>
      </c>
      <c r="O13" s="11" t="s">
        <v>9</v>
      </c>
      <c r="P13" s="7" t="s">
        <v>9</v>
      </c>
      <c r="Q13" s="8" t="s">
        <v>9</v>
      </c>
      <c r="R13" s="7" t="s">
        <v>9</v>
      </c>
      <c r="S13" s="7" t="s">
        <v>9</v>
      </c>
      <c r="T13" s="12" t="s">
        <v>9</v>
      </c>
      <c r="U13" s="7"/>
      <c r="V13" s="7" t="s">
        <v>116</v>
      </c>
    </row>
    <row r="14" spans="1:22" x14ac:dyDescent="0.25">
      <c r="A14" s="19" t="str">
        <f t="shared" si="0"/>
        <v>FALTA</v>
      </c>
      <c r="B14" s="20" t="s">
        <v>170</v>
      </c>
      <c r="C14" s="17" t="s">
        <v>1333</v>
      </c>
      <c r="D14" s="18"/>
      <c r="E14" s="18"/>
      <c r="F14" s="7" t="s">
        <v>8</v>
      </c>
      <c r="G14" s="7" t="s">
        <v>8</v>
      </c>
      <c r="H14" s="7"/>
      <c r="I14" s="7" t="s">
        <v>9</v>
      </c>
      <c r="J14" s="11" t="s">
        <v>9</v>
      </c>
      <c r="K14" s="11" t="s">
        <v>9</v>
      </c>
      <c r="L14" s="7" t="s">
        <v>9</v>
      </c>
      <c r="M14" s="11" t="s">
        <v>9</v>
      </c>
      <c r="N14" s="11" t="s">
        <v>9</v>
      </c>
      <c r="O14" s="11" t="s">
        <v>9</v>
      </c>
      <c r="P14" s="7" t="s">
        <v>9</v>
      </c>
      <c r="Q14" s="8" t="s">
        <v>9</v>
      </c>
      <c r="R14" s="7" t="s">
        <v>9</v>
      </c>
      <c r="S14" s="7" t="s">
        <v>9</v>
      </c>
      <c r="T14" s="12" t="s">
        <v>9</v>
      </c>
      <c r="U14" s="7"/>
      <c r="V14" s="7" t="s">
        <v>116</v>
      </c>
    </row>
    <row r="15" spans="1:22" x14ac:dyDescent="0.25">
      <c r="A15" s="19" t="str">
        <f t="shared" si="0"/>
        <v>FALTA</v>
      </c>
      <c r="B15" s="20" t="s">
        <v>172</v>
      </c>
      <c r="C15" s="17" t="s">
        <v>1333</v>
      </c>
      <c r="D15" s="18"/>
      <c r="E15" s="18"/>
      <c r="F15" s="7" t="s">
        <v>8</v>
      </c>
      <c r="G15" s="7" t="s">
        <v>8</v>
      </c>
      <c r="H15" s="7"/>
      <c r="I15" s="7" t="s">
        <v>9</v>
      </c>
      <c r="J15" s="11" t="s">
        <v>9</v>
      </c>
      <c r="K15" s="11" t="s">
        <v>9</v>
      </c>
      <c r="L15" s="7" t="s">
        <v>9</v>
      </c>
      <c r="M15" s="11" t="s">
        <v>9</v>
      </c>
      <c r="N15" s="11" t="s">
        <v>9</v>
      </c>
      <c r="O15" s="11" t="s">
        <v>9</v>
      </c>
      <c r="P15" s="7" t="s">
        <v>9</v>
      </c>
      <c r="Q15" s="8" t="s">
        <v>9</v>
      </c>
      <c r="R15" s="7" t="s">
        <v>9</v>
      </c>
      <c r="S15" s="7" t="s">
        <v>9</v>
      </c>
      <c r="T15" s="12" t="s">
        <v>9</v>
      </c>
      <c r="U15" s="7"/>
      <c r="V15" s="7" t="s">
        <v>116</v>
      </c>
    </row>
    <row r="16" spans="1:22" x14ac:dyDescent="0.25">
      <c r="A16" s="19" t="str">
        <f t="shared" si="0"/>
        <v>COMPLETO</v>
      </c>
      <c r="B16" s="20" t="s">
        <v>174</v>
      </c>
      <c r="C16" s="17" t="s">
        <v>1735</v>
      </c>
      <c r="D16" s="18"/>
      <c r="E16" s="18" t="s">
        <v>1734</v>
      </c>
      <c r="F16" s="7" t="s">
        <v>53</v>
      </c>
      <c r="G16" s="7" t="s">
        <v>53</v>
      </c>
      <c r="H16" s="7"/>
      <c r="I16" s="7" t="s">
        <v>53</v>
      </c>
      <c r="J16" s="11" t="s">
        <v>9</v>
      </c>
      <c r="K16" s="11" t="s">
        <v>9</v>
      </c>
      <c r="L16" s="7" t="s">
        <v>9</v>
      </c>
      <c r="M16" s="11" t="s">
        <v>9</v>
      </c>
      <c r="N16" s="11" t="s">
        <v>9</v>
      </c>
      <c r="O16" s="11" t="s">
        <v>9</v>
      </c>
      <c r="P16" s="7" t="s">
        <v>9</v>
      </c>
      <c r="Q16" s="8" t="s">
        <v>9</v>
      </c>
      <c r="R16" s="7" t="s">
        <v>9</v>
      </c>
      <c r="S16" s="7" t="s">
        <v>9</v>
      </c>
      <c r="T16" s="12" t="s">
        <v>9</v>
      </c>
      <c r="U16" s="7"/>
      <c r="V16" s="7" t="s">
        <v>116</v>
      </c>
    </row>
    <row r="17" spans="1:22" x14ac:dyDescent="0.25">
      <c r="A17" s="19" t="str">
        <f t="shared" si="0"/>
        <v>COMPLETO</v>
      </c>
      <c r="B17" s="20" t="s">
        <v>175</v>
      </c>
      <c r="C17" s="17" t="s">
        <v>1741</v>
      </c>
      <c r="D17" s="18"/>
      <c r="E17" s="18" t="s">
        <v>1740</v>
      </c>
      <c r="F17" s="7" t="s">
        <v>53</v>
      </c>
      <c r="G17" s="7" t="s">
        <v>53</v>
      </c>
      <c r="H17" s="7"/>
      <c r="I17" s="7" t="s">
        <v>53</v>
      </c>
      <c r="J17" s="11" t="s">
        <v>9</v>
      </c>
      <c r="K17" s="11" t="s">
        <v>9</v>
      </c>
      <c r="L17" s="7" t="s">
        <v>9</v>
      </c>
      <c r="M17" s="11" t="s">
        <v>9</v>
      </c>
      <c r="N17" s="11" t="s">
        <v>9</v>
      </c>
      <c r="O17" s="11" t="s">
        <v>9</v>
      </c>
      <c r="P17" s="7" t="s">
        <v>9</v>
      </c>
      <c r="Q17" s="8" t="s">
        <v>9</v>
      </c>
      <c r="R17" s="7" t="s">
        <v>9</v>
      </c>
      <c r="S17" s="7" t="s">
        <v>9</v>
      </c>
      <c r="T17" s="12" t="s">
        <v>9</v>
      </c>
      <c r="U17" s="7"/>
      <c r="V17" s="7" t="s">
        <v>116</v>
      </c>
    </row>
    <row r="18" spans="1:22" x14ac:dyDescent="0.25">
      <c r="A18" s="19" t="str">
        <f t="shared" si="0"/>
        <v>COMPLETO</v>
      </c>
      <c r="B18" s="20" t="s">
        <v>177</v>
      </c>
      <c r="C18" s="17" t="s">
        <v>2588</v>
      </c>
      <c r="D18" s="18"/>
      <c r="E18" s="18" t="s">
        <v>2587</v>
      </c>
      <c r="F18" s="7" t="s">
        <v>53</v>
      </c>
      <c r="G18" s="7" t="s">
        <v>53</v>
      </c>
      <c r="H18" s="7"/>
      <c r="I18" s="7" t="s">
        <v>9</v>
      </c>
      <c r="J18" s="11" t="s">
        <v>9</v>
      </c>
      <c r="K18" s="11" t="s">
        <v>9</v>
      </c>
      <c r="L18" s="7" t="s">
        <v>9</v>
      </c>
      <c r="M18" s="11" t="s">
        <v>9</v>
      </c>
      <c r="N18" s="11" t="s">
        <v>9</v>
      </c>
      <c r="O18" s="11" t="s">
        <v>9</v>
      </c>
      <c r="P18" s="7" t="s">
        <v>9</v>
      </c>
      <c r="Q18" s="8" t="s">
        <v>9</v>
      </c>
      <c r="R18" s="7" t="s">
        <v>9</v>
      </c>
      <c r="S18" s="7" t="s">
        <v>9</v>
      </c>
      <c r="T18" s="12" t="s">
        <v>9</v>
      </c>
      <c r="U18" s="7"/>
      <c r="V18" s="7" t="s">
        <v>116</v>
      </c>
    </row>
    <row r="19" spans="1:22" x14ac:dyDescent="0.25">
      <c r="A19" s="19" t="str">
        <f t="shared" si="0"/>
        <v>FALTA</v>
      </c>
      <c r="B19" s="20" t="s">
        <v>179</v>
      </c>
      <c r="C19" s="17" t="s">
        <v>1333</v>
      </c>
      <c r="D19" s="18"/>
      <c r="E19" s="18"/>
      <c r="F19" s="7" t="s">
        <v>8</v>
      </c>
      <c r="G19" s="7" t="s">
        <v>8</v>
      </c>
      <c r="H19" s="7"/>
      <c r="I19" s="7" t="s">
        <v>9</v>
      </c>
      <c r="J19" s="11" t="s">
        <v>9</v>
      </c>
      <c r="K19" s="11" t="s">
        <v>9</v>
      </c>
      <c r="L19" s="7" t="s">
        <v>9</v>
      </c>
      <c r="M19" s="11" t="s">
        <v>9</v>
      </c>
      <c r="N19" s="11" t="s">
        <v>9</v>
      </c>
      <c r="O19" s="11" t="s">
        <v>9</v>
      </c>
      <c r="P19" s="7" t="s">
        <v>9</v>
      </c>
      <c r="Q19" s="8" t="s">
        <v>9</v>
      </c>
      <c r="R19" s="7" t="s">
        <v>9</v>
      </c>
      <c r="S19" s="7" t="s">
        <v>9</v>
      </c>
      <c r="T19" s="12" t="s">
        <v>9</v>
      </c>
      <c r="U19" s="7"/>
      <c r="V19" s="7" t="s">
        <v>116</v>
      </c>
    </row>
    <row r="20" spans="1:22" x14ac:dyDescent="0.25">
      <c r="A20" s="19" t="str">
        <f t="shared" si="0"/>
        <v>FALTA</v>
      </c>
      <c r="B20" s="20" t="s">
        <v>181</v>
      </c>
      <c r="C20" s="17" t="s">
        <v>1333</v>
      </c>
      <c r="D20" s="18"/>
      <c r="E20" s="18"/>
      <c r="F20" s="7" t="s">
        <v>8</v>
      </c>
      <c r="G20" s="7" t="s">
        <v>8</v>
      </c>
      <c r="H20" s="7"/>
      <c r="I20" s="7" t="s">
        <v>9</v>
      </c>
      <c r="J20" s="11" t="s">
        <v>9</v>
      </c>
      <c r="K20" s="11" t="s">
        <v>9</v>
      </c>
      <c r="L20" s="7" t="s">
        <v>9</v>
      </c>
      <c r="M20" s="11" t="s">
        <v>9</v>
      </c>
      <c r="N20" s="11" t="s">
        <v>9</v>
      </c>
      <c r="O20" s="11" t="s">
        <v>9</v>
      </c>
      <c r="P20" s="7" t="s">
        <v>9</v>
      </c>
      <c r="Q20" s="8" t="s">
        <v>9</v>
      </c>
      <c r="R20" s="7" t="s">
        <v>9</v>
      </c>
      <c r="S20" s="7" t="s">
        <v>9</v>
      </c>
      <c r="T20" s="12" t="s">
        <v>9</v>
      </c>
      <c r="U20" s="7"/>
      <c r="V20" s="7" t="s">
        <v>116</v>
      </c>
    </row>
    <row r="21" spans="1:22" x14ac:dyDescent="0.25">
      <c r="A21" s="19" t="str">
        <f t="shared" si="0"/>
        <v>FALTA</v>
      </c>
      <c r="B21" s="20" t="s">
        <v>183</v>
      </c>
      <c r="C21" s="17" t="s">
        <v>1333</v>
      </c>
      <c r="D21" s="18"/>
      <c r="E21" s="18"/>
      <c r="F21" s="7" t="s">
        <v>8</v>
      </c>
      <c r="G21" s="7" t="s">
        <v>8</v>
      </c>
      <c r="H21" s="7"/>
      <c r="I21" s="7" t="s">
        <v>9</v>
      </c>
      <c r="J21" s="11" t="s">
        <v>9</v>
      </c>
      <c r="K21" s="11" t="s">
        <v>9</v>
      </c>
      <c r="L21" s="7" t="s">
        <v>9</v>
      </c>
      <c r="M21" s="11" t="s">
        <v>9</v>
      </c>
      <c r="N21" s="11" t="s">
        <v>9</v>
      </c>
      <c r="O21" s="11" t="s">
        <v>9</v>
      </c>
      <c r="P21" s="7" t="s">
        <v>9</v>
      </c>
      <c r="Q21" s="8" t="s">
        <v>9</v>
      </c>
      <c r="R21" s="7" t="s">
        <v>9</v>
      </c>
      <c r="S21" s="7" t="s">
        <v>9</v>
      </c>
      <c r="T21" s="12" t="s">
        <v>9</v>
      </c>
      <c r="U21" s="7"/>
      <c r="V21" s="7" t="s">
        <v>116</v>
      </c>
    </row>
    <row r="22" spans="1:22" x14ac:dyDescent="0.25">
      <c r="A22" s="19" t="str">
        <f t="shared" si="0"/>
        <v>COMPLETO</v>
      </c>
      <c r="B22" s="20" t="s">
        <v>185</v>
      </c>
      <c r="C22" s="17" t="s">
        <v>1365</v>
      </c>
      <c r="D22" s="18"/>
      <c r="E22" s="18" t="s">
        <v>1364</v>
      </c>
      <c r="F22" s="7" t="s">
        <v>53</v>
      </c>
      <c r="G22" s="7" t="s">
        <v>53</v>
      </c>
      <c r="H22" s="7"/>
      <c r="I22" s="7" t="s">
        <v>9</v>
      </c>
      <c r="J22" s="11" t="s">
        <v>9</v>
      </c>
      <c r="K22" s="11" t="s">
        <v>9</v>
      </c>
      <c r="L22" s="7" t="s">
        <v>9</v>
      </c>
      <c r="M22" s="11" t="s">
        <v>9</v>
      </c>
      <c r="N22" s="11" t="s">
        <v>9</v>
      </c>
      <c r="O22" s="11" t="s">
        <v>9</v>
      </c>
      <c r="P22" s="7" t="s">
        <v>9</v>
      </c>
      <c r="Q22" s="8" t="s">
        <v>9</v>
      </c>
      <c r="R22" s="7" t="s">
        <v>9</v>
      </c>
      <c r="S22" s="7" t="s">
        <v>9</v>
      </c>
      <c r="T22" s="12" t="s">
        <v>9</v>
      </c>
      <c r="U22" s="7"/>
      <c r="V22" s="7" t="s">
        <v>116</v>
      </c>
    </row>
    <row r="23" spans="1:22" x14ac:dyDescent="0.25">
      <c r="A23" s="19" t="str">
        <f t="shared" si="0"/>
        <v>FALTA</v>
      </c>
      <c r="B23" s="20" t="s">
        <v>187</v>
      </c>
      <c r="C23" s="17" t="s">
        <v>1333</v>
      </c>
      <c r="D23" s="18"/>
      <c r="E23" s="18"/>
      <c r="F23" s="7" t="s">
        <v>8</v>
      </c>
      <c r="G23" s="7" t="s">
        <v>8</v>
      </c>
      <c r="H23" s="7"/>
      <c r="I23" s="7" t="s">
        <v>9</v>
      </c>
      <c r="J23" s="11" t="s">
        <v>9</v>
      </c>
      <c r="K23" s="11" t="s">
        <v>9</v>
      </c>
      <c r="L23" s="7" t="s">
        <v>9</v>
      </c>
      <c r="M23" s="11" t="s">
        <v>9</v>
      </c>
      <c r="N23" s="11" t="s">
        <v>9</v>
      </c>
      <c r="O23" s="11" t="s">
        <v>9</v>
      </c>
      <c r="P23" s="7" t="s">
        <v>9</v>
      </c>
      <c r="Q23" s="8" t="s">
        <v>9</v>
      </c>
      <c r="R23" s="7" t="s">
        <v>9</v>
      </c>
      <c r="S23" s="7" t="s">
        <v>9</v>
      </c>
      <c r="T23" s="12" t="s">
        <v>9</v>
      </c>
      <c r="U23" s="7"/>
      <c r="V23" s="7" t="s">
        <v>116</v>
      </c>
    </row>
    <row r="24" spans="1:22" x14ac:dyDescent="0.25">
      <c r="A24" s="19" t="str">
        <f t="shared" si="0"/>
        <v>COMPLETO</v>
      </c>
      <c r="B24" s="20" t="s">
        <v>337</v>
      </c>
      <c r="C24" s="17" t="s">
        <v>1333</v>
      </c>
      <c r="D24" s="18"/>
      <c r="E24" s="18" t="s">
        <v>1751</v>
      </c>
      <c r="F24" s="7" t="s">
        <v>53</v>
      </c>
      <c r="G24" s="7" t="s">
        <v>53</v>
      </c>
      <c r="H24" s="7"/>
      <c r="I24" s="7" t="s">
        <v>9</v>
      </c>
      <c r="J24" s="11" t="s">
        <v>9</v>
      </c>
      <c r="K24" s="11" t="s">
        <v>9</v>
      </c>
      <c r="L24" s="7" t="s">
        <v>9</v>
      </c>
      <c r="M24" s="11" t="s">
        <v>9</v>
      </c>
      <c r="N24" s="11" t="s">
        <v>9</v>
      </c>
      <c r="O24" s="11" t="s">
        <v>9</v>
      </c>
      <c r="P24" s="7" t="s">
        <v>9</v>
      </c>
      <c r="Q24" s="8" t="s">
        <v>9</v>
      </c>
      <c r="R24" s="7" t="s">
        <v>9</v>
      </c>
      <c r="S24" s="7" t="s">
        <v>9</v>
      </c>
      <c r="T24" s="12" t="s">
        <v>9</v>
      </c>
      <c r="U24" s="7"/>
      <c r="V24" s="7" t="s">
        <v>116</v>
      </c>
    </row>
    <row r="25" spans="1:22" x14ac:dyDescent="0.25">
      <c r="A25" s="19" t="str">
        <f t="shared" si="0"/>
        <v>COMPLETO</v>
      </c>
      <c r="B25" s="20" t="s">
        <v>339</v>
      </c>
      <c r="C25" s="17" t="s">
        <v>1333</v>
      </c>
      <c r="D25" s="18"/>
      <c r="E25" s="18" t="s">
        <v>1341</v>
      </c>
      <c r="F25" s="7" t="s">
        <v>53</v>
      </c>
      <c r="G25" s="7" t="s">
        <v>53</v>
      </c>
      <c r="H25" s="7"/>
      <c r="I25" s="7" t="s">
        <v>53</v>
      </c>
      <c r="J25" s="11" t="s">
        <v>9</v>
      </c>
      <c r="K25" s="11" t="s">
        <v>9</v>
      </c>
      <c r="L25" s="7" t="s">
        <v>9</v>
      </c>
      <c r="M25" s="11" t="s">
        <v>9</v>
      </c>
      <c r="N25" s="11" t="s">
        <v>9</v>
      </c>
      <c r="O25" s="11" t="s">
        <v>9</v>
      </c>
      <c r="P25" s="7" t="s">
        <v>9</v>
      </c>
      <c r="Q25" s="8" t="s">
        <v>9</v>
      </c>
      <c r="R25" s="7" t="s">
        <v>9</v>
      </c>
      <c r="S25" s="7" t="s">
        <v>9</v>
      </c>
      <c r="T25" s="12" t="s">
        <v>9</v>
      </c>
      <c r="U25" s="7"/>
      <c r="V25" s="7" t="s">
        <v>116</v>
      </c>
    </row>
    <row r="26" spans="1:22" x14ac:dyDescent="0.25">
      <c r="A26" s="19" t="str">
        <f t="shared" si="0"/>
        <v>COMPLETO</v>
      </c>
      <c r="B26" s="20" t="s">
        <v>341</v>
      </c>
      <c r="C26" s="17" t="s">
        <v>1333</v>
      </c>
      <c r="D26" s="18"/>
      <c r="E26" s="18" t="s">
        <v>1337</v>
      </c>
      <c r="F26" s="7" t="s">
        <v>53</v>
      </c>
      <c r="G26" s="7" t="s">
        <v>53</v>
      </c>
      <c r="H26" s="7"/>
      <c r="I26" s="7" t="s">
        <v>53</v>
      </c>
      <c r="J26" s="11" t="s">
        <v>9</v>
      </c>
      <c r="K26" s="11" t="s">
        <v>9</v>
      </c>
      <c r="L26" s="7" t="s">
        <v>9</v>
      </c>
      <c r="M26" s="11" t="s">
        <v>9</v>
      </c>
      <c r="N26" s="11" t="s">
        <v>9</v>
      </c>
      <c r="O26" s="11" t="s">
        <v>9</v>
      </c>
      <c r="P26" s="7" t="s">
        <v>9</v>
      </c>
      <c r="Q26" s="8" t="s">
        <v>9</v>
      </c>
      <c r="R26" s="7" t="s">
        <v>9</v>
      </c>
      <c r="S26" s="7" t="s">
        <v>9</v>
      </c>
      <c r="T26" s="12" t="s">
        <v>9</v>
      </c>
      <c r="U26" s="7"/>
      <c r="V26" s="7" t="s">
        <v>116</v>
      </c>
    </row>
    <row r="27" spans="1:22" x14ac:dyDescent="0.25">
      <c r="A27" s="19" t="str">
        <f t="shared" si="0"/>
        <v>COMPLETO</v>
      </c>
      <c r="B27" s="20" t="s">
        <v>343</v>
      </c>
      <c r="C27" s="17" t="s">
        <v>1335</v>
      </c>
      <c r="D27" s="18"/>
      <c r="E27" s="18" t="s">
        <v>1334</v>
      </c>
      <c r="F27" s="7" t="s">
        <v>53</v>
      </c>
      <c r="G27" s="7" t="s">
        <v>53</v>
      </c>
      <c r="H27" s="7"/>
      <c r="I27" s="7" t="s">
        <v>9</v>
      </c>
      <c r="J27" s="11" t="s">
        <v>9</v>
      </c>
      <c r="K27" s="11" t="s">
        <v>9</v>
      </c>
      <c r="L27" s="7" t="s">
        <v>9</v>
      </c>
      <c r="M27" s="11" t="s">
        <v>9</v>
      </c>
      <c r="N27" s="11" t="s">
        <v>9</v>
      </c>
      <c r="O27" s="11" t="s">
        <v>9</v>
      </c>
      <c r="P27" s="7" t="s">
        <v>9</v>
      </c>
      <c r="Q27" s="8" t="s">
        <v>9</v>
      </c>
      <c r="R27" s="7" t="s">
        <v>9</v>
      </c>
      <c r="S27" s="7" t="s">
        <v>9</v>
      </c>
      <c r="T27" s="12" t="s">
        <v>9</v>
      </c>
      <c r="U27" s="7"/>
      <c r="V27" s="7" t="s">
        <v>116</v>
      </c>
    </row>
    <row r="28" spans="1:22" x14ac:dyDescent="0.25">
      <c r="A28" s="19" t="str">
        <f t="shared" si="0"/>
        <v>FALTA</v>
      </c>
      <c r="B28" s="20" t="s">
        <v>345</v>
      </c>
      <c r="C28" s="17" t="s">
        <v>1333</v>
      </c>
      <c r="D28" s="18"/>
      <c r="E28" s="18"/>
      <c r="F28" s="7" t="s">
        <v>8</v>
      </c>
      <c r="G28" s="7" t="s">
        <v>8</v>
      </c>
      <c r="H28" s="7"/>
      <c r="I28" s="7" t="s">
        <v>9</v>
      </c>
      <c r="J28" s="11" t="s">
        <v>9</v>
      </c>
      <c r="K28" s="11" t="s">
        <v>9</v>
      </c>
      <c r="L28" s="7" t="s">
        <v>9</v>
      </c>
      <c r="M28" s="11" t="s">
        <v>9</v>
      </c>
      <c r="N28" s="11" t="s">
        <v>9</v>
      </c>
      <c r="O28" s="11" t="s">
        <v>9</v>
      </c>
      <c r="P28" s="7" t="s">
        <v>9</v>
      </c>
      <c r="Q28" s="8" t="s">
        <v>9</v>
      </c>
      <c r="R28" s="7" t="s">
        <v>9</v>
      </c>
      <c r="S28" s="7" t="s">
        <v>9</v>
      </c>
      <c r="T28" s="12" t="s">
        <v>9</v>
      </c>
      <c r="U28" s="7"/>
      <c r="V28" s="7" t="s">
        <v>116</v>
      </c>
    </row>
    <row r="29" spans="1:22" x14ac:dyDescent="0.25">
      <c r="A29" s="19" t="str">
        <f t="shared" si="0"/>
        <v>COMPLETO</v>
      </c>
      <c r="B29" s="20" t="s">
        <v>347</v>
      </c>
      <c r="C29" s="17" t="s">
        <v>1350</v>
      </c>
      <c r="D29" s="18"/>
      <c r="E29" s="18" t="s">
        <v>1349</v>
      </c>
      <c r="F29" s="7" t="s">
        <v>53</v>
      </c>
      <c r="G29" s="7" t="s">
        <v>53</v>
      </c>
      <c r="H29" s="7"/>
      <c r="I29" s="7" t="s">
        <v>53</v>
      </c>
      <c r="J29" s="11" t="s">
        <v>9</v>
      </c>
      <c r="K29" s="11" t="s">
        <v>9</v>
      </c>
      <c r="L29" s="7" t="s">
        <v>9</v>
      </c>
      <c r="M29" s="11" t="s">
        <v>9</v>
      </c>
      <c r="N29" s="11" t="s">
        <v>9</v>
      </c>
      <c r="O29" s="11" t="s">
        <v>9</v>
      </c>
      <c r="P29" s="7" t="s">
        <v>9</v>
      </c>
      <c r="Q29" s="8" t="s">
        <v>9</v>
      </c>
      <c r="R29" s="7" t="s">
        <v>9</v>
      </c>
      <c r="S29" s="7" t="s">
        <v>9</v>
      </c>
      <c r="T29" s="12" t="s">
        <v>9</v>
      </c>
      <c r="U29" s="7"/>
      <c r="V29" s="7" t="s">
        <v>116</v>
      </c>
    </row>
    <row r="30" spans="1:22" x14ac:dyDescent="0.25">
      <c r="A30" s="19" t="str">
        <f t="shared" si="0"/>
        <v>COMPLETO</v>
      </c>
      <c r="B30" s="20" t="s">
        <v>349</v>
      </c>
      <c r="C30" s="17" t="s">
        <v>1312</v>
      </c>
      <c r="D30" s="18"/>
      <c r="E30" s="18" t="s">
        <v>1311</v>
      </c>
      <c r="F30" s="7" t="s">
        <v>53</v>
      </c>
      <c r="G30" s="7" t="s">
        <v>53</v>
      </c>
      <c r="H30" s="7"/>
      <c r="I30" s="7" t="s">
        <v>53</v>
      </c>
      <c r="J30" s="11" t="s">
        <v>9</v>
      </c>
      <c r="K30" s="11" t="s">
        <v>9</v>
      </c>
      <c r="L30" s="7" t="s">
        <v>9</v>
      </c>
      <c r="M30" s="11" t="s">
        <v>9</v>
      </c>
      <c r="N30" s="11" t="s">
        <v>9</v>
      </c>
      <c r="O30" s="11" t="s">
        <v>9</v>
      </c>
      <c r="P30" s="7" t="s">
        <v>9</v>
      </c>
      <c r="Q30" s="8" t="s">
        <v>9</v>
      </c>
      <c r="R30" s="7" t="s">
        <v>9</v>
      </c>
      <c r="S30" s="7" t="s">
        <v>9</v>
      </c>
      <c r="T30" s="12" t="s">
        <v>9</v>
      </c>
      <c r="U30" s="7"/>
      <c r="V30" s="7" t="s">
        <v>116</v>
      </c>
    </row>
    <row r="31" spans="1:22" x14ac:dyDescent="0.25">
      <c r="A31" s="19" t="str">
        <f t="shared" si="0"/>
        <v>COMPLETO</v>
      </c>
      <c r="B31" s="20" t="s">
        <v>351</v>
      </c>
      <c r="C31" s="17" t="s">
        <v>1739</v>
      </c>
      <c r="D31" s="18"/>
      <c r="E31" s="18" t="s">
        <v>1287</v>
      </c>
      <c r="F31" s="7" t="s">
        <v>53</v>
      </c>
      <c r="G31" s="7" t="s">
        <v>53</v>
      </c>
      <c r="H31" s="7"/>
      <c r="I31" s="7" t="s">
        <v>53</v>
      </c>
      <c r="J31" s="11" t="s">
        <v>9</v>
      </c>
      <c r="K31" s="11" t="s">
        <v>9</v>
      </c>
      <c r="L31" s="7" t="s">
        <v>9</v>
      </c>
      <c r="M31" s="11" t="s">
        <v>9</v>
      </c>
      <c r="N31" s="11" t="s">
        <v>9</v>
      </c>
      <c r="O31" s="11" t="s">
        <v>9</v>
      </c>
      <c r="P31" s="7" t="s">
        <v>9</v>
      </c>
      <c r="Q31" s="8" t="s">
        <v>9</v>
      </c>
      <c r="R31" s="7" t="s">
        <v>9</v>
      </c>
      <c r="S31" s="7" t="s">
        <v>9</v>
      </c>
      <c r="T31" s="12" t="s">
        <v>9</v>
      </c>
      <c r="U31" s="7"/>
      <c r="V31" s="7" t="s">
        <v>116</v>
      </c>
    </row>
    <row r="32" spans="1:22" x14ac:dyDescent="0.25">
      <c r="A32" s="19" t="str">
        <f t="shared" si="0"/>
        <v>FALTA</v>
      </c>
      <c r="B32" s="20" t="s">
        <v>353</v>
      </c>
      <c r="C32" s="17" t="s">
        <v>1333</v>
      </c>
      <c r="D32" s="18"/>
      <c r="E32" s="18"/>
      <c r="F32" s="7" t="s">
        <v>8</v>
      </c>
      <c r="G32" s="7" t="s">
        <v>8</v>
      </c>
      <c r="H32" s="7"/>
      <c r="I32" s="7" t="s">
        <v>9</v>
      </c>
      <c r="J32" s="11" t="s">
        <v>9</v>
      </c>
      <c r="K32" s="11" t="s">
        <v>9</v>
      </c>
      <c r="L32" s="7" t="s">
        <v>9</v>
      </c>
      <c r="M32" s="11" t="s">
        <v>9</v>
      </c>
      <c r="N32" s="11" t="s">
        <v>9</v>
      </c>
      <c r="O32" s="11" t="s">
        <v>9</v>
      </c>
      <c r="P32" s="7" t="s">
        <v>9</v>
      </c>
      <c r="Q32" s="8" t="s">
        <v>9</v>
      </c>
      <c r="R32" s="7" t="s">
        <v>9</v>
      </c>
      <c r="S32" s="7" t="s">
        <v>9</v>
      </c>
      <c r="T32" s="12" t="s">
        <v>9</v>
      </c>
      <c r="U32" s="7"/>
      <c r="V32" s="7" t="s">
        <v>116</v>
      </c>
    </row>
    <row r="33" spans="1:22" x14ac:dyDescent="0.25">
      <c r="A33" s="19" t="str">
        <f t="shared" si="0"/>
        <v>FALTA</v>
      </c>
      <c r="B33" s="20" t="s">
        <v>354</v>
      </c>
      <c r="C33" s="17" t="s">
        <v>1333</v>
      </c>
      <c r="D33" s="18"/>
      <c r="E33" s="18"/>
      <c r="F33" s="7" t="s">
        <v>8</v>
      </c>
      <c r="G33" s="7" t="s">
        <v>8</v>
      </c>
      <c r="H33" s="7"/>
      <c r="I33" s="7" t="s">
        <v>9</v>
      </c>
      <c r="J33" s="11" t="s">
        <v>9</v>
      </c>
      <c r="K33" s="11" t="s">
        <v>9</v>
      </c>
      <c r="L33" s="7" t="s">
        <v>9</v>
      </c>
      <c r="M33" s="11" t="s">
        <v>9</v>
      </c>
      <c r="N33" s="11" t="s">
        <v>9</v>
      </c>
      <c r="O33" s="11" t="s">
        <v>9</v>
      </c>
      <c r="P33" s="7" t="s">
        <v>9</v>
      </c>
      <c r="Q33" s="8" t="s">
        <v>9</v>
      </c>
      <c r="R33" s="7" t="s">
        <v>9</v>
      </c>
      <c r="S33" s="7" t="s">
        <v>9</v>
      </c>
      <c r="T33" s="12" t="s">
        <v>9</v>
      </c>
      <c r="U33" s="7"/>
      <c r="V33" s="7" t="s">
        <v>116</v>
      </c>
    </row>
    <row r="34" spans="1:22" x14ac:dyDescent="0.25">
      <c r="A34" s="19" t="str">
        <f t="shared" si="0"/>
        <v>FALTA</v>
      </c>
      <c r="B34" s="20" t="s">
        <v>356</v>
      </c>
      <c r="C34" s="17" t="s">
        <v>1333</v>
      </c>
      <c r="D34" s="18"/>
      <c r="E34" s="18"/>
      <c r="F34" s="7" t="s">
        <v>8</v>
      </c>
      <c r="G34" s="7" t="s">
        <v>8</v>
      </c>
      <c r="H34" s="7"/>
      <c r="I34" s="7" t="s">
        <v>9</v>
      </c>
      <c r="J34" s="11" t="s">
        <v>9</v>
      </c>
      <c r="K34" s="11" t="s">
        <v>9</v>
      </c>
      <c r="L34" s="7" t="s">
        <v>9</v>
      </c>
      <c r="M34" s="11" t="s">
        <v>9</v>
      </c>
      <c r="N34" s="11" t="s">
        <v>9</v>
      </c>
      <c r="O34" s="11" t="s">
        <v>9</v>
      </c>
      <c r="P34" s="7" t="s">
        <v>9</v>
      </c>
      <c r="Q34" s="8" t="s">
        <v>9</v>
      </c>
      <c r="R34" s="7" t="s">
        <v>9</v>
      </c>
      <c r="S34" s="7" t="s">
        <v>9</v>
      </c>
      <c r="T34" s="12" t="s">
        <v>9</v>
      </c>
      <c r="U34" s="7"/>
      <c r="V34" s="7" t="s">
        <v>116</v>
      </c>
    </row>
    <row r="35" spans="1:22" x14ac:dyDescent="0.25">
      <c r="A35" s="19" t="str">
        <f t="shared" si="0"/>
        <v>FALTA</v>
      </c>
      <c r="B35" s="20" t="s">
        <v>358</v>
      </c>
      <c r="C35" s="17" t="s">
        <v>1333</v>
      </c>
      <c r="D35" s="18"/>
      <c r="E35" s="18"/>
      <c r="F35" s="7" t="s">
        <v>8</v>
      </c>
      <c r="G35" s="7" t="s">
        <v>8</v>
      </c>
      <c r="H35" s="7"/>
      <c r="I35" s="7" t="s">
        <v>9</v>
      </c>
      <c r="J35" s="11" t="s">
        <v>9</v>
      </c>
      <c r="K35" s="11" t="s">
        <v>9</v>
      </c>
      <c r="L35" s="7" t="s">
        <v>9</v>
      </c>
      <c r="M35" s="11" t="s">
        <v>9</v>
      </c>
      <c r="N35" s="11" t="s">
        <v>9</v>
      </c>
      <c r="O35" s="11" t="s">
        <v>9</v>
      </c>
      <c r="P35" s="7" t="s">
        <v>9</v>
      </c>
      <c r="Q35" s="8" t="s">
        <v>9</v>
      </c>
      <c r="R35" s="7" t="s">
        <v>9</v>
      </c>
      <c r="S35" s="7" t="s">
        <v>9</v>
      </c>
      <c r="T35" s="12" t="s">
        <v>9</v>
      </c>
      <c r="U35" s="7"/>
      <c r="V35" s="7" t="s">
        <v>116</v>
      </c>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 ref="R1:R2"/>
    <mergeCell ref="S1:S2"/>
    <mergeCell ref="T1:T2"/>
    <mergeCell ref="U1:U2"/>
    <mergeCell ref="V1:V2"/>
  </mergeCells>
  <conditionalFormatting sqref="G3:T4 F5:V44">
    <cfRule type="cellIs" dxfId="661" priority="35" operator="equal">
      <formula>"F"</formula>
    </cfRule>
    <cfRule type="cellIs" dxfId="660" priority="36" operator="equal">
      <formula>"OK"</formula>
    </cfRule>
    <cfRule type="cellIs" dxfId="659" priority="37" operator="between">
      <formula>6</formula>
      <formula>18</formula>
    </cfRule>
  </conditionalFormatting>
  <conditionalFormatting sqref="C1:E1 A2:E2 C3:C4 E3:E4 A5:E1048576">
    <cfRule type="expression" dxfId="658" priority="33">
      <formula>$A1="FALTA"</formula>
    </cfRule>
    <cfRule type="expression" dxfId="657" priority="34">
      <formula>$A1="COMPLETO"</formula>
    </cfRule>
  </conditionalFormatting>
  <conditionalFormatting sqref="B3">
    <cfRule type="expression" dxfId="656" priority="19">
      <formula>$A3="FALTA"</formula>
    </cfRule>
    <cfRule type="expression" dxfId="655" priority="20">
      <formula>$A3="COMPLETO"</formula>
    </cfRule>
  </conditionalFormatting>
  <conditionalFormatting sqref="D3:D4">
    <cfRule type="expression" dxfId="654" priority="17">
      <formula>$A3="FALTA"</formula>
    </cfRule>
    <cfRule type="expression" dxfId="653" priority="18">
      <formula>$A3="COMPLETO"</formula>
    </cfRule>
  </conditionalFormatting>
  <conditionalFormatting sqref="F4">
    <cfRule type="cellIs" dxfId="652" priority="14" operator="equal">
      <formula>"F"</formula>
    </cfRule>
    <cfRule type="cellIs" dxfId="651" priority="15" operator="equal">
      <formula>"OK"</formula>
    </cfRule>
    <cfRule type="cellIs" dxfId="650" priority="16" operator="between">
      <formula>6</formula>
      <formula>18</formula>
    </cfRule>
  </conditionalFormatting>
  <conditionalFormatting sqref="A1:B1">
    <cfRule type="expression" dxfId="649" priority="12">
      <formula>$A1="FALTA"</formula>
    </cfRule>
    <cfRule type="expression" dxfId="648" priority="13">
      <formula>$A1="COMPLETO"</formula>
    </cfRule>
  </conditionalFormatting>
  <conditionalFormatting sqref="U3:V3">
    <cfRule type="cellIs" dxfId="647" priority="6" operator="equal">
      <formula>"F"</formula>
    </cfRule>
    <cfRule type="cellIs" dxfId="646" priority="7" operator="equal">
      <formula>"OK"</formula>
    </cfRule>
    <cfRule type="cellIs" dxfId="645" priority="8" operator="between">
      <formula>6</formula>
      <formula>18</formula>
    </cfRule>
  </conditionalFormatting>
  <conditionalFormatting sqref="F3">
    <cfRule type="cellIs" dxfId="644" priority="3" operator="equal">
      <formula>"F"</formula>
    </cfRule>
    <cfRule type="cellIs" dxfId="643" priority="4" operator="equal">
      <formula>"OK"</formula>
    </cfRule>
    <cfRule type="cellIs" dxfId="642" priority="5" operator="between">
      <formula>6</formula>
      <formula>18</formula>
    </cfRule>
  </conditionalFormatting>
  <conditionalFormatting sqref="A3">
    <cfRule type="expression" dxfId="641" priority="1">
      <formula>$A3="FALTA"</formula>
    </cfRule>
    <cfRule type="expression" dxfId="640"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I4 T3:T4 M3:M4 R3:R4 P4 F5:O4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pageSetUpPr fitToPage="1"/>
  </sheetPr>
  <dimension ref="A1"/>
  <sheetViews>
    <sheetView view="pageBreakPreview" zoomScale="150" zoomScaleNormal="100" zoomScaleSheetLayoutView="150" workbookViewId="0">
      <selection sqref="A1:A1048576"/>
    </sheetView>
  </sheetViews>
  <sheetFormatPr baseColWidth="10" defaultRowHeight="15" x14ac:dyDescent="0.25"/>
  <sheetData/>
  <printOptions horizontalCentered="1" verticalCentered="1"/>
  <pageMargins left="0.70866141732283472" right="0.70866141732283472" top="0.74803149606299213" bottom="0.74803149606299213" header="0.31496062992125984" footer="0.31496062992125984"/>
  <pageSetup paperSize="9" scale="95"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3">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ZDoctor Fedriani 39</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COMPLETO</v>
      </c>
      <c r="B3" s="385" t="s">
        <v>116</v>
      </c>
      <c r="C3" s="23" t="s">
        <v>1458</v>
      </c>
      <c r="D3" s="29" t="s">
        <v>5</v>
      </c>
      <c r="E3" s="10" t="s">
        <v>1457</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1" t="s">
        <v>53</v>
      </c>
      <c r="V3" s="381" t="s">
        <v>53</v>
      </c>
    </row>
    <row r="4" spans="1:22" x14ac:dyDescent="0.25">
      <c r="A4" s="384"/>
      <c r="B4" s="386"/>
      <c r="C4" s="23" t="s">
        <v>1333</v>
      </c>
      <c r="D4" s="29" t="s">
        <v>6</v>
      </c>
      <c r="E4" s="10"/>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2"/>
      <c r="V4" s="382"/>
    </row>
    <row r="5" spans="1:22" ht="15" customHeight="1" x14ac:dyDescent="0.25">
      <c r="A5" s="19" t="str">
        <f>IF(COUNTIF(F5:V5,"F")&gt;0,"FALTA","COMPLETO")</f>
        <v>COMPLETO</v>
      </c>
      <c r="B5" s="20" t="s">
        <v>151</v>
      </c>
      <c r="C5" s="17" t="s">
        <v>1437</v>
      </c>
      <c r="D5" s="18" t="s">
        <v>462</v>
      </c>
      <c r="E5" s="18"/>
      <c r="F5" s="7" t="s">
        <v>53</v>
      </c>
      <c r="G5" s="7" t="s">
        <v>53</v>
      </c>
      <c r="H5" s="7" t="s">
        <v>53</v>
      </c>
      <c r="I5" s="7" t="s">
        <v>9</v>
      </c>
      <c r="J5" s="11" t="s">
        <v>53</v>
      </c>
      <c r="K5" s="11" t="s">
        <v>53</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 t="shared" ref="A6:A24" si="0">IF(COUNTIF(F6:V6,"F")&gt;0,"FALTA","COMPLETO")</f>
        <v>COMPLETO</v>
      </c>
      <c r="B6" s="20" t="s">
        <v>153</v>
      </c>
      <c r="C6" s="17" t="s">
        <v>1438</v>
      </c>
      <c r="D6" s="18" t="s">
        <v>1459</v>
      </c>
      <c r="E6" s="18"/>
      <c r="F6" s="7" t="s">
        <v>53</v>
      </c>
      <c r="G6" s="7" t="s">
        <v>53</v>
      </c>
      <c r="H6" s="7" t="s">
        <v>53</v>
      </c>
      <c r="I6" s="7" t="s">
        <v>9</v>
      </c>
      <c r="J6" s="11" t="s">
        <v>9</v>
      </c>
      <c r="K6" s="11" t="s">
        <v>9</v>
      </c>
      <c r="L6" s="7" t="s">
        <v>9</v>
      </c>
      <c r="M6" s="11" t="s">
        <v>9</v>
      </c>
      <c r="N6" s="11" t="s">
        <v>9</v>
      </c>
      <c r="O6" s="11" t="s">
        <v>9</v>
      </c>
      <c r="P6" s="7">
        <v>18</v>
      </c>
      <c r="Q6" s="8" t="s">
        <v>7</v>
      </c>
      <c r="R6" s="7" t="s">
        <v>53</v>
      </c>
      <c r="S6" s="7" t="s">
        <v>53</v>
      </c>
      <c r="T6" s="12" t="s">
        <v>9</v>
      </c>
      <c r="U6" s="7" t="s">
        <v>53</v>
      </c>
      <c r="V6" s="7" t="s">
        <v>53</v>
      </c>
    </row>
    <row r="7" spans="1:22" ht="15" customHeight="1" x14ac:dyDescent="0.25">
      <c r="A7" s="19" t="str">
        <f t="shared" si="0"/>
        <v>COMPLETO</v>
      </c>
      <c r="B7" s="20" t="s">
        <v>155</v>
      </c>
      <c r="C7" s="17" t="s">
        <v>1439</v>
      </c>
      <c r="D7" s="18" t="s">
        <v>1460</v>
      </c>
      <c r="E7" s="18"/>
      <c r="F7" s="7" t="s">
        <v>53</v>
      </c>
      <c r="G7" s="7" t="s">
        <v>53</v>
      </c>
      <c r="H7" s="7" t="s">
        <v>53</v>
      </c>
      <c r="I7" s="7" t="s">
        <v>9</v>
      </c>
      <c r="J7" s="11" t="s">
        <v>53</v>
      </c>
      <c r="K7" s="11" t="s">
        <v>53</v>
      </c>
      <c r="L7" s="7" t="s">
        <v>9</v>
      </c>
      <c r="M7" s="11" t="s">
        <v>9</v>
      </c>
      <c r="N7" s="11" t="s">
        <v>9</v>
      </c>
      <c r="O7" s="11" t="s">
        <v>9</v>
      </c>
      <c r="P7" s="7">
        <v>12</v>
      </c>
      <c r="Q7" s="8" t="s">
        <v>7</v>
      </c>
      <c r="R7" s="7" t="s">
        <v>53</v>
      </c>
      <c r="S7" s="7" t="s">
        <v>53</v>
      </c>
      <c r="T7" s="12" t="s">
        <v>9</v>
      </c>
      <c r="U7" s="7" t="s">
        <v>53</v>
      </c>
      <c r="V7" s="7" t="s">
        <v>53</v>
      </c>
    </row>
    <row r="8" spans="1:22" x14ac:dyDescent="0.25">
      <c r="A8" s="19" t="str">
        <f t="shared" si="0"/>
        <v>COMPLETO</v>
      </c>
      <c r="B8" s="20" t="s">
        <v>156</v>
      </c>
      <c r="C8" s="17" t="s">
        <v>1440</v>
      </c>
      <c r="D8" s="18" t="s">
        <v>1461</v>
      </c>
      <c r="E8" s="18"/>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t="s">
        <v>53</v>
      </c>
      <c r="V8" s="7" t="s">
        <v>53</v>
      </c>
    </row>
    <row r="9" spans="1:22" x14ac:dyDescent="0.25">
      <c r="A9" s="19" t="str">
        <f t="shared" si="0"/>
        <v>COMPLETO</v>
      </c>
      <c r="B9" s="20" t="s">
        <v>158</v>
      </c>
      <c r="C9" s="17" t="s">
        <v>1441</v>
      </c>
      <c r="D9" s="18" t="s">
        <v>1462</v>
      </c>
      <c r="E9" s="18"/>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160</v>
      </c>
      <c r="C10" s="17" t="s">
        <v>1442</v>
      </c>
      <c r="D10" s="18" t="s">
        <v>1463</v>
      </c>
      <c r="E10" s="18"/>
      <c r="F10" s="7" t="s">
        <v>53</v>
      </c>
      <c r="G10" s="7" t="s">
        <v>53</v>
      </c>
      <c r="H10" s="7" t="s">
        <v>53</v>
      </c>
      <c r="I10" s="7" t="s">
        <v>9</v>
      </c>
      <c r="J10" s="11" t="s">
        <v>9</v>
      </c>
      <c r="K10" s="11" t="s">
        <v>9</v>
      </c>
      <c r="L10" s="7" t="s">
        <v>9</v>
      </c>
      <c r="M10" s="11" t="s">
        <v>9</v>
      </c>
      <c r="N10" s="11" t="s">
        <v>9</v>
      </c>
      <c r="O10" s="11" t="s">
        <v>9</v>
      </c>
      <c r="P10" s="7">
        <v>18</v>
      </c>
      <c r="Q10" s="8" t="s">
        <v>7</v>
      </c>
      <c r="R10" s="7" t="s">
        <v>53</v>
      </c>
      <c r="S10" s="7" t="s">
        <v>53</v>
      </c>
      <c r="T10" s="12" t="s">
        <v>9</v>
      </c>
      <c r="U10" s="7" t="s">
        <v>53</v>
      </c>
      <c r="V10" s="7" t="s">
        <v>53</v>
      </c>
    </row>
    <row r="11" spans="1:22" x14ac:dyDescent="0.25">
      <c r="A11" s="19" t="str">
        <f t="shared" si="0"/>
        <v>COMPLETO</v>
      </c>
      <c r="B11" s="20" t="s">
        <v>162</v>
      </c>
      <c r="C11" s="17" t="s">
        <v>1443</v>
      </c>
      <c r="D11" s="18" t="s">
        <v>1464</v>
      </c>
      <c r="E11" s="18"/>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164</v>
      </c>
      <c r="C12" s="17" t="s">
        <v>1444</v>
      </c>
      <c r="D12" s="18" t="s">
        <v>1465</v>
      </c>
      <c r="E12" s="18"/>
      <c r="F12" s="7" t="s">
        <v>53</v>
      </c>
      <c r="G12" s="7" t="s">
        <v>53</v>
      </c>
      <c r="H12" s="7" t="s">
        <v>53</v>
      </c>
      <c r="I12" s="7" t="s">
        <v>9</v>
      </c>
      <c r="J12" s="11" t="s">
        <v>9</v>
      </c>
      <c r="K12" s="11" t="s">
        <v>9</v>
      </c>
      <c r="L12" s="7" t="s">
        <v>9</v>
      </c>
      <c r="M12" s="11" t="s">
        <v>9</v>
      </c>
      <c r="N12" s="11" t="s">
        <v>9</v>
      </c>
      <c r="O12" s="11" t="s">
        <v>9</v>
      </c>
      <c r="P12" s="7">
        <v>12</v>
      </c>
      <c r="Q12" s="8" t="s">
        <v>7</v>
      </c>
      <c r="R12" s="7" t="s">
        <v>53</v>
      </c>
      <c r="S12" s="7" t="s">
        <v>53</v>
      </c>
      <c r="T12" s="12" t="s">
        <v>9</v>
      </c>
      <c r="U12" s="7" t="s">
        <v>53</v>
      </c>
      <c r="V12" s="7" t="s">
        <v>53</v>
      </c>
    </row>
    <row r="13" spans="1:22" x14ac:dyDescent="0.25">
      <c r="A13" s="19" t="str">
        <f t="shared" si="0"/>
        <v>COMPLETO</v>
      </c>
      <c r="B13" s="20" t="s">
        <v>166</v>
      </c>
      <c r="C13" s="17" t="s">
        <v>1445</v>
      </c>
      <c r="D13" s="18" t="s">
        <v>1466</v>
      </c>
      <c r="E13" s="18"/>
      <c r="F13" s="7" t="s">
        <v>7</v>
      </c>
      <c r="G13" s="7" t="s">
        <v>7</v>
      </c>
      <c r="H13" s="7" t="s">
        <v>7</v>
      </c>
      <c r="I13" s="7" t="s">
        <v>9</v>
      </c>
      <c r="J13" s="11" t="s">
        <v>9</v>
      </c>
      <c r="K13" s="11" t="s">
        <v>9</v>
      </c>
      <c r="L13" s="7" t="s">
        <v>9</v>
      </c>
      <c r="M13" s="11" t="s">
        <v>9</v>
      </c>
      <c r="N13" s="11" t="s">
        <v>9</v>
      </c>
      <c r="O13" s="11" t="s">
        <v>9</v>
      </c>
      <c r="P13" s="7" t="s">
        <v>9</v>
      </c>
      <c r="Q13" s="8" t="s">
        <v>7</v>
      </c>
      <c r="R13" s="7" t="s">
        <v>9</v>
      </c>
      <c r="S13" s="7" t="s">
        <v>9</v>
      </c>
      <c r="T13" s="12" t="s">
        <v>9</v>
      </c>
      <c r="U13" s="7" t="s">
        <v>53</v>
      </c>
      <c r="V13" s="7" t="s">
        <v>53</v>
      </c>
    </row>
    <row r="14" spans="1:22" x14ac:dyDescent="0.25">
      <c r="A14" s="19" t="str">
        <f t="shared" si="0"/>
        <v>COMPLETO</v>
      </c>
      <c r="B14" s="20" t="s">
        <v>168</v>
      </c>
      <c r="C14" s="17" t="s">
        <v>1446</v>
      </c>
      <c r="D14" s="18" t="s">
        <v>1467</v>
      </c>
      <c r="E14" s="18"/>
      <c r="F14" s="7" t="s">
        <v>53</v>
      </c>
      <c r="G14" s="7" t="s">
        <v>53</v>
      </c>
      <c r="H14" s="7" t="s">
        <v>53</v>
      </c>
      <c r="I14" s="7" t="s">
        <v>9</v>
      </c>
      <c r="J14" s="11" t="s">
        <v>9</v>
      </c>
      <c r="K14" s="11" t="s">
        <v>9</v>
      </c>
      <c r="L14" s="7" t="s">
        <v>9</v>
      </c>
      <c r="M14" s="11" t="s">
        <v>9</v>
      </c>
      <c r="N14" s="11" t="s">
        <v>9</v>
      </c>
      <c r="O14" s="11" t="s">
        <v>9</v>
      </c>
      <c r="P14" s="7">
        <v>6</v>
      </c>
      <c r="Q14" s="8" t="s">
        <v>7</v>
      </c>
      <c r="R14" s="7" t="s">
        <v>53</v>
      </c>
      <c r="S14" s="7" t="s">
        <v>53</v>
      </c>
      <c r="T14" s="12" t="s">
        <v>9</v>
      </c>
      <c r="U14" s="7" t="s">
        <v>53</v>
      </c>
      <c r="V14" s="7" t="s">
        <v>53</v>
      </c>
    </row>
    <row r="15" spans="1:22" x14ac:dyDescent="0.25">
      <c r="A15" s="19" t="str">
        <f t="shared" si="0"/>
        <v>COMPLETO</v>
      </c>
      <c r="B15" s="20" t="s">
        <v>170</v>
      </c>
      <c r="C15" s="17" t="s">
        <v>1447</v>
      </c>
      <c r="D15" s="18" t="s">
        <v>1468</v>
      </c>
      <c r="E15" s="18"/>
      <c r="F15" s="7" t="s">
        <v>53</v>
      </c>
      <c r="G15" s="7" t="s">
        <v>53</v>
      </c>
      <c r="H15" s="7" t="s">
        <v>53</v>
      </c>
      <c r="I15" s="7" t="s">
        <v>9</v>
      </c>
      <c r="J15" s="11" t="s">
        <v>9</v>
      </c>
      <c r="K15" s="11" t="s">
        <v>9</v>
      </c>
      <c r="L15" s="7" t="s">
        <v>9</v>
      </c>
      <c r="M15" s="11" t="s">
        <v>9</v>
      </c>
      <c r="N15" s="11" t="s">
        <v>9</v>
      </c>
      <c r="O15" s="11" t="s">
        <v>9</v>
      </c>
      <c r="P15" s="7">
        <v>18</v>
      </c>
      <c r="Q15" s="8" t="s">
        <v>7</v>
      </c>
      <c r="R15" s="7" t="s">
        <v>53</v>
      </c>
      <c r="S15" s="7" t="s">
        <v>53</v>
      </c>
      <c r="T15" s="12" t="s">
        <v>9</v>
      </c>
      <c r="U15" s="7" t="s">
        <v>53</v>
      </c>
      <c r="V15" s="7" t="s">
        <v>53</v>
      </c>
    </row>
    <row r="16" spans="1:22" x14ac:dyDescent="0.25">
      <c r="A16" s="19" t="str">
        <f t="shared" si="0"/>
        <v>COMPLETO</v>
      </c>
      <c r="B16" s="20" t="s">
        <v>172</v>
      </c>
      <c r="C16" s="17" t="s">
        <v>1448</v>
      </c>
      <c r="D16" s="18" t="s">
        <v>1469</v>
      </c>
      <c r="E16" s="18"/>
      <c r="F16" s="7" t="s">
        <v>53</v>
      </c>
      <c r="G16" s="7" t="s">
        <v>53</v>
      </c>
      <c r="H16" s="7" t="s">
        <v>53</v>
      </c>
      <c r="I16" s="7" t="s">
        <v>9</v>
      </c>
      <c r="J16" s="11" t="s">
        <v>9</v>
      </c>
      <c r="K16" s="11" t="s">
        <v>9</v>
      </c>
      <c r="L16" s="7" t="s">
        <v>9</v>
      </c>
      <c r="M16" s="11" t="s">
        <v>9</v>
      </c>
      <c r="N16" s="11" t="s">
        <v>9</v>
      </c>
      <c r="O16" s="11" t="s">
        <v>9</v>
      </c>
      <c r="P16" s="7" t="s">
        <v>9</v>
      </c>
      <c r="Q16" s="8" t="s">
        <v>7</v>
      </c>
      <c r="R16" s="7" t="s">
        <v>9</v>
      </c>
      <c r="S16" s="7" t="s">
        <v>9</v>
      </c>
      <c r="T16" s="12" t="s">
        <v>9</v>
      </c>
      <c r="U16" s="7" t="s">
        <v>53</v>
      </c>
      <c r="V16" s="7" t="s">
        <v>53</v>
      </c>
    </row>
    <row r="17" spans="1:22" x14ac:dyDescent="0.25">
      <c r="A17" s="19" t="str">
        <f t="shared" si="0"/>
        <v>COMPLETO</v>
      </c>
      <c r="B17" s="20" t="s">
        <v>174</v>
      </c>
      <c r="C17" s="17" t="s">
        <v>1449</v>
      </c>
      <c r="D17" s="18" t="s">
        <v>1470</v>
      </c>
      <c r="E17" s="18"/>
      <c r="F17" s="7" t="s">
        <v>53</v>
      </c>
      <c r="G17" s="7" t="s">
        <v>53</v>
      </c>
      <c r="H17" s="7" t="s">
        <v>53</v>
      </c>
      <c r="I17" s="7" t="s">
        <v>9</v>
      </c>
      <c r="J17" s="11" t="s">
        <v>9</v>
      </c>
      <c r="K17" s="11" t="s">
        <v>9</v>
      </c>
      <c r="L17" s="7" t="s">
        <v>9</v>
      </c>
      <c r="M17" s="11" t="s">
        <v>9</v>
      </c>
      <c r="N17" s="11" t="s">
        <v>9</v>
      </c>
      <c r="O17" s="11" t="s">
        <v>9</v>
      </c>
      <c r="P17" s="7" t="s">
        <v>9</v>
      </c>
      <c r="Q17" s="8" t="s">
        <v>7</v>
      </c>
      <c r="R17" s="7" t="s">
        <v>9</v>
      </c>
      <c r="S17" s="7" t="s">
        <v>9</v>
      </c>
      <c r="T17" s="12" t="s">
        <v>9</v>
      </c>
      <c r="U17" s="7" t="s">
        <v>53</v>
      </c>
      <c r="V17" s="7" t="s">
        <v>53</v>
      </c>
    </row>
    <row r="18" spans="1:22" x14ac:dyDescent="0.25">
      <c r="A18" s="19" t="str">
        <f t="shared" si="0"/>
        <v>COMPLETO</v>
      </c>
      <c r="B18" s="20" t="s">
        <v>175</v>
      </c>
      <c r="C18" s="17" t="s">
        <v>1450</v>
      </c>
      <c r="D18" s="18" t="s">
        <v>1471</v>
      </c>
      <c r="E18" s="18"/>
      <c r="F18" s="7" t="s">
        <v>53</v>
      </c>
      <c r="G18" s="7" t="s">
        <v>53</v>
      </c>
      <c r="H18" s="7" t="s">
        <v>53</v>
      </c>
      <c r="I18" s="7" t="s">
        <v>9</v>
      </c>
      <c r="J18" s="11" t="s">
        <v>9</v>
      </c>
      <c r="K18" s="11" t="s">
        <v>9</v>
      </c>
      <c r="L18" s="7" t="s">
        <v>9</v>
      </c>
      <c r="M18" s="11" t="s">
        <v>9</v>
      </c>
      <c r="N18" s="11" t="s">
        <v>9</v>
      </c>
      <c r="O18" s="11" t="s">
        <v>9</v>
      </c>
      <c r="P18" s="7" t="s">
        <v>9</v>
      </c>
      <c r="Q18" s="8" t="s">
        <v>7</v>
      </c>
      <c r="R18" s="7" t="s">
        <v>9</v>
      </c>
      <c r="S18" s="7" t="s">
        <v>9</v>
      </c>
      <c r="T18" s="12" t="s">
        <v>9</v>
      </c>
      <c r="U18" s="7" t="s">
        <v>53</v>
      </c>
      <c r="V18" s="7" t="s">
        <v>53</v>
      </c>
    </row>
    <row r="19" spans="1:22" x14ac:dyDescent="0.25">
      <c r="A19" s="19" t="str">
        <f t="shared" si="0"/>
        <v>COMPLETO</v>
      </c>
      <c r="B19" s="20" t="s">
        <v>177</v>
      </c>
      <c r="C19" s="17" t="s">
        <v>1451</v>
      </c>
      <c r="D19" s="18" t="s">
        <v>1472</v>
      </c>
      <c r="E19" s="18"/>
      <c r="F19" s="7" t="s">
        <v>53</v>
      </c>
      <c r="G19" s="7" t="s">
        <v>53</v>
      </c>
      <c r="H19" s="7" t="s">
        <v>53</v>
      </c>
      <c r="I19" s="7" t="s">
        <v>9</v>
      </c>
      <c r="J19" s="11" t="s">
        <v>9</v>
      </c>
      <c r="K19" s="11" t="s">
        <v>9</v>
      </c>
      <c r="L19" s="7" t="s">
        <v>9</v>
      </c>
      <c r="M19" s="11" t="s">
        <v>9</v>
      </c>
      <c r="N19" s="11" t="s">
        <v>9</v>
      </c>
      <c r="O19" s="11" t="s">
        <v>9</v>
      </c>
      <c r="P19" s="7" t="s">
        <v>9</v>
      </c>
      <c r="Q19" s="8" t="s">
        <v>7</v>
      </c>
      <c r="R19" s="7" t="s">
        <v>9</v>
      </c>
      <c r="S19" s="7" t="s">
        <v>9</v>
      </c>
      <c r="T19" s="12" t="s">
        <v>9</v>
      </c>
      <c r="U19" s="7" t="s">
        <v>53</v>
      </c>
      <c r="V19" s="7" t="s">
        <v>53</v>
      </c>
    </row>
    <row r="20" spans="1:22" x14ac:dyDescent="0.25">
      <c r="A20" s="19" t="str">
        <f t="shared" si="0"/>
        <v>COMPLETO</v>
      </c>
      <c r="B20" s="20" t="s">
        <v>179</v>
      </c>
      <c r="C20" s="17" t="s">
        <v>1452</v>
      </c>
      <c r="D20" s="18" t="s">
        <v>1473</v>
      </c>
      <c r="E20" s="18"/>
      <c r="F20" s="7" t="s">
        <v>53</v>
      </c>
      <c r="G20" s="7" t="s">
        <v>53</v>
      </c>
      <c r="H20" s="7" t="s">
        <v>53</v>
      </c>
      <c r="I20" s="7" t="s">
        <v>9</v>
      </c>
      <c r="J20" s="11" t="s">
        <v>9</v>
      </c>
      <c r="K20" s="11" t="s">
        <v>9</v>
      </c>
      <c r="L20" s="7" t="s">
        <v>9</v>
      </c>
      <c r="M20" s="11" t="s">
        <v>9</v>
      </c>
      <c r="N20" s="11" t="s">
        <v>9</v>
      </c>
      <c r="O20" s="11" t="s">
        <v>9</v>
      </c>
      <c r="P20" s="7" t="s">
        <v>9</v>
      </c>
      <c r="Q20" s="8" t="s">
        <v>7</v>
      </c>
      <c r="R20" s="7" t="s">
        <v>9</v>
      </c>
      <c r="S20" s="7" t="s">
        <v>9</v>
      </c>
      <c r="T20" s="12" t="s">
        <v>9</v>
      </c>
      <c r="U20" s="7" t="s">
        <v>53</v>
      </c>
      <c r="V20" s="7" t="s">
        <v>53</v>
      </c>
    </row>
    <row r="21" spans="1:22" x14ac:dyDescent="0.25">
      <c r="A21" s="19" t="str">
        <f t="shared" si="0"/>
        <v>COMPLETO</v>
      </c>
      <c r="B21" s="20" t="s">
        <v>181</v>
      </c>
      <c r="C21" s="17" t="s">
        <v>1453</v>
      </c>
      <c r="D21" s="18" t="s">
        <v>1474</v>
      </c>
      <c r="E21" s="18"/>
      <c r="F21" s="7" t="s">
        <v>53</v>
      </c>
      <c r="G21" s="7" t="s">
        <v>53</v>
      </c>
      <c r="H21" s="7" t="s">
        <v>53</v>
      </c>
      <c r="I21" s="7" t="s">
        <v>9</v>
      </c>
      <c r="J21" s="11" t="s">
        <v>53</v>
      </c>
      <c r="K21" s="11" t="s">
        <v>53</v>
      </c>
      <c r="L21" s="7" t="s">
        <v>9</v>
      </c>
      <c r="M21" s="11" t="s">
        <v>9</v>
      </c>
      <c r="N21" s="11" t="s">
        <v>9</v>
      </c>
      <c r="O21" s="11" t="s">
        <v>9</v>
      </c>
      <c r="P21" s="7">
        <v>18</v>
      </c>
      <c r="Q21" s="8" t="s">
        <v>7</v>
      </c>
      <c r="R21" s="7" t="s">
        <v>53</v>
      </c>
      <c r="S21" s="7" t="s">
        <v>53</v>
      </c>
      <c r="T21" s="12" t="s">
        <v>9</v>
      </c>
      <c r="U21" s="7" t="s">
        <v>53</v>
      </c>
      <c r="V21" s="7" t="s">
        <v>53</v>
      </c>
    </row>
    <row r="22" spans="1:22" x14ac:dyDescent="0.25">
      <c r="A22" s="19" t="str">
        <f t="shared" si="0"/>
        <v>COMPLETO</v>
      </c>
      <c r="B22" s="20" t="s">
        <v>183</v>
      </c>
      <c r="C22" s="17" t="s">
        <v>1454</v>
      </c>
      <c r="D22" s="18" t="s">
        <v>1475</v>
      </c>
      <c r="E22" s="18"/>
      <c r="F22" s="7" t="s">
        <v>53</v>
      </c>
      <c r="G22" s="7" t="s">
        <v>53</v>
      </c>
      <c r="H22" s="7" t="s">
        <v>53</v>
      </c>
      <c r="I22" s="7" t="s">
        <v>9</v>
      </c>
      <c r="J22" s="11" t="s">
        <v>9</v>
      </c>
      <c r="K22" s="11" t="s">
        <v>9</v>
      </c>
      <c r="L22" s="7" t="s">
        <v>9</v>
      </c>
      <c r="M22" s="11" t="s">
        <v>9</v>
      </c>
      <c r="N22" s="11" t="s">
        <v>9</v>
      </c>
      <c r="O22" s="11" t="s">
        <v>9</v>
      </c>
      <c r="P22" s="7" t="s">
        <v>9</v>
      </c>
      <c r="Q22" s="8" t="s">
        <v>7</v>
      </c>
      <c r="R22" s="7" t="s">
        <v>9</v>
      </c>
      <c r="S22" s="7" t="s">
        <v>9</v>
      </c>
      <c r="T22" s="12" t="s">
        <v>9</v>
      </c>
      <c r="U22" s="7" t="s">
        <v>53</v>
      </c>
      <c r="V22" s="7" t="s">
        <v>53</v>
      </c>
    </row>
    <row r="23" spans="1:22" x14ac:dyDescent="0.25">
      <c r="A23" s="19" t="str">
        <f t="shared" si="0"/>
        <v>COMPLETO</v>
      </c>
      <c r="B23" s="20" t="s">
        <v>185</v>
      </c>
      <c r="C23" s="17" t="s">
        <v>1455</v>
      </c>
      <c r="D23" s="18" t="s">
        <v>1476</v>
      </c>
      <c r="E23" s="18"/>
      <c r="F23" s="7" t="s">
        <v>53</v>
      </c>
      <c r="G23" s="7" t="s">
        <v>53</v>
      </c>
      <c r="H23" s="7" t="s">
        <v>53</v>
      </c>
      <c r="I23" s="7" t="s">
        <v>9</v>
      </c>
      <c r="J23" s="11" t="s">
        <v>9</v>
      </c>
      <c r="K23" s="11" t="s">
        <v>9</v>
      </c>
      <c r="L23" s="7" t="s">
        <v>9</v>
      </c>
      <c r="M23" s="11" t="s">
        <v>9</v>
      </c>
      <c r="N23" s="11" t="s">
        <v>9</v>
      </c>
      <c r="O23" s="11" t="s">
        <v>9</v>
      </c>
      <c r="P23" s="7">
        <v>6</v>
      </c>
      <c r="Q23" s="8" t="s">
        <v>7</v>
      </c>
      <c r="R23" s="7" t="s">
        <v>53</v>
      </c>
      <c r="S23" s="7" t="s">
        <v>53</v>
      </c>
      <c r="T23" s="12" t="s">
        <v>9</v>
      </c>
      <c r="U23" s="7" t="s">
        <v>53</v>
      </c>
      <c r="V23" s="7" t="s">
        <v>53</v>
      </c>
    </row>
    <row r="24" spans="1:22" x14ac:dyDescent="0.25">
      <c r="A24" s="19" t="str">
        <f t="shared" si="0"/>
        <v>COMPLETO</v>
      </c>
      <c r="B24" s="20" t="s">
        <v>187</v>
      </c>
      <c r="C24" s="17" t="s">
        <v>1456</v>
      </c>
      <c r="D24" s="18" t="s">
        <v>1477</v>
      </c>
      <c r="E24" s="18"/>
      <c r="F24" s="7" t="s">
        <v>53</v>
      </c>
      <c r="G24" s="7" t="s">
        <v>53</v>
      </c>
      <c r="H24" s="7" t="s">
        <v>53</v>
      </c>
      <c r="I24" s="7" t="s">
        <v>9</v>
      </c>
      <c r="J24" s="11" t="s">
        <v>9</v>
      </c>
      <c r="K24" s="11" t="s">
        <v>9</v>
      </c>
      <c r="L24" s="7" t="s">
        <v>9</v>
      </c>
      <c r="M24" s="11" t="s">
        <v>9</v>
      </c>
      <c r="N24" s="11" t="s">
        <v>9</v>
      </c>
      <c r="O24" s="11" t="s">
        <v>9</v>
      </c>
      <c r="P24" s="7">
        <v>18</v>
      </c>
      <c r="Q24" s="8" t="s">
        <v>7</v>
      </c>
      <c r="R24" s="7" t="s">
        <v>53</v>
      </c>
      <c r="S24" s="7" t="s">
        <v>53</v>
      </c>
      <c r="T24" s="12" t="s">
        <v>9</v>
      </c>
      <c r="U24" s="7" t="s">
        <v>53</v>
      </c>
      <c r="V24" s="7" t="s">
        <v>53</v>
      </c>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s>
  <conditionalFormatting sqref="G3:T4 F5:V44">
    <cfRule type="cellIs" dxfId="639" priority="20" operator="equal">
      <formula>"F"</formula>
    </cfRule>
    <cfRule type="cellIs" dxfId="638" priority="21" operator="equal">
      <formula>"OK"</formula>
    </cfRule>
    <cfRule type="cellIs" dxfId="637" priority="22" operator="between">
      <formula>6</formula>
      <formula>18</formula>
    </cfRule>
  </conditionalFormatting>
  <conditionalFormatting sqref="C1:E1 A2:E2 C3:C4 E3:E4 A5:E1048576">
    <cfRule type="expression" dxfId="636" priority="18">
      <formula>$A1="FALTA"</formula>
    </cfRule>
    <cfRule type="expression" dxfId="635" priority="19">
      <formula>$A1="COMPLETO"</formula>
    </cfRule>
  </conditionalFormatting>
  <conditionalFormatting sqref="D3:D4">
    <cfRule type="expression" dxfId="634" priority="14">
      <formula>$A3="FALTA"</formula>
    </cfRule>
    <cfRule type="expression" dxfId="633" priority="15">
      <formula>$A3="COMPLETO"</formula>
    </cfRule>
  </conditionalFormatting>
  <conditionalFormatting sqref="B3">
    <cfRule type="expression" dxfId="632" priority="16">
      <formula>$A3="FALTA"</formula>
    </cfRule>
    <cfRule type="expression" dxfId="631" priority="17">
      <formula>$A3="COMPLETO"</formula>
    </cfRule>
  </conditionalFormatting>
  <conditionalFormatting sqref="F4">
    <cfRule type="cellIs" dxfId="630" priority="11" operator="equal">
      <formula>"F"</formula>
    </cfRule>
    <cfRule type="cellIs" dxfId="629" priority="12" operator="equal">
      <formula>"OK"</formula>
    </cfRule>
    <cfRule type="cellIs" dxfId="628" priority="13" operator="between">
      <formula>6</formula>
      <formula>18</formula>
    </cfRule>
  </conditionalFormatting>
  <conditionalFormatting sqref="A1:B1">
    <cfRule type="expression" dxfId="627" priority="9">
      <formula>$A1="FALTA"</formula>
    </cfRule>
    <cfRule type="expression" dxfId="626" priority="10">
      <formula>$A1="COMPLETO"</formula>
    </cfRule>
  </conditionalFormatting>
  <conditionalFormatting sqref="U3:V3">
    <cfRule type="cellIs" dxfId="625" priority="6" operator="equal">
      <formula>"F"</formula>
    </cfRule>
    <cfRule type="cellIs" dxfId="624" priority="7" operator="equal">
      <formula>"OK"</formula>
    </cfRule>
    <cfRule type="cellIs" dxfId="623" priority="8" operator="between">
      <formula>6</formula>
      <formula>18</formula>
    </cfRule>
  </conditionalFormatting>
  <conditionalFormatting sqref="F3">
    <cfRule type="cellIs" dxfId="622" priority="3" operator="equal">
      <formula>"F"</formula>
    </cfRule>
    <cfRule type="cellIs" dxfId="621" priority="4" operator="equal">
      <formula>"OK"</formula>
    </cfRule>
    <cfRule type="cellIs" dxfId="620" priority="5" operator="between">
      <formula>6</formula>
      <formula>18</formula>
    </cfRule>
  </conditionalFormatting>
  <conditionalFormatting sqref="A3">
    <cfRule type="expression" dxfId="619" priority="1">
      <formula>$A3="FALTA"</formula>
    </cfRule>
    <cfRule type="expression" dxfId="618"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0">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ZDoctores González Meneses 10</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FALTA</v>
      </c>
      <c r="B3" s="385" t="s">
        <v>116</v>
      </c>
      <c r="C3" s="23" t="s">
        <v>1289</v>
      </c>
      <c r="D3" s="29" t="s">
        <v>5</v>
      </c>
      <c r="E3" s="10" t="s">
        <v>1288</v>
      </c>
      <c r="F3" s="30">
        <f>IF(AND(ISBLANK(U3),ISBLANK(V3)),1-(COUNTIF(G3:V4,"F")/7),1-(COUNTIF(U3:V3,"F")/2))</f>
        <v>0.85714285714285721</v>
      </c>
      <c r="G3" s="24"/>
      <c r="H3" s="24"/>
      <c r="I3" s="24"/>
      <c r="J3" s="24"/>
      <c r="K3" s="24"/>
      <c r="L3" s="24" t="s">
        <v>28</v>
      </c>
      <c r="M3" s="11" t="s">
        <v>8</v>
      </c>
      <c r="N3" s="24"/>
      <c r="O3" s="24"/>
      <c r="P3" s="25"/>
      <c r="Q3" s="24" t="s">
        <v>24</v>
      </c>
      <c r="R3" s="11" t="s">
        <v>7</v>
      </c>
      <c r="S3" s="24" t="s">
        <v>12</v>
      </c>
      <c r="T3" s="11" t="s">
        <v>7</v>
      </c>
      <c r="U3" s="381"/>
      <c r="V3" s="381"/>
    </row>
    <row r="4" spans="1:22" x14ac:dyDescent="0.25">
      <c r="A4" s="384"/>
      <c r="B4" s="386"/>
      <c r="C4" s="23" t="s">
        <v>1290</v>
      </c>
      <c r="D4" s="29" t="s">
        <v>6</v>
      </c>
      <c r="E4" s="10" t="s">
        <v>2467</v>
      </c>
      <c r="F4" s="30">
        <f>COUNTIF(A5:A44,"*COMPLETO*")/COUNTA(A5:A44)</f>
        <v>0</v>
      </c>
      <c r="G4" s="24"/>
      <c r="H4" s="24" t="s">
        <v>18</v>
      </c>
      <c r="I4" s="11" t="s">
        <v>7</v>
      </c>
      <c r="J4" s="24"/>
      <c r="K4" s="24"/>
      <c r="L4" s="24" t="s">
        <v>23</v>
      </c>
      <c r="M4" s="11" t="s">
        <v>7</v>
      </c>
      <c r="N4" s="24"/>
      <c r="O4" s="24"/>
      <c r="P4" s="11"/>
      <c r="Q4" s="24" t="s">
        <v>26</v>
      </c>
      <c r="R4" s="11" t="s">
        <v>7</v>
      </c>
      <c r="S4" s="24" t="s">
        <v>19</v>
      </c>
      <c r="T4" s="11" t="s">
        <v>7</v>
      </c>
      <c r="U4" s="382"/>
      <c r="V4" s="382"/>
    </row>
    <row r="5" spans="1:22" ht="15" customHeight="1" x14ac:dyDescent="0.25">
      <c r="A5" s="19" t="str">
        <f>IF(COUNTIF(F5:V5,"F")&gt;0,"FALTA","COMPLETO")</f>
        <v>FALTA</v>
      </c>
      <c r="B5" s="20" t="s">
        <v>3</v>
      </c>
      <c r="C5" s="17" t="s">
        <v>1333</v>
      </c>
      <c r="D5" s="18"/>
      <c r="E5" s="18"/>
      <c r="F5" s="7" t="s">
        <v>8</v>
      </c>
      <c r="G5" s="7" t="s">
        <v>8</v>
      </c>
      <c r="H5" s="7" t="s">
        <v>8</v>
      </c>
      <c r="I5" s="7" t="s">
        <v>9</v>
      </c>
      <c r="J5" s="11" t="s">
        <v>9</v>
      </c>
      <c r="K5" s="11" t="s">
        <v>9</v>
      </c>
      <c r="L5" s="7" t="s">
        <v>9</v>
      </c>
      <c r="M5" s="11" t="s">
        <v>9</v>
      </c>
      <c r="N5" s="11" t="s">
        <v>9</v>
      </c>
      <c r="O5" s="11" t="s">
        <v>9</v>
      </c>
      <c r="P5" s="7" t="s">
        <v>9</v>
      </c>
      <c r="Q5" s="8" t="s">
        <v>9</v>
      </c>
      <c r="R5" s="7" t="s">
        <v>9</v>
      </c>
      <c r="S5" s="7" t="s">
        <v>9</v>
      </c>
      <c r="T5" s="12" t="s">
        <v>9</v>
      </c>
      <c r="U5" s="7"/>
      <c r="V5" s="7"/>
    </row>
    <row r="6" spans="1:22" ht="15" customHeight="1" x14ac:dyDescent="0.25">
      <c r="A6" s="19" t="str">
        <f t="shared" ref="A6:A44" si="0">IF(COUNTIF(F6:V6,"F")&gt;0,"FALTA","COMPLETO")</f>
        <v>FALTA</v>
      </c>
      <c r="B6" s="20" t="s">
        <v>3</v>
      </c>
      <c r="C6" s="17" t="s">
        <v>1333</v>
      </c>
      <c r="D6" s="18"/>
      <c r="E6" s="18"/>
      <c r="F6" s="7" t="s">
        <v>8</v>
      </c>
      <c r="G6" s="7" t="s">
        <v>8</v>
      </c>
      <c r="H6" s="7" t="s">
        <v>8</v>
      </c>
      <c r="I6" s="7" t="s">
        <v>9</v>
      </c>
      <c r="J6" s="11" t="s">
        <v>9</v>
      </c>
      <c r="K6" s="11" t="s">
        <v>9</v>
      </c>
      <c r="L6" s="7" t="s">
        <v>9</v>
      </c>
      <c r="M6" s="11" t="s">
        <v>9</v>
      </c>
      <c r="N6" s="11" t="s">
        <v>9</v>
      </c>
      <c r="O6" s="11" t="s">
        <v>9</v>
      </c>
      <c r="P6" s="7" t="s">
        <v>9</v>
      </c>
      <c r="Q6" s="8" t="s">
        <v>9</v>
      </c>
      <c r="R6" s="7" t="s">
        <v>9</v>
      </c>
      <c r="S6" s="7" t="s">
        <v>9</v>
      </c>
      <c r="T6" s="12" t="s">
        <v>9</v>
      </c>
      <c r="U6" s="7"/>
      <c r="V6" s="7"/>
    </row>
    <row r="7" spans="1:22" ht="15" customHeight="1" x14ac:dyDescent="0.25">
      <c r="A7" s="19" t="str">
        <f t="shared" si="0"/>
        <v>FALTA</v>
      </c>
      <c r="B7" s="20" t="s">
        <v>3</v>
      </c>
      <c r="C7" s="17" t="s">
        <v>1333</v>
      </c>
      <c r="D7" s="18"/>
      <c r="E7" s="18"/>
      <c r="F7" s="7" t="s">
        <v>8</v>
      </c>
      <c r="G7" s="7" t="s">
        <v>8</v>
      </c>
      <c r="H7" s="7" t="s">
        <v>8</v>
      </c>
      <c r="I7" s="7" t="s">
        <v>9</v>
      </c>
      <c r="J7" s="11" t="s">
        <v>9</v>
      </c>
      <c r="K7" s="11" t="s">
        <v>9</v>
      </c>
      <c r="L7" s="7" t="s">
        <v>9</v>
      </c>
      <c r="M7" s="11" t="s">
        <v>9</v>
      </c>
      <c r="N7" s="11" t="s">
        <v>9</v>
      </c>
      <c r="O7" s="11" t="s">
        <v>9</v>
      </c>
      <c r="P7" s="7" t="s">
        <v>9</v>
      </c>
      <c r="Q7" s="8" t="s">
        <v>9</v>
      </c>
      <c r="R7" s="7" t="s">
        <v>9</v>
      </c>
      <c r="S7" s="7" t="s">
        <v>9</v>
      </c>
      <c r="T7" s="12" t="s">
        <v>9</v>
      </c>
      <c r="U7" s="7"/>
      <c r="V7" s="7"/>
    </row>
    <row r="8" spans="1:22" x14ac:dyDescent="0.25">
      <c r="A8" s="19" t="str">
        <f t="shared" si="0"/>
        <v>FALTA</v>
      </c>
      <c r="B8" s="20" t="s">
        <v>3</v>
      </c>
      <c r="C8" s="17" t="s">
        <v>1333</v>
      </c>
      <c r="D8" s="18"/>
      <c r="E8" s="18"/>
      <c r="F8" s="7" t="s">
        <v>8</v>
      </c>
      <c r="G8" s="7" t="s">
        <v>8</v>
      </c>
      <c r="H8" s="7" t="s">
        <v>8</v>
      </c>
      <c r="I8" s="7" t="s">
        <v>9</v>
      </c>
      <c r="J8" s="11" t="s">
        <v>9</v>
      </c>
      <c r="K8" s="11" t="s">
        <v>9</v>
      </c>
      <c r="L8" s="7" t="s">
        <v>9</v>
      </c>
      <c r="M8" s="11" t="s">
        <v>9</v>
      </c>
      <c r="N8" s="11" t="s">
        <v>9</v>
      </c>
      <c r="O8" s="11" t="s">
        <v>9</v>
      </c>
      <c r="P8" s="7" t="s">
        <v>9</v>
      </c>
      <c r="Q8" s="8" t="s">
        <v>9</v>
      </c>
      <c r="R8" s="7" t="s">
        <v>9</v>
      </c>
      <c r="S8" s="7" t="s">
        <v>9</v>
      </c>
      <c r="T8" s="12" t="s">
        <v>9</v>
      </c>
      <c r="U8" s="7"/>
      <c r="V8" s="7"/>
    </row>
    <row r="9" spans="1:22" x14ac:dyDescent="0.25">
      <c r="A9" s="19" t="str">
        <f t="shared" si="0"/>
        <v>FALTA</v>
      </c>
      <c r="B9" s="20" t="s">
        <v>3</v>
      </c>
      <c r="C9" s="17" t="s">
        <v>1333</v>
      </c>
      <c r="D9" s="18"/>
      <c r="E9" s="18"/>
      <c r="F9" s="7" t="s">
        <v>8</v>
      </c>
      <c r="G9" s="7" t="s">
        <v>8</v>
      </c>
      <c r="H9" s="7" t="s">
        <v>8</v>
      </c>
      <c r="I9" s="7" t="s">
        <v>9</v>
      </c>
      <c r="J9" s="11" t="s">
        <v>9</v>
      </c>
      <c r="K9" s="11" t="s">
        <v>9</v>
      </c>
      <c r="L9" s="7" t="s">
        <v>9</v>
      </c>
      <c r="M9" s="11" t="s">
        <v>9</v>
      </c>
      <c r="N9" s="11" t="s">
        <v>9</v>
      </c>
      <c r="O9" s="11" t="s">
        <v>9</v>
      </c>
      <c r="P9" s="7" t="s">
        <v>9</v>
      </c>
      <c r="Q9" s="8" t="s">
        <v>9</v>
      </c>
      <c r="R9" s="7" t="s">
        <v>9</v>
      </c>
      <c r="S9" s="7" t="s">
        <v>9</v>
      </c>
      <c r="T9" s="12" t="s">
        <v>9</v>
      </c>
      <c r="U9" s="7"/>
      <c r="V9" s="7"/>
    </row>
    <row r="10" spans="1:22" x14ac:dyDescent="0.25">
      <c r="A10" s="19" t="str">
        <f t="shared" si="0"/>
        <v>FALTA</v>
      </c>
      <c r="B10" s="20" t="s">
        <v>3</v>
      </c>
      <c r="C10" s="17" t="s">
        <v>1333</v>
      </c>
      <c r="D10" s="18"/>
      <c r="E10" s="18"/>
      <c r="F10" s="7" t="s">
        <v>8</v>
      </c>
      <c r="G10" s="7" t="s">
        <v>8</v>
      </c>
      <c r="H10" s="7" t="s">
        <v>8</v>
      </c>
      <c r="I10" s="7" t="s">
        <v>9</v>
      </c>
      <c r="J10" s="11" t="s">
        <v>9</v>
      </c>
      <c r="K10" s="11" t="s">
        <v>9</v>
      </c>
      <c r="L10" s="7" t="s">
        <v>9</v>
      </c>
      <c r="M10" s="11" t="s">
        <v>9</v>
      </c>
      <c r="N10" s="11" t="s">
        <v>9</v>
      </c>
      <c r="O10" s="11" t="s">
        <v>9</v>
      </c>
      <c r="P10" s="7" t="s">
        <v>9</v>
      </c>
      <c r="Q10" s="8" t="s">
        <v>9</v>
      </c>
      <c r="R10" s="7" t="s">
        <v>9</v>
      </c>
      <c r="S10" s="7" t="s">
        <v>9</v>
      </c>
      <c r="T10" s="12" t="s">
        <v>9</v>
      </c>
      <c r="U10" s="7"/>
      <c r="V10" s="7"/>
    </row>
    <row r="11" spans="1:22" x14ac:dyDescent="0.25">
      <c r="A11" s="19" t="str">
        <f t="shared" si="0"/>
        <v>FALTA</v>
      </c>
      <c r="B11" s="20" t="s">
        <v>3</v>
      </c>
      <c r="C11" s="17" t="s">
        <v>1333</v>
      </c>
      <c r="D11" s="18"/>
      <c r="E11" s="18"/>
      <c r="F11" s="7" t="s">
        <v>8</v>
      </c>
      <c r="G11" s="7" t="s">
        <v>8</v>
      </c>
      <c r="H11" s="7" t="s">
        <v>8</v>
      </c>
      <c r="I11" s="7" t="s">
        <v>9</v>
      </c>
      <c r="J11" s="11" t="s">
        <v>9</v>
      </c>
      <c r="K11" s="11" t="s">
        <v>9</v>
      </c>
      <c r="L11" s="7" t="s">
        <v>9</v>
      </c>
      <c r="M11" s="11" t="s">
        <v>9</v>
      </c>
      <c r="N11" s="11" t="s">
        <v>9</v>
      </c>
      <c r="O11" s="11" t="s">
        <v>9</v>
      </c>
      <c r="P11" s="7" t="s">
        <v>9</v>
      </c>
      <c r="Q11" s="8" t="s">
        <v>9</v>
      </c>
      <c r="R11" s="7" t="s">
        <v>9</v>
      </c>
      <c r="S11" s="7" t="s">
        <v>9</v>
      </c>
      <c r="T11" s="12" t="s">
        <v>9</v>
      </c>
      <c r="U11" s="7"/>
      <c r="V11" s="7"/>
    </row>
    <row r="12" spans="1:22" x14ac:dyDescent="0.25">
      <c r="A12" s="19" t="str">
        <f t="shared" si="0"/>
        <v>FALTA</v>
      </c>
      <c r="B12" s="20" t="s">
        <v>3</v>
      </c>
      <c r="C12" s="17" t="s">
        <v>1333</v>
      </c>
      <c r="D12" s="18"/>
      <c r="E12" s="18"/>
      <c r="F12" s="7" t="s">
        <v>8</v>
      </c>
      <c r="G12" s="7" t="s">
        <v>8</v>
      </c>
      <c r="H12" s="7" t="s">
        <v>8</v>
      </c>
      <c r="I12" s="7" t="s">
        <v>9</v>
      </c>
      <c r="J12" s="11" t="s">
        <v>9</v>
      </c>
      <c r="K12" s="11" t="s">
        <v>9</v>
      </c>
      <c r="L12" s="7" t="s">
        <v>9</v>
      </c>
      <c r="M12" s="11" t="s">
        <v>9</v>
      </c>
      <c r="N12" s="11" t="s">
        <v>9</v>
      </c>
      <c r="O12" s="11" t="s">
        <v>9</v>
      </c>
      <c r="P12" s="7" t="s">
        <v>9</v>
      </c>
      <c r="Q12" s="8" t="s">
        <v>9</v>
      </c>
      <c r="R12" s="7" t="s">
        <v>9</v>
      </c>
      <c r="S12" s="7" t="s">
        <v>9</v>
      </c>
      <c r="T12" s="12" t="s">
        <v>9</v>
      </c>
      <c r="U12" s="7"/>
      <c r="V12" s="7"/>
    </row>
    <row r="13" spans="1:22" x14ac:dyDescent="0.25">
      <c r="A13" s="19" t="str">
        <f t="shared" si="0"/>
        <v>FALTA</v>
      </c>
      <c r="B13" s="20" t="s">
        <v>3</v>
      </c>
      <c r="C13" s="17" t="s">
        <v>1333</v>
      </c>
      <c r="D13" s="18"/>
      <c r="E13" s="18"/>
      <c r="F13" s="7" t="s">
        <v>8</v>
      </c>
      <c r="G13" s="7" t="s">
        <v>8</v>
      </c>
      <c r="H13" s="7" t="s">
        <v>8</v>
      </c>
      <c r="I13" s="7" t="s">
        <v>9</v>
      </c>
      <c r="J13" s="11" t="s">
        <v>9</v>
      </c>
      <c r="K13" s="11" t="s">
        <v>9</v>
      </c>
      <c r="L13" s="7" t="s">
        <v>9</v>
      </c>
      <c r="M13" s="11" t="s">
        <v>9</v>
      </c>
      <c r="N13" s="11" t="s">
        <v>9</v>
      </c>
      <c r="O13" s="11" t="s">
        <v>9</v>
      </c>
      <c r="P13" s="7" t="s">
        <v>9</v>
      </c>
      <c r="Q13" s="8" t="s">
        <v>9</v>
      </c>
      <c r="R13" s="7" t="s">
        <v>9</v>
      </c>
      <c r="S13" s="7" t="s">
        <v>9</v>
      </c>
      <c r="T13" s="12" t="s">
        <v>9</v>
      </c>
      <c r="U13" s="7"/>
      <c r="V13" s="7"/>
    </row>
    <row r="14" spans="1:22" x14ac:dyDescent="0.25">
      <c r="A14" s="19" t="str">
        <f t="shared" si="0"/>
        <v>FALTA</v>
      </c>
      <c r="B14" s="20" t="s">
        <v>3</v>
      </c>
      <c r="C14" s="17" t="s">
        <v>1333</v>
      </c>
      <c r="D14" s="18"/>
      <c r="E14" s="18"/>
      <c r="F14" s="7" t="s">
        <v>8</v>
      </c>
      <c r="G14" s="7" t="s">
        <v>8</v>
      </c>
      <c r="H14" s="7" t="s">
        <v>8</v>
      </c>
      <c r="I14" s="7" t="s">
        <v>9</v>
      </c>
      <c r="J14" s="11" t="s">
        <v>9</v>
      </c>
      <c r="K14" s="11" t="s">
        <v>9</v>
      </c>
      <c r="L14" s="7" t="s">
        <v>9</v>
      </c>
      <c r="M14" s="11" t="s">
        <v>9</v>
      </c>
      <c r="N14" s="11" t="s">
        <v>9</v>
      </c>
      <c r="O14" s="11" t="s">
        <v>9</v>
      </c>
      <c r="P14" s="7" t="s">
        <v>9</v>
      </c>
      <c r="Q14" s="8" t="s">
        <v>9</v>
      </c>
      <c r="R14" s="7" t="s">
        <v>9</v>
      </c>
      <c r="S14" s="7" t="s">
        <v>9</v>
      </c>
      <c r="T14" s="12" t="s">
        <v>9</v>
      </c>
      <c r="U14" s="7"/>
      <c r="V14" s="7"/>
    </row>
    <row r="15" spans="1:22" x14ac:dyDescent="0.25">
      <c r="A15" s="19" t="str">
        <f t="shared" si="0"/>
        <v>FALTA</v>
      </c>
      <c r="B15" s="20" t="s">
        <v>3</v>
      </c>
      <c r="C15" s="17" t="s">
        <v>1333</v>
      </c>
      <c r="D15" s="18"/>
      <c r="E15" s="18"/>
      <c r="F15" s="7" t="s">
        <v>8</v>
      </c>
      <c r="G15" s="7" t="s">
        <v>8</v>
      </c>
      <c r="H15" s="7" t="s">
        <v>8</v>
      </c>
      <c r="I15" s="7" t="s">
        <v>9</v>
      </c>
      <c r="J15" s="11" t="s">
        <v>9</v>
      </c>
      <c r="K15" s="11" t="s">
        <v>9</v>
      </c>
      <c r="L15" s="7" t="s">
        <v>9</v>
      </c>
      <c r="M15" s="11" t="s">
        <v>9</v>
      </c>
      <c r="N15" s="11" t="s">
        <v>9</v>
      </c>
      <c r="O15" s="11" t="s">
        <v>9</v>
      </c>
      <c r="P15" s="7" t="s">
        <v>9</v>
      </c>
      <c r="Q15" s="8" t="s">
        <v>9</v>
      </c>
      <c r="R15" s="7" t="s">
        <v>9</v>
      </c>
      <c r="S15" s="7" t="s">
        <v>9</v>
      </c>
      <c r="T15" s="12" t="s">
        <v>9</v>
      </c>
      <c r="U15" s="7"/>
      <c r="V15" s="7"/>
    </row>
    <row r="16" spans="1:22" x14ac:dyDescent="0.25">
      <c r="A16" s="19" t="str">
        <f t="shared" si="0"/>
        <v>FALTA</v>
      </c>
      <c r="B16" s="20" t="s">
        <v>3</v>
      </c>
      <c r="C16" s="17" t="s">
        <v>1333</v>
      </c>
      <c r="D16" s="18"/>
      <c r="E16" s="18"/>
      <c r="F16" s="7" t="s">
        <v>8</v>
      </c>
      <c r="G16" s="7" t="s">
        <v>8</v>
      </c>
      <c r="H16" s="7" t="s">
        <v>8</v>
      </c>
      <c r="I16" s="7" t="s">
        <v>9</v>
      </c>
      <c r="J16" s="11" t="s">
        <v>9</v>
      </c>
      <c r="K16" s="11" t="s">
        <v>9</v>
      </c>
      <c r="L16" s="7" t="s">
        <v>9</v>
      </c>
      <c r="M16" s="11" t="s">
        <v>9</v>
      </c>
      <c r="N16" s="11" t="s">
        <v>9</v>
      </c>
      <c r="O16" s="11" t="s">
        <v>9</v>
      </c>
      <c r="P16" s="7" t="s">
        <v>9</v>
      </c>
      <c r="Q16" s="8" t="s">
        <v>9</v>
      </c>
      <c r="R16" s="7" t="s">
        <v>9</v>
      </c>
      <c r="S16" s="7" t="s">
        <v>9</v>
      </c>
      <c r="T16" s="12" t="s">
        <v>9</v>
      </c>
      <c r="U16" s="7"/>
      <c r="V16" s="7"/>
    </row>
    <row r="17" spans="1:22" x14ac:dyDescent="0.25">
      <c r="A17" s="19" t="str">
        <f t="shared" si="0"/>
        <v>FALTA</v>
      </c>
      <c r="B17" s="20" t="s">
        <v>3</v>
      </c>
      <c r="C17" s="17" t="s">
        <v>1333</v>
      </c>
      <c r="D17" s="18"/>
      <c r="E17" s="18"/>
      <c r="F17" s="7" t="s">
        <v>8</v>
      </c>
      <c r="G17" s="7" t="s">
        <v>8</v>
      </c>
      <c r="H17" s="7" t="s">
        <v>8</v>
      </c>
      <c r="I17" s="7" t="s">
        <v>9</v>
      </c>
      <c r="J17" s="11" t="s">
        <v>9</v>
      </c>
      <c r="K17" s="11" t="s">
        <v>9</v>
      </c>
      <c r="L17" s="7" t="s">
        <v>9</v>
      </c>
      <c r="M17" s="11" t="s">
        <v>9</v>
      </c>
      <c r="N17" s="11" t="s">
        <v>9</v>
      </c>
      <c r="O17" s="11" t="s">
        <v>9</v>
      </c>
      <c r="P17" s="7" t="s">
        <v>9</v>
      </c>
      <c r="Q17" s="8" t="s">
        <v>9</v>
      </c>
      <c r="R17" s="7" t="s">
        <v>9</v>
      </c>
      <c r="S17" s="7" t="s">
        <v>9</v>
      </c>
      <c r="T17" s="12" t="s">
        <v>9</v>
      </c>
      <c r="U17" s="7"/>
      <c r="V17" s="7"/>
    </row>
    <row r="18" spans="1:22" x14ac:dyDescent="0.25">
      <c r="A18" s="19" t="str">
        <f t="shared" si="0"/>
        <v>FALTA</v>
      </c>
      <c r="B18" s="20" t="s">
        <v>3</v>
      </c>
      <c r="C18" s="17" t="s">
        <v>1333</v>
      </c>
      <c r="D18" s="18"/>
      <c r="E18" s="18"/>
      <c r="F18" s="7" t="s">
        <v>8</v>
      </c>
      <c r="G18" s="7" t="s">
        <v>8</v>
      </c>
      <c r="H18" s="7" t="s">
        <v>8</v>
      </c>
      <c r="I18" s="7" t="s">
        <v>9</v>
      </c>
      <c r="J18" s="11" t="s">
        <v>9</v>
      </c>
      <c r="K18" s="11" t="s">
        <v>9</v>
      </c>
      <c r="L18" s="7" t="s">
        <v>9</v>
      </c>
      <c r="M18" s="11" t="s">
        <v>9</v>
      </c>
      <c r="N18" s="11" t="s">
        <v>9</v>
      </c>
      <c r="O18" s="11" t="s">
        <v>9</v>
      </c>
      <c r="P18" s="7" t="s">
        <v>9</v>
      </c>
      <c r="Q18" s="8" t="s">
        <v>9</v>
      </c>
      <c r="R18" s="7" t="s">
        <v>9</v>
      </c>
      <c r="S18" s="7" t="s">
        <v>9</v>
      </c>
      <c r="T18" s="12" t="s">
        <v>9</v>
      </c>
      <c r="U18" s="7"/>
      <c r="V18" s="7"/>
    </row>
    <row r="19" spans="1:22" x14ac:dyDescent="0.25">
      <c r="A19" s="19" t="str">
        <f t="shared" si="0"/>
        <v>FALTA</v>
      </c>
      <c r="B19" s="20" t="s">
        <v>3</v>
      </c>
      <c r="C19" s="17" t="s">
        <v>1333</v>
      </c>
      <c r="D19" s="18"/>
      <c r="E19" s="18"/>
      <c r="F19" s="7" t="s">
        <v>8</v>
      </c>
      <c r="G19" s="7" t="s">
        <v>8</v>
      </c>
      <c r="H19" s="7" t="s">
        <v>8</v>
      </c>
      <c r="I19" s="7" t="s">
        <v>9</v>
      </c>
      <c r="J19" s="11" t="s">
        <v>9</v>
      </c>
      <c r="K19" s="11" t="s">
        <v>9</v>
      </c>
      <c r="L19" s="7" t="s">
        <v>9</v>
      </c>
      <c r="M19" s="11" t="s">
        <v>9</v>
      </c>
      <c r="N19" s="11" t="s">
        <v>9</v>
      </c>
      <c r="O19" s="11" t="s">
        <v>9</v>
      </c>
      <c r="P19" s="7" t="s">
        <v>9</v>
      </c>
      <c r="Q19" s="8" t="s">
        <v>9</v>
      </c>
      <c r="R19" s="7" t="s">
        <v>9</v>
      </c>
      <c r="S19" s="7" t="s">
        <v>9</v>
      </c>
      <c r="T19" s="12" t="s">
        <v>9</v>
      </c>
      <c r="U19" s="7"/>
      <c r="V19" s="7"/>
    </row>
    <row r="20" spans="1:22" x14ac:dyDescent="0.25">
      <c r="A20" s="19" t="str">
        <f t="shared" si="0"/>
        <v>FALTA</v>
      </c>
      <c r="B20" s="20" t="s">
        <v>3</v>
      </c>
      <c r="C20" s="17" t="s">
        <v>1333</v>
      </c>
      <c r="D20" s="18"/>
      <c r="E20" s="18"/>
      <c r="F20" s="7" t="s">
        <v>8</v>
      </c>
      <c r="G20" s="7" t="s">
        <v>8</v>
      </c>
      <c r="H20" s="7" t="s">
        <v>8</v>
      </c>
      <c r="I20" s="7" t="s">
        <v>9</v>
      </c>
      <c r="J20" s="11" t="s">
        <v>9</v>
      </c>
      <c r="K20" s="11" t="s">
        <v>9</v>
      </c>
      <c r="L20" s="7" t="s">
        <v>9</v>
      </c>
      <c r="M20" s="11" t="s">
        <v>9</v>
      </c>
      <c r="N20" s="11" t="s">
        <v>9</v>
      </c>
      <c r="O20" s="11" t="s">
        <v>9</v>
      </c>
      <c r="P20" s="7" t="s">
        <v>9</v>
      </c>
      <c r="Q20" s="8" t="s">
        <v>9</v>
      </c>
      <c r="R20" s="7" t="s">
        <v>9</v>
      </c>
      <c r="S20" s="7" t="s">
        <v>9</v>
      </c>
      <c r="T20" s="12" t="s">
        <v>9</v>
      </c>
      <c r="U20" s="7"/>
      <c r="V20" s="7"/>
    </row>
    <row r="21" spans="1:22" x14ac:dyDescent="0.25">
      <c r="A21" s="19" t="str">
        <f t="shared" si="0"/>
        <v>FALTA</v>
      </c>
      <c r="B21" s="20" t="s">
        <v>3</v>
      </c>
      <c r="C21" s="17" t="s">
        <v>1333</v>
      </c>
      <c r="D21" s="18"/>
      <c r="E21" s="18"/>
      <c r="F21" s="7" t="s">
        <v>8</v>
      </c>
      <c r="G21" s="7" t="s">
        <v>8</v>
      </c>
      <c r="H21" s="7" t="s">
        <v>8</v>
      </c>
      <c r="I21" s="7" t="s">
        <v>9</v>
      </c>
      <c r="J21" s="11" t="s">
        <v>9</v>
      </c>
      <c r="K21" s="11" t="s">
        <v>9</v>
      </c>
      <c r="L21" s="7" t="s">
        <v>9</v>
      </c>
      <c r="M21" s="11" t="s">
        <v>9</v>
      </c>
      <c r="N21" s="11" t="s">
        <v>9</v>
      </c>
      <c r="O21" s="11" t="s">
        <v>9</v>
      </c>
      <c r="P21" s="7" t="s">
        <v>9</v>
      </c>
      <c r="Q21" s="8" t="s">
        <v>9</v>
      </c>
      <c r="R21" s="7" t="s">
        <v>9</v>
      </c>
      <c r="S21" s="7" t="s">
        <v>9</v>
      </c>
      <c r="T21" s="12" t="s">
        <v>9</v>
      </c>
      <c r="U21" s="7"/>
      <c r="V21" s="7"/>
    </row>
    <row r="22" spans="1:22" x14ac:dyDescent="0.25">
      <c r="A22" s="19" t="str">
        <f t="shared" si="0"/>
        <v>FALTA</v>
      </c>
      <c r="B22" s="20" t="s">
        <v>3</v>
      </c>
      <c r="C22" s="17" t="s">
        <v>1333</v>
      </c>
      <c r="D22" s="18"/>
      <c r="E22" s="18"/>
      <c r="F22" s="7" t="s">
        <v>8</v>
      </c>
      <c r="G22" s="7" t="s">
        <v>8</v>
      </c>
      <c r="H22" s="7" t="s">
        <v>8</v>
      </c>
      <c r="I22" s="7" t="s">
        <v>9</v>
      </c>
      <c r="J22" s="11" t="s">
        <v>9</v>
      </c>
      <c r="K22" s="11" t="s">
        <v>9</v>
      </c>
      <c r="L22" s="7" t="s">
        <v>9</v>
      </c>
      <c r="M22" s="11" t="s">
        <v>9</v>
      </c>
      <c r="N22" s="11" t="s">
        <v>9</v>
      </c>
      <c r="O22" s="11" t="s">
        <v>9</v>
      </c>
      <c r="P22" s="7" t="s">
        <v>9</v>
      </c>
      <c r="Q22" s="8" t="s">
        <v>9</v>
      </c>
      <c r="R22" s="7" t="s">
        <v>9</v>
      </c>
      <c r="S22" s="7" t="s">
        <v>9</v>
      </c>
      <c r="T22" s="12" t="s">
        <v>9</v>
      </c>
      <c r="U22" s="7"/>
      <c r="V22" s="7"/>
    </row>
    <row r="23" spans="1:22" x14ac:dyDescent="0.25">
      <c r="A23" s="19" t="str">
        <f t="shared" si="0"/>
        <v>FALTA</v>
      </c>
      <c r="B23" s="20" t="s">
        <v>3</v>
      </c>
      <c r="C23" s="17" t="s">
        <v>1333</v>
      </c>
      <c r="D23" s="18"/>
      <c r="E23" s="18"/>
      <c r="F23" s="7" t="s">
        <v>8</v>
      </c>
      <c r="G23" s="7" t="s">
        <v>8</v>
      </c>
      <c r="H23" s="7" t="s">
        <v>8</v>
      </c>
      <c r="I23" s="7" t="s">
        <v>9</v>
      </c>
      <c r="J23" s="11" t="s">
        <v>9</v>
      </c>
      <c r="K23" s="11" t="s">
        <v>9</v>
      </c>
      <c r="L23" s="7" t="s">
        <v>9</v>
      </c>
      <c r="M23" s="11" t="s">
        <v>9</v>
      </c>
      <c r="N23" s="11" t="s">
        <v>9</v>
      </c>
      <c r="O23" s="11" t="s">
        <v>9</v>
      </c>
      <c r="P23" s="7" t="s">
        <v>9</v>
      </c>
      <c r="Q23" s="8" t="s">
        <v>9</v>
      </c>
      <c r="R23" s="7" t="s">
        <v>9</v>
      </c>
      <c r="S23" s="7" t="s">
        <v>9</v>
      </c>
      <c r="T23" s="12" t="s">
        <v>9</v>
      </c>
      <c r="U23" s="7"/>
      <c r="V23" s="7"/>
    </row>
    <row r="24" spans="1:22" x14ac:dyDescent="0.25">
      <c r="A24" s="19" t="str">
        <f t="shared" si="0"/>
        <v>FALTA</v>
      </c>
      <c r="B24" s="20" t="s">
        <v>3</v>
      </c>
      <c r="C24" s="17" t="s">
        <v>1333</v>
      </c>
      <c r="D24" s="18"/>
      <c r="E24" s="18"/>
      <c r="F24" s="7" t="s">
        <v>8</v>
      </c>
      <c r="G24" s="7" t="s">
        <v>8</v>
      </c>
      <c r="H24" s="7" t="s">
        <v>8</v>
      </c>
      <c r="I24" s="7" t="s">
        <v>9</v>
      </c>
      <c r="J24" s="11" t="s">
        <v>9</v>
      </c>
      <c r="K24" s="11" t="s">
        <v>9</v>
      </c>
      <c r="L24" s="7" t="s">
        <v>9</v>
      </c>
      <c r="M24" s="11" t="s">
        <v>9</v>
      </c>
      <c r="N24" s="11" t="s">
        <v>9</v>
      </c>
      <c r="O24" s="11" t="s">
        <v>9</v>
      </c>
      <c r="P24" s="7" t="s">
        <v>9</v>
      </c>
      <c r="Q24" s="8" t="s">
        <v>9</v>
      </c>
      <c r="R24" s="7" t="s">
        <v>9</v>
      </c>
      <c r="S24" s="7" t="s">
        <v>9</v>
      </c>
      <c r="T24" s="12" t="s">
        <v>9</v>
      </c>
      <c r="U24" s="7"/>
      <c r="V24" s="7"/>
    </row>
    <row r="25" spans="1:22" x14ac:dyDescent="0.25">
      <c r="A25" s="19" t="str">
        <f t="shared" si="0"/>
        <v>FALTA</v>
      </c>
      <c r="B25" s="20" t="s">
        <v>3</v>
      </c>
      <c r="C25" s="17" t="s">
        <v>1333</v>
      </c>
      <c r="D25" s="18"/>
      <c r="E25" s="18"/>
      <c r="F25" s="7" t="s">
        <v>8</v>
      </c>
      <c r="G25" s="7" t="s">
        <v>8</v>
      </c>
      <c r="H25" s="7" t="s">
        <v>8</v>
      </c>
      <c r="I25" s="7" t="s">
        <v>9</v>
      </c>
      <c r="J25" s="11" t="s">
        <v>9</v>
      </c>
      <c r="K25" s="11" t="s">
        <v>9</v>
      </c>
      <c r="L25" s="7" t="s">
        <v>9</v>
      </c>
      <c r="M25" s="11" t="s">
        <v>9</v>
      </c>
      <c r="N25" s="11" t="s">
        <v>9</v>
      </c>
      <c r="O25" s="11" t="s">
        <v>9</v>
      </c>
      <c r="P25" s="7" t="s">
        <v>9</v>
      </c>
      <c r="Q25" s="8" t="s">
        <v>9</v>
      </c>
      <c r="R25" s="7" t="s">
        <v>9</v>
      </c>
      <c r="S25" s="7" t="s">
        <v>9</v>
      </c>
      <c r="T25" s="12" t="s">
        <v>9</v>
      </c>
      <c r="U25" s="7"/>
      <c r="V25" s="7"/>
    </row>
    <row r="26" spans="1:22" x14ac:dyDescent="0.25">
      <c r="A26" s="19" t="str">
        <f t="shared" si="0"/>
        <v>FALTA</v>
      </c>
      <c r="B26" s="20" t="s">
        <v>3</v>
      </c>
      <c r="C26" s="17" t="s">
        <v>1333</v>
      </c>
      <c r="D26" s="18"/>
      <c r="E26" s="18"/>
      <c r="F26" s="7" t="s">
        <v>8</v>
      </c>
      <c r="G26" s="7" t="s">
        <v>8</v>
      </c>
      <c r="H26" s="7" t="s">
        <v>8</v>
      </c>
      <c r="I26" s="7" t="s">
        <v>9</v>
      </c>
      <c r="J26" s="11" t="s">
        <v>9</v>
      </c>
      <c r="K26" s="11" t="s">
        <v>9</v>
      </c>
      <c r="L26" s="7" t="s">
        <v>9</v>
      </c>
      <c r="M26" s="11" t="s">
        <v>9</v>
      </c>
      <c r="N26" s="11" t="s">
        <v>9</v>
      </c>
      <c r="O26" s="11" t="s">
        <v>9</v>
      </c>
      <c r="P26" s="7" t="s">
        <v>9</v>
      </c>
      <c r="Q26" s="8" t="s">
        <v>9</v>
      </c>
      <c r="R26" s="7" t="s">
        <v>9</v>
      </c>
      <c r="S26" s="7" t="s">
        <v>9</v>
      </c>
      <c r="T26" s="12" t="s">
        <v>9</v>
      </c>
      <c r="U26" s="7"/>
      <c r="V26" s="7"/>
    </row>
    <row r="27" spans="1:22" x14ac:dyDescent="0.25">
      <c r="A27" s="19" t="str">
        <f t="shared" si="0"/>
        <v>FALTA</v>
      </c>
      <c r="B27" s="20" t="s">
        <v>3</v>
      </c>
      <c r="C27" s="17" t="s">
        <v>1333</v>
      </c>
      <c r="D27" s="18"/>
      <c r="E27" s="18"/>
      <c r="F27" s="7" t="s">
        <v>8</v>
      </c>
      <c r="G27" s="7" t="s">
        <v>8</v>
      </c>
      <c r="H27" s="7" t="s">
        <v>8</v>
      </c>
      <c r="I27" s="7" t="s">
        <v>9</v>
      </c>
      <c r="J27" s="11" t="s">
        <v>9</v>
      </c>
      <c r="K27" s="11" t="s">
        <v>9</v>
      </c>
      <c r="L27" s="7" t="s">
        <v>9</v>
      </c>
      <c r="M27" s="11" t="s">
        <v>9</v>
      </c>
      <c r="N27" s="11" t="s">
        <v>9</v>
      </c>
      <c r="O27" s="11" t="s">
        <v>9</v>
      </c>
      <c r="P27" s="7" t="s">
        <v>9</v>
      </c>
      <c r="Q27" s="8" t="s">
        <v>9</v>
      </c>
      <c r="R27" s="7" t="s">
        <v>9</v>
      </c>
      <c r="S27" s="7" t="s">
        <v>9</v>
      </c>
      <c r="T27" s="12" t="s">
        <v>9</v>
      </c>
      <c r="U27" s="7"/>
      <c r="V27" s="7"/>
    </row>
    <row r="28" spans="1:22" x14ac:dyDescent="0.25">
      <c r="A28" s="19" t="str">
        <f t="shared" si="0"/>
        <v>FALTA</v>
      </c>
      <c r="B28" s="20" t="s">
        <v>3</v>
      </c>
      <c r="C28" s="17" t="s">
        <v>1333</v>
      </c>
      <c r="D28" s="18"/>
      <c r="E28" s="18"/>
      <c r="F28" s="7" t="s">
        <v>8</v>
      </c>
      <c r="G28" s="7" t="s">
        <v>8</v>
      </c>
      <c r="H28" s="7" t="s">
        <v>8</v>
      </c>
      <c r="I28" s="7" t="s">
        <v>9</v>
      </c>
      <c r="J28" s="11" t="s">
        <v>9</v>
      </c>
      <c r="K28" s="11" t="s">
        <v>9</v>
      </c>
      <c r="L28" s="7" t="s">
        <v>9</v>
      </c>
      <c r="M28" s="11" t="s">
        <v>9</v>
      </c>
      <c r="N28" s="11" t="s">
        <v>9</v>
      </c>
      <c r="O28" s="11" t="s">
        <v>9</v>
      </c>
      <c r="P28" s="7" t="s">
        <v>9</v>
      </c>
      <c r="Q28" s="8" t="s">
        <v>9</v>
      </c>
      <c r="R28" s="7" t="s">
        <v>9</v>
      </c>
      <c r="S28" s="7" t="s">
        <v>9</v>
      </c>
      <c r="T28" s="12" t="s">
        <v>9</v>
      </c>
      <c r="U28" s="7"/>
      <c r="V28" s="7"/>
    </row>
    <row r="29" spans="1:22" x14ac:dyDescent="0.25">
      <c r="A29" s="19" t="str">
        <f t="shared" si="0"/>
        <v>FALTA</v>
      </c>
      <c r="B29" s="20" t="s">
        <v>3</v>
      </c>
      <c r="C29" s="17" t="s">
        <v>1333</v>
      </c>
      <c r="D29" s="18"/>
      <c r="E29" s="18"/>
      <c r="F29" s="7" t="s">
        <v>8</v>
      </c>
      <c r="G29" s="7" t="s">
        <v>8</v>
      </c>
      <c r="H29" s="7" t="s">
        <v>8</v>
      </c>
      <c r="I29" s="7" t="s">
        <v>9</v>
      </c>
      <c r="J29" s="11" t="s">
        <v>9</v>
      </c>
      <c r="K29" s="11" t="s">
        <v>9</v>
      </c>
      <c r="L29" s="7" t="s">
        <v>9</v>
      </c>
      <c r="M29" s="11" t="s">
        <v>9</v>
      </c>
      <c r="N29" s="11" t="s">
        <v>9</v>
      </c>
      <c r="O29" s="11" t="s">
        <v>9</v>
      </c>
      <c r="P29" s="7" t="s">
        <v>9</v>
      </c>
      <c r="Q29" s="8" t="s">
        <v>9</v>
      </c>
      <c r="R29" s="7" t="s">
        <v>9</v>
      </c>
      <c r="S29" s="7" t="s">
        <v>9</v>
      </c>
      <c r="T29" s="12" t="s">
        <v>9</v>
      </c>
      <c r="U29" s="7"/>
      <c r="V29" s="7"/>
    </row>
    <row r="30" spans="1:22" x14ac:dyDescent="0.25">
      <c r="A30" s="19" t="str">
        <f t="shared" si="0"/>
        <v>FALTA</v>
      </c>
      <c r="B30" s="20" t="s">
        <v>3</v>
      </c>
      <c r="C30" s="17" t="s">
        <v>1333</v>
      </c>
      <c r="D30" s="18"/>
      <c r="E30" s="18"/>
      <c r="F30" s="7" t="s">
        <v>8</v>
      </c>
      <c r="G30" s="7" t="s">
        <v>8</v>
      </c>
      <c r="H30" s="7" t="s">
        <v>8</v>
      </c>
      <c r="I30" s="7" t="s">
        <v>9</v>
      </c>
      <c r="J30" s="11" t="s">
        <v>9</v>
      </c>
      <c r="K30" s="11" t="s">
        <v>9</v>
      </c>
      <c r="L30" s="7" t="s">
        <v>9</v>
      </c>
      <c r="M30" s="11" t="s">
        <v>9</v>
      </c>
      <c r="N30" s="11" t="s">
        <v>9</v>
      </c>
      <c r="O30" s="11" t="s">
        <v>9</v>
      </c>
      <c r="P30" s="7" t="s">
        <v>9</v>
      </c>
      <c r="Q30" s="8" t="s">
        <v>9</v>
      </c>
      <c r="R30" s="7" t="s">
        <v>9</v>
      </c>
      <c r="S30" s="7" t="s">
        <v>9</v>
      </c>
      <c r="T30" s="12" t="s">
        <v>9</v>
      </c>
      <c r="U30" s="7"/>
      <c r="V30" s="7"/>
    </row>
    <row r="31" spans="1:22" x14ac:dyDescent="0.25">
      <c r="A31" s="19" t="str">
        <f t="shared" si="0"/>
        <v>FALTA</v>
      </c>
      <c r="B31" s="20" t="s">
        <v>3</v>
      </c>
      <c r="C31" s="17" t="s">
        <v>1333</v>
      </c>
      <c r="D31" s="18"/>
      <c r="E31" s="18"/>
      <c r="F31" s="7" t="s">
        <v>8</v>
      </c>
      <c r="G31" s="7" t="s">
        <v>8</v>
      </c>
      <c r="H31" s="7" t="s">
        <v>8</v>
      </c>
      <c r="I31" s="7" t="s">
        <v>9</v>
      </c>
      <c r="J31" s="11" t="s">
        <v>9</v>
      </c>
      <c r="K31" s="11" t="s">
        <v>9</v>
      </c>
      <c r="L31" s="7" t="s">
        <v>9</v>
      </c>
      <c r="M31" s="11" t="s">
        <v>9</v>
      </c>
      <c r="N31" s="11" t="s">
        <v>9</v>
      </c>
      <c r="O31" s="11" t="s">
        <v>9</v>
      </c>
      <c r="P31" s="7" t="s">
        <v>9</v>
      </c>
      <c r="Q31" s="8" t="s">
        <v>9</v>
      </c>
      <c r="R31" s="7" t="s">
        <v>9</v>
      </c>
      <c r="S31" s="7" t="s">
        <v>9</v>
      </c>
      <c r="T31" s="12" t="s">
        <v>9</v>
      </c>
      <c r="U31" s="7"/>
      <c r="V31" s="7"/>
    </row>
    <row r="32" spans="1:22" x14ac:dyDescent="0.25">
      <c r="A32" s="19" t="str">
        <f t="shared" si="0"/>
        <v>FALTA</v>
      </c>
      <c r="B32" s="20" t="s">
        <v>3</v>
      </c>
      <c r="C32" s="17" t="s">
        <v>1333</v>
      </c>
      <c r="D32" s="18"/>
      <c r="E32" s="18"/>
      <c r="F32" s="7" t="s">
        <v>8</v>
      </c>
      <c r="G32" s="7" t="s">
        <v>8</v>
      </c>
      <c r="H32" s="7" t="s">
        <v>8</v>
      </c>
      <c r="I32" s="7" t="s">
        <v>9</v>
      </c>
      <c r="J32" s="11" t="s">
        <v>9</v>
      </c>
      <c r="K32" s="11" t="s">
        <v>9</v>
      </c>
      <c r="L32" s="7" t="s">
        <v>9</v>
      </c>
      <c r="M32" s="11" t="s">
        <v>9</v>
      </c>
      <c r="N32" s="11" t="s">
        <v>9</v>
      </c>
      <c r="O32" s="11" t="s">
        <v>9</v>
      </c>
      <c r="P32" s="7" t="s">
        <v>9</v>
      </c>
      <c r="Q32" s="8" t="s">
        <v>9</v>
      </c>
      <c r="R32" s="7" t="s">
        <v>9</v>
      </c>
      <c r="S32" s="7" t="s">
        <v>9</v>
      </c>
      <c r="T32" s="12" t="s">
        <v>9</v>
      </c>
      <c r="U32" s="7"/>
      <c r="V32" s="7"/>
    </row>
    <row r="33" spans="1:22" x14ac:dyDescent="0.25">
      <c r="A33" s="19" t="str">
        <f t="shared" si="0"/>
        <v>FALTA</v>
      </c>
      <c r="B33" s="20" t="s">
        <v>3</v>
      </c>
      <c r="C33" s="17" t="s">
        <v>1333</v>
      </c>
      <c r="D33" s="18"/>
      <c r="E33" s="18"/>
      <c r="F33" s="7" t="s">
        <v>8</v>
      </c>
      <c r="G33" s="7" t="s">
        <v>8</v>
      </c>
      <c r="H33" s="7" t="s">
        <v>8</v>
      </c>
      <c r="I33" s="7" t="s">
        <v>9</v>
      </c>
      <c r="J33" s="11" t="s">
        <v>9</v>
      </c>
      <c r="K33" s="11" t="s">
        <v>9</v>
      </c>
      <c r="L33" s="7" t="s">
        <v>9</v>
      </c>
      <c r="M33" s="11" t="s">
        <v>9</v>
      </c>
      <c r="N33" s="11" t="s">
        <v>9</v>
      </c>
      <c r="O33" s="11" t="s">
        <v>9</v>
      </c>
      <c r="P33" s="7" t="s">
        <v>9</v>
      </c>
      <c r="Q33" s="8" t="s">
        <v>9</v>
      </c>
      <c r="R33" s="7" t="s">
        <v>9</v>
      </c>
      <c r="S33" s="7" t="s">
        <v>9</v>
      </c>
      <c r="T33" s="12" t="s">
        <v>9</v>
      </c>
      <c r="U33" s="7"/>
      <c r="V33" s="7"/>
    </row>
    <row r="34" spans="1:22" x14ac:dyDescent="0.25">
      <c r="A34" s="19" t="str">
        <f t="shared" si="0"/>
        <v>FALTA</v>
      </c>
      <c r="B34" s="20" t="s">
        <v>3</v>
      </c>
      <c r="C34" s="17" t="s">
        <v>1333</v>
      </c>
      <c r="D34" s="18"/>
      <c r="E34" s="18"/>
      <c r="F34" s="7" t="s">
        <v>8</v>
      </c>
      <c r="G34" s="7" t="s">
        <v>8</v>
      </c>
      <c r="H34" s="7" t="s">
        <v>8</v>
      </c>
      <c r="I34" s="7" t="s">
        <v>9</v>
      </c>
      <c r="J34" s="11" t="s">
        <v>9</v>
      </c>
      <c r="K34" s="11" t="s">
        <v>9</v>
      </c>
      <c r="L34" s="7" t="s">
        <v>9</v>
      </c>
      <c r="M34" s="11" t="s">
        <v>9</v>
      </c>
      <c r="N34" s="11" t="s">
        <v>9</v>
      </c>
      <c r="O34" s="11" t="s">
        <v>9</v>
      </c>
      <c r="P34" s="7" t="s">
        <v>9</v>
      </c>
      <c r="Q34" s="8" t="s">
        <v>9</v>
      </c>
      <c r="R34" s="7" t="s">
        <v>9</v>
      </c>
      <c r="S34" s="7" t="s">
        <v>9</v>
      </c>
      <c r="T34" s="12" t="s">
        <v>9</v>
      </c>
      <c r="U34" s="7"/>
      <c r="V34" s="7"/>
    </row>
    <row r="35" spans="1:22" x14ac:dyDescent="0.25">
      <c r="A35" s="19" t="str">
        <f t="shared" si="0"/>
        <v>FALTA</v>
      </c>
      <c r="B35" s="20" t="s">
        <v>3</v>
      </c>
      <c r="C35" s="17" t="s">
        <v>1333</v>
      </c>
      <c r="D35" s="18"/>
      <c r="E35" s="18"/>
      <c r="F35" s="7" t="s">
        <v>8</v>
      </c>
      <c r="G35" s="7" t="s">
        <v>8</v>
      </c>
      <c r="H35" s="7" t="s">
        <v>8</v>
      </c>
      <c r="I35" s="7" t="s">
        <v>9</v>
      </c>
      <c r="J35" s="11" t="s">
        <v>9</v>
      </c>
      <c r="K35" s="11" t="s">
        <v>9</v>
      </c>
      <c r="L35" s="7" t="s">
        <v>9</v>
      </c>
      <c r="M35" s="11" t="s">
        <v>9</v>
      </c>
      <c r="N35" s="11" t="s">
        <v>9</v>
      </c>
      <c r="O35" s="11" t="s">
        <v>9</v>
      </c>
      <c r="P35" s="7" t="s">
        <v>9</v>
      </c>
      <c r="Q35" s="8" t="s">
        <v>9</v>
      </c>
      <c r="R35" s="7" t="s">
        <v>9</v>
      </c>
      <c r="S35" s="7" t="s">
        <v>9</v>
      </c>
      <c r="T35" s="12" t="s">
        <v>9</v>
      </c>
      <c r="U35" s="7"/>
      <c r="V35" s="7"/>
    </row>
    <row r="36" spans="1:22" x14ac:dyDescent="0.25">
      <c r="A36" s="19" t="str">
        <f t="shared" si="0"/>
        <v>FALTA</v>
      </c>
      <c r="B36" s="20" t="s">
        <v>3</v>
      </c>
      <c r="C36" s="17" t="s">
        <v>1333</v>
      </c>
      <c r="D36" s="18"/>
      <c r="E36" s="18"/>
      <c r="F36" s="7" t="s">
        <v>8</v>
      </c>
      <c r="G36" s="7" t="s">
        <v>8</v>
      </c>
      <c r="H36" s="7" t="s">
        <v>8</v>
      </c>
      <c r="I36" s="7" t="s">
        <v>9</v>
      </c>
      <c r="J36" s="11" t="s">
        <v>9</v>
      </c>
      <c r="K36" s="11" t="s">
        <v>9</v>
      </c>
      <c r="L36" s="7" t="s">
        <v>9</v>
      </c>
      <c r="M36" s="11" t="s">
        <v>9</v>
      </c>
      <c r="N36" s="11" t="s">
        <v>9</v>
      </c>
      <c r="O36" s="11" t="s">
        <v>9</v>
      </c>
      <c r="P36" s="7" t="s">
        <v>9</v>
      </c>
      <c r="Q36" s="8" t="s">
        <v>9</v>
      </c>
      <c r="R36" s="7" t="s">
        <v>9</v>
      </c>
      <c r="S36" s="7" t="s">
        <v>9</v>
      </c>
      <c r="T36" s="12" t="s">
        <v>9</v>
      </c>
      <c r="U36" s="7"/>
      <c r="V36" s="7"/>
    </row>
    <row r="37" spans="1:22" x14ac:dyDescent="0.25">
      <c r="A37" s="19" t="str">
        <f t="shared" si="0"/>
        <v>FALTA</v>
      </c>
      <c r="B37" s="20" t="s">
        <v>3</v>
      </c>
      <c r="C37" s="17" t="s">
        <v>1333</v>
      </c>
      <c r="D37" s="18"/>
      <c r="E37" s="18"/>
      <c r="F37" s="7" t="s">
        <v>8</v>
      </c>
      <c r="G37" s="7" t="s">
        <v>8</v>
      </c>
      <c r="H37" s="7" t="s">
        <v>8</v>
      </c>
      <c r="I37" s="7" t="s">
        <v>9</v>
      </c>
      <c r="J37" s="11" t="s">
        <v>9</v>
      </c>
      <c r="K37" s="11" t="s">
        <v>9</v>
      </c>
      <c r="L37" s="7" t="s">
        <v>9</v>
      </c>
      <c r="M37" s="11" t="s">
        <v>9</v>
      </c>
      <c r="N37" s="11" t="s">
        <v>9</v>
      </c>
      <c r="O37" s="11" t="s">
        <v>9</v>
      </c>
      <c r="P37" s="7" t="s">
        <v>9</v>
      </c>
      <c r="Q37" s="8" t="s">
        <v>9</v>
      </c>
      <c r="R37" s="7" t="s">
        <v>9</v>
      </c>
      <c r="S37" s="7" t="s">
        <v>9</v>
      </c>
      <c r="T37" s="12" t="s">
        <v>9</v>
      </c>
      <c r="U37" s="7"/>
      <c r="V37" s="7"/>
    </row>
    <row r="38" spans="1:22" x14ac:dyDescent="0.25">
      <c r="A38" s="19" t="str">
        <f t="shared" si="0"/>
        <v>FALTA</v>
      </c>
      <c r="B38" s="20" t="s">
        <v>3</v>
      </c>
      <c r="C38" s="17" t="s">
        <v>1333</v>
      </c>
      <c r="D38" s="18"/>
      <c r="E38" s="18"/>
      <c r="F38" s="7" t="s">
        <v>8</v>
      </c>
      <c r="G38" s="7" t="s">
        <v>8</v>
      </c>
      <c r="H38" s="7" t="s">
        <v>8</v>
      </c>
      <c r="I38" s="7" t="s">
        <v>9</v>
      </c>
      <c r="J38" s="11" t="s">
        <v>9</v>
      </c>
      <c r="K38" s="11" t="s">
        <v>9</v>
      </c>
      <c r="L38" s="7" t="s">
        <v>9</v>
      </c>
      <c r="M38" s="11" t="s">
        <v>9</v>
      </c>
      <c r="N38" s="11" t="s">
        <v>9</v>
      </c>
      <c r="O38" s="11" t="s">
        <v>9</v>
      </c>
      <c r="P38" s="7" t="s">
        <v>9</v>
      </c>
      <c r="Q38" s="8" t="s">
        <v>9</v>
      </c>
      <c r="R38" s="7" t="s">
        <v>9</v>
      </c>
      <c r="S38" s="7" t="s">
        <v>9</v>
      </c>
      <c r="T38" s="12" t="s">
        <v>9</v>
      </c>
      <c r="U38" s="7"/>
      <c r="V38" s="7"/>
    </row>
    <row r="39" spans="1:22" x14ac:dyDescent="0.25">
      <c r="A39" s="19" t="str">
        <f t="shared" si="0"/>
        <v>FALTA</v>
      </c>
      <c r="B39" s="20" t="s">
        <v>3</v>
      </c>
      <c r="C39" s="17" t="s">
        <v>1333</v>
      </c>
      <c r="D39" s="18"/>
      <c r="E39" s="18"/>
      <c r="F39" s="7" t="s">
        <v>8</v>
      </c>
      <c r="G39" s="7" t="s">
        <v>8</v>
      </c>
      <c r="H39" s="7" t="s">
        <v>8</v>
      </c>
      <c r="I39" s="7" t="s">
        <v>9</v>
      </c>
      <c r="J39" s="11" t="s">
        <v>9</v>
      </c>
      <c r="K39" s="11" t="s">
        <v>9</v>
      </c>
      <c r="L39" s="7" t="s">
        <v>9</v>
      </c>
      <c r="M39" s="11" t="s">
        <v>9</v>
      </c>
      <c r="N39" s="11" t="s">
        <v>9</v>
      </c>
      <c r="O39" s="11" t="s">
        <v>9</v>
      </c>
      <c r="P39" s="7" t="s">
        <v>9</v>
      </c>
      <c r="Q39" s="8" t="s">
        <v>9</v>
      </c>
      <c r="R39" s="7" t="s">
        <v>9</v>
      </c>
      <c r="S39" s="7" t="s">
        <v>9</v>
      </c>
      <c r="T39" s="12" t="s">
        <v>9</v>
      </c>
      <c r="U39" s="7"/>
      <c r="V39" s="7"/>
    </row>
    <row r="40" spans="1:22" x14ac:dyDescent="0.25">
      <c r="A40" s="19" t="str">
        <f t="shared" si="0"/>
        <v>FALTA</v>
      </c>
      <c r="B40" s="20" t="s">
        <v>3</v>
      </c>
      <c r="C40" s="17" t="s">
        <v>1333</v>
      </c>
      <c r="D40" s="18"/>
      <c r="E40" s="18"/>
      <c r="F40" s="7" t="s">
        <v>8</v>
      </c>
      <c r="G40" s="7" t="s">
        <v>8</v>
      </c>
      <c r="H40" s="7" t="s">
        <v>8</v>
      </c>
      <c r="I40" s="7" t="s">
        <v>9</v>
      </c>
      <c r="J40" s="11" t="s">
        <v>9</v>
      </c>
      <c r="K40" s="11" t="s">
        <v>9</v>
      </c>
      <c r="L40" s="7" t="s">
        <v>9</v>
      </c>
      <c r="M40" s="11" t="s">
        <v>9</v>
      </c>
      <c r="N40" s="11" t="s">
        <v>9</v>
      </c>
      <c r="O40" s="11" t="s">
        <v>9</v>
      </c>
      <c r="P40" s="7" t="s">
        <v>9</v>
      </c>
      <c r="Q40" s="8" t="s">
        <v>9</v>
      </c>
      <c r="R40" s="7" t="s">
        <v>9</v>
      </c>
      <c r="S40" s="7" t="s">
        <v>9</v>
      </c>
      <c r="T40" s="12" t="s">
        <v>9</v>
      </c>
      <c r="U40" s="7"/>
      <c r="V40" s="7"/>
    </row>
    <row r="41" spans="1:22" x14ac:dyDescent="0.25">
      <c r="A41" s="19" t="str">
        <f t="shared" si="0"/>
        <v>FALTA</v>
      </c>
      <c r="B41" s="20" t="s">
        <v>3</v>
      </c>
      <c r="C41" s="17" t="s">
        <v>1333</v>
      </c>
      <c r="D41" s="18"/>
      <c r="E41" s="18"/>
      <c r="F41" s="7" t="s">
        <v>8</v>
      </c>
      <c r="G41" s="7" t="s">
        <v>8</v>
      </c>
      <c r="H41" s="7" t="s">
        <v>8</v>
      </c>
      <c r="I41" s="7" t="s">
        <v>9</v>
      </c>
      <c r="J41" s="11" t="s">
        <v>9</v>
      </c>
      <c r="K41" s="11" t="s">
        <v>9</v>
      </c>
      <c r="L41" s="7" t="s">
        <v>9</v>
      </c>
      <c r="M41" s="11" t="s">
        <v>9</v>
      </c>
      <c r="N41" s="11" t="s">
        <v>9</v>
      </c>
      <c r="O41" s="11" t="s">
        <v>9</v>
      </c>
      <c r="P41" s="7" t="s">
        <v>9</v>
      </c>
      <c r="Q41" s="8" t="s">
        <v>9</v>
      </c>
      <c r="R41" s="7" t="s">
        <v>9</v>
      </c>
      <c r="S41" s="7" t="s">
        <v>9</v>
      </c>
      <c r="T41" s="12" t="s">
        <v>9</v>
      </c>
      <c r="U41" s="7"/>
      <c r="V41" s="7"/>
    </row>
    <row r="42" spans="1:22" x14ac:dyDescent="0.25">
      <c r="A42" s="19" t="str">
        <f t="shared" si="0"/>
        <v>FALTA</v>
      </c>
      <c r="B42" s="20" t="s">
        <v>3</v>
      </c>
      <c r="C42" s="17" t="s">
        <v>1333</v>
      </c>
      <c r="D42" s="18"/>
      <c r="E42" s="18"/>
      <c r="F42" s="7" t="s">
        <v>8</v>
      </c>
      <c r="G42" s="7" t="s">
        <v>8</v>
      </c>
      <c r="H42" s="7" t="s">
        <v>8</v>
      </c>
      <c r="I42" s="7" t="s">
        <v>9</v>
      </c>
      <c r="J42" s="11" t="s">
        <v>9</v>
      </c>
      <c r="K42" s="11" t="s">
        <v>9</v>
      </c>
      <c r="L42" s="7" t="s">
        <v>9</v>
      </c>
      <c r="M42" s="11" t="s">
        <v>9</v>
      </c>
      <c r="N42" s="11" t="s">
        <v>9</v>
      </c>
      <c r="O42" s="11" t="s">
        <v>9</v>
      </c>
      <c r="P42" s="7" t="s">
        <v>9</v>
      </c>
      <c r="Q42" s="8" t="s">
        <v>9</v>
      </c>
      <c r="R42" s="7" t="s">
        <v>9</v>
      </c>
      <c r="S42" s="7" t="s">
        <v>9</v>
      </c>
      <c r="T42" s="12" t="s">
        <v>9</v>
      </c>
      <c r="U42" s="7"/>
      <c r="V42" s="7"/>
    </row>
    <row r="43" spans="1:22" x14ac:dyDescent="0.25">
      <c r="A43" s="19" t="str">
        <f t="shared" si="0"/>
        <v>FALTA</v>
      </c>
      <c r="B43" s="20" t="s">
        <v>3</v>
      </c>
      <c r="C43" s="17" t="s">
        <v>1333</v>
      </c>
      <c r="D43" s="18"/>
      <c r="E43" s="18"/>
      <c r="F43" s="7" t="s">
        <v>8</v>
      </c>
      <c r="G43" s="7" t="s">
        <v>8</v>
      </c>
      <c r="H43" s="7" t="s">
        <v>8</v>
      </c>
      <c r="I43" s="7" t="s">
        <v>9</v>
      </c>
      <c r="J43" s="11" t="s">
        <v>9</v>
      </c>
      <c r="K43" s="11" t="s">
        <v>9</v>
      </c>
      <c r="L43" s="7" t="s">
        <v>9</v>
      </c>
      <c r="M43" s="11" t="s">
        <v>9</v>
      </c>
      <c r="N43" s="11" t="s">
        <v>9</v>
      </c>
      <c r="O43" s="11" t="s">
        <v>9</v>
      </c>
      <c r="P43" s="7" t="s">
        <v>9</v>
      </c>
      <c r="Q43" s="8" t="s">
        <v>9</v>
      </c>
      <c r="R43" s="7" t="s">
        <v>9</v>
      </c>
      <c r="S43" s="7" t="s">
        <v>9</v>
      </c>
      <c r="T43" s="12" t="s">
        <v>9</v>
      </c>
      <c r="U43" s="7"/>
      <c r="V43" s="7"/>
    </row>
    <row r="44" spans="1:22" x14ac:dyDescent="0.25">
      <c r="A44" s="19" t="str">
        <f t="shared" si="0"/>
        <v>FALTA</v>
      </c>
      <c r="B44" s="20" t="s">
        <v>3</v>
      </c>
      <c r="C44" s="17" t="s">
        <v>1333</v>
      </c>
      <c r="D44" s="18"/>
      <c r="E44" s="18"/>
      <c r="F44" s="7" t="s">
        <v>8</v>
      </c>
      <c r="G44" s="7" t="s">
        <v>8</v>
      </c>
      <c r="H44" s="7" t="s">
        <v>8</v>
      </c>
      <c r="I44" s="7" t="s">
        <v>9</v>
      </c>
      <c r="J44" s="11" t="s">
        <v>9</v>
      </c>
      <c r="K44" s="11" t="s">
        <v>9</v>
      </c>
      <c r="L44" s="7" t="s">
        <v>9</v>
      </c>
      <c r="M44" s="11" t="s">
        <v>9</v>
      </c>
      <c r="N44" s="11" t="s">
        <v>9</v>
      </c>
      <c r="O44" s="11" t="s">
        <v>9</v>
      </c>
      <c r="P44" s="7" t="s">
        <v>9</v>
      </c>
      <c r="Q44" s="8" t="s">
        <v>9</v>
      </c>
      <c r="R44" s="7" t="s">
        <v>9</v>
      </c>
      <c r="S44" s="7" t="s">
        <v>9</v>
      </c>
      <c r="T44" s="12" t="s">
        <v>9</v>
      </c>
      <c r="U44" s="7"/>
      <c r="V44" s="7"/>
    </row>
  </sheetData>
  <sheetProtection selectLockedCells="1" autoFilter="0" selectUnlockedCells="1"/>
  <mergeCells count="21">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 ref="R1:R2"/>
    <mergeCell ref="S1:S2"/>
    <mergeCell ref="T1:T2"/>
    <mergeCell ref="U1:U2"/>
    <mergeCell ref="V1:V2"/>
  </mergeCells>
  <conditionalFormatting sqref="F5:V44 G3:T4">
    <cfRule type="cellIs" dxfId="617" priority="29" operator="equal">
      <formula>"F"</formula>
    </cfRule>
    <cfRule type="cellIs" dxfId="616" priority="30" operator="equal">
      <formula>"OK"</formula>
    </cfRule>
    <cfRule type="cellIs" dxfId="615" priority="31" operator="between">
      <formula>6</formula>
      <formula>18</formula>
    </cfRule>
  </conditionalFormatting>
  <conditionalFormatting sqref="C1:E1 A2:E2 C3:C4 E3:E4 A5:E1048576">
    <cfRule type="expression" dxfId="614" priority="27">
      <formula>$A1="FALTA"</formula>
    </cfRule>
    <cfRule type="expression" dxfId="613" priority="28">
      <formula>$A1="COMPLETO"</formula>
    </cfRule>
  </conditionalFormatting>
  <conditionalFormatting sqref="B3">
    <cfRule type="expression" dxfId="612" priority="19">
      <formula>$A3="FALTA"</formula>
    </cfRule>
    <cfRule type="expression" dxfId="611" priority="20">
      <formula>$A3="COMPLETO"</formula>
    </cfRule>
  </conditionalFormatting>
  <conditionalFormatting sqref="D3:D4">
    <cfRule type="expression" dxfId="610" priority="17">
      <formula>$A3="FALTA"</formula>
    </cfRule>
    <cfRule type="expression" dxfId="609" priority="18">
      <formula>$A3="COMPLETO"</formula>
    </cfRule>
  </conditionalFormatting>
  <conditionalFormatting sqref="F4">
    <cfRule type="cellIs" dxfId="608" priority="14" operator="equal">
      <formula>"F"</formula>
    </cfRule>
    <cfRule type="cellIs" dxfId="607" priority="15" operator="equal">
      <formula>"OK"</formula>
    </cfRule>
    <cfRule type="cellIs" dxfId="606" priority="16" operator="between">
      <formula>6</formula>
      <formula>18</formula>
    </cfRule>
  </conditionalFormatting>
  <conditionalFormatting sqref="A1:B1">
    <cfRule type="expression" dxfId="605" priority="12">
      <formula>$A1="FALTA"</formula>
    </cfRule>
    <cfRule type="expression" dxfId="604" priority="13">
      <formula>$A1="COMPLETO"</formula>
    </cfRule>
  </conditionalFormatting>
  <conditionalFormatting sqref="U3:V3">
    <cfRule type="cellIs" dxfId="603" priority="6" operator="equal">
      <formula>"F"</formula>
    </cfRule>
    <cfRule type="cellIs" dxfId="602" priority="7" operator="equal">
      <formula>"OK"</formula>
    </cfRule>
    <cfRule type="cellIs" dxfId="601" priority="8" operator="between">
      <formula>6</formula>
      <formula>18</formula>
    </cfRule>
  </conditionalFormatting>
  <conditionalFormatting sqref="F3">
    <cfRule type="cellIs" dxfId="600" priority="3" operator="equal">
      <formula>"F"</formula>
    </cfRule>
    <cfRule type="cellIs" dxfId="599" priority="4" operator="equal">
      <formula>"OK"</formula>
    </cfRule>
    <cfRule type="cellIs" dxfId="598" priority="5" operator="between">
      <formula>6</formula>
      <formula>18</formula>
    </cfRule>
  </conditionalFormatting>
  <conditionalFormatting sqref="A3">
    <cfRule type="expression" dxfId="597" priority="1">
      <formula>$A3="FALTA"</formula>
    </cfRule>
    <cfRule type="expression" dxfId="596"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9">
    <tabColor rgb="FF004079"/>
    <outlinePr summaryBelow="0" summaryRight="0"/>
  </sheetPr>
  <dimension ref="A1:V44"/>
  <sheetViews>
    <sheetView zoomScaleNormal="100" workbookViewId="0">
      <pane ySplit="2" topLeftCell="A3" activePane="bottomLeft" state="frozen"/>
      <selection pane="bottomLeft" activeCell="P5" sqref="P5:S44"/>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ZDoña Francisquita 20</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COMPLETO</v>
      </c>
      <c r="B3" s="385" t="s">
        <v>116</v>
      </c>
      <c r="C3" s="23" t="s">
        <v>476</v>
      </c>
      <c r="D3" s="29" t="s">
        <v>5</v>
      </c>
      <c r="E3" s="10" t="s">
        <v>478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1"/>
      <c r="V3" s="381" t="s">
        <v>116</v>
      </c>
    </row>
    <row r="4" spans="1:22" x14ac:dyDescent="0.25">
      <c r="A4" s="384"/>
      <c r="B4" s="386"/>
      <c r="C4" s="23" t="s">
        <v>477</v>
      </c>
      <c r="D4" s="29" t="s">
        <v>6</v>
      </c>
      <c r="E4" s="10" t="s">
        <v>479</v>
      </c>
      <c r="F4" s="30">
        <f>COUNTIF(A5:A44,"*COMPLETO*")/COUNTA(A5:A44)</f>
        <v>1</v>
      </c>
      <c r="G4" s="24"/>
      <c r="H4" s="24" t="s">
        <v>18</v>
      </c>
      <c r="I4" s="11" t="s">
        <v>53</v>
      </c>
      <c r="J4" s="24"/>
      <c r="K4" s="24"/>
      <c r="L4" s="24" t="s">
        <v>23</v>
      </c>
      <c r="M4" s="11" t="s">
        <v>53</v>
      </c>
      <c r="N4" s="24"/>
      <c r="O4" s="24"/>
      <c r="P4" s="11"/>
      <c r="Q4" s="24" t="s">
        <v>26</v>
      </c>
      <c r="R4" s="11" t="s">
        <v>7</v>
      </c>
      <c r="S4" s="24" t="s">
        <v>19</v>
      </c>
      <c r="T4" s="11" t="s">
        <v>53</v>
      </c>
      <c r="U4" s="382"/>
      <c r="V4" s="382"/>
    </row>
    <row r="5" spans="1:22" ht="15" customHeight="1" x14ac:dyDescent="0.25">
      <c r="A5" s="19" t="str">
        <f>IF(COUNTIF(F5:V5,"F")&gt;0,"FALTA","COMPLETO")</f>
        <v>COMPLETO</v>
      </c>
      <c r="B5" s="20" t="s">
        <v>158</v>
      </c>
      <c r="C5" s="17" t="s">
        <v>162</v>
      </c>
      <c r="D5" s="18" t="s">
        <v>529</v>
      </c>
      <c r="E5" s="18" t="s">
        <v>530</v>
      </c>
      <c r="F5" s="7" t="s">
        <v>53</v>
      </c>
      <c r="G5" s="7" t="s">
        <v>53</v>
      </c>
      <c r="H5" s="7" t="s">
        <v>53</v>
      </c>
      <c r="I5" s="7" t="s">
        <v>9</v>
      </c>
      <c r="J5" s="11" t="s">
        <v>9</v>
      </c>
      <c r="K5" s="11" t="s">
        <v>9</v>
      </c>
      <c r="L5" s="7" t="s">
        <v>9</v>
      </c>
      <c r="M5" s="11" t="s">
        <v>9</v>
      </c>
      <c r="N5" s="11" t="s">
        <v>9</v>
      </c>
      <c r="O5" s="11" t="s">
        <v>9</v>
      </c>
      <c r="P5" s="7" t="s">
        <v>9</v>
      </c>
      <c r="Q5" s="8" t="s">
        <v>9</v>
      </c>
      <c r="R5" s="7" t="s">
        <v>9</v>
      </c>
      <c r="S5" s="7" t="s">
        <v>9</v>
      </c>
      <c r="T5" s="12" t="s">
        <v>9</v>
      </c>
      <c r="U5" s="7"/>
      <c r="V5" s="7" t="s">
        <v>116</v>
      </c>
    </row>
    <row r="6" spans="1:22" ht="15" customHeight="1" x14ac:dyDescent="0.25">
      <c r="A6" s="19" t="str">
        <f t="shared" ref="A6:A44" si="0">IF(COUNTIF(F6:V6,"F")&gt;0,"FALTA","COMPLETO")</f>
        <v>COMPLETO</v>
      </c>
      <c r="B6" s="20" t="s">
        <v>160</v>
      </c>
      <c r="C6" s="17" t="s">
        <v>480</v>
      </c>
      <c r="D6" s="18" t="s">
        <v>531</v>
      </c>
      <c r="E6" s="18" t="s">
        <v>532</v>
      </c>
      <c r="F6" s="7" t="s">
        <v>53</v>
      </c>
      <c r="G6" s="7" t="s">
        <v>53</v>
      </c>
      <c r="H6" s="7" t="s">
        <v>53</v>
      </c>
      <c r="I6" s="7" t="s">
        <v>9</v>
      </c>
      <c r="J6" s="11" t="s">
        <v>9</v>
      </c>
      <c r="K6" s="11" t="s">
        <v>9</v>
      </c>
      <c r="L6" s="7" t="s">
        <v>9</v>
      </c>
      <c r="M6" s="11" t="s">
        <v>9</v>
      </c>
      <c r="N6" s="11" t="s">
        <v>9</v>
      </c>
      <c r="O6" s="11" t="s">
        <v>9</v>
      </c>
      <c r="P6" s="7" t="s">
        <v>9</v>
      </c>
      <c r="Q6" s="8" t="s">
        <v>9</v>
      </c>
      <c r="R6" s="7" t="s">
        <v>9</v>
      </c>
      <c r="S6" s="7" t="s">
        <v>9</v>
      </c>
      <c r="T6" s="12" t="s">
        <v>9</v>
      </c>
      <c r="U6" s="7"/>
      <c r="V6" s="7" t="s">
        <v>116</v>
      </c>
    </row>
    <row r="7" spans="1:22" ht="15" customHeight="1" x14ac:dyDescent="0.25">
      <c r="A7" s="19" t="str">
        <f t="shared" si="0"/>
        <v>COMPLETO</v>
      </c>
      <c r="B7" s="20" t="s">
        <v>162</v>
      </c>
      <c r="C7" s="17" t="s">
        <v>481</v>
      </c>
      <c r="D7" s="18" t="s">
        <v>533</v>
      </c>
      <c r="E7" s="18" t="s">
        <v>534</v>
      </c>
      <c r="F7" s="7" t="s">
        <v>53</v>
      </c>
      <c r="G7" s="7" t="s">
        <v>53</v>
      </c>
      <c r="H7" s="7" t="s">
        <v>53</v>
      </c>
      <c r="I7" s="7" t="s">
        <v>53</v>
      </c>
      <c r="J7" s="11" t="s">
        <v>53</v>
      </c>
      <c r="K7" s="11" t="s">
        <v>53</v>
      </c>
      <c r="L7" s="7" t="s">
        <v>9</v>
      </c>
      <c r="M7" s="11" t="s">
        <v>9</v>
      </c>
      <c r="N7" s="11" t="s">
        <v>9</v>
      </c>
      <c r="O7" s="11" t="s">
        <v>9</v>
      </c>
      <c r="P7" s="7" t="s">
        <v>9</v>
      </c>
      <c r="Q7" s="8" t="s">
        <v>9</v>
      </c>
      <c r="R7" s="7" t="s">
        <v>9</v>
      </c>
      <c r="S7" s="7" t="s">
        <v>9</v>
      </c>
      <c r="T7" s="12" t="s">
        <v>9</v>
      </c>
      <c r="U7" s="7"/>
      <c r="V7" s="7" t="s">
        <v>116</v>
      </c>
    </row>
    <row r="8" spans="1:22" x14ac:dyDescent="0.25">
      <c r="A8" s="19" t="str">
        <f t="shared" si="0"/>
        <v>COMPLETO</v>
      </c>
      <c r="B8" s="20" t="s">
        <v>164</v>
      </c>
      <c r="C8" s="17" t="s">
        <v>482</v>
      </c>
      <c r="D8" s="18" t="s">
        <v>535</v>
      </c>
      <c r="E8" s="18" t="s">
        <v>536</v>
      </c>
      <c r="F8" s="7" t="s">
        <v>53</v>
      </c>
      <c r="G8" s="7" t="s">
        <v>53</v>
      </c>
      <c r="H8" s="7" t="s">
        <v>53</v>
      </c>
      <c r="I8" s="7" t="s">
        <v>9</v>
      </c>
      <c r="J8" s="11" t="s">
        <v>9</v>
      </c>
      <c r="K8" s="11" t="s">
        <v>9</v>
      </c>
      <c r="L8" s="7" t="s">
        <v>9</v>
      </c>
      <c r="M8" s="11" t="s">
        <v>9</v>
      </c>
      <c r="N8" s="11" t="s">
        <v>9</v>
      </c>
      <c r="O8" s="11" t="s">
        <v>9</v>
      </c>
      <c r="P8" s="7" t="s">
        <v>9</v>
      </c>
      <c r="Q8" s="8" t="s">
        <v>9</v>
      </c>
      <c r="R8" s="7" t="s">
        <v>9</v>
      </c>
      <c r="S8" s="7" t="s">
        <v>9</v>
      </c>
      <c r="T8" s="12" t="s">
        <v>9</v>
      </c>
      <c r="U8" s="7"/>
      <c r="V8" s="7" t="s">
        <v>116</v>
      </c>
    </row>
    <row r="9" spans="1:22" x14ac:dyDescent="0.25">
      <c r="A9" s="19" t="str">
        <f t="shared" si="0"/>
        <v>COMPLETO</v>
      </c>
      <c r="B9" s="20" t="s">
        <v>166</v>
      </c>
      <c r="C9" s="17" t="s">
        <v>483</v>
      </c>
      <c r="D9" s="18" t="s">
        <v>537</v>
      </c>
      <c r="E9" s="18" t="s">
        <v>538</v>
      </c>
      <c r="F9" s="7" t="s">
        <v>53</v>
      </c>
      <c r="G9" s="7" t="s">
        <v>53</v>
      </c>
      <c r="H9" s="7" t="s">
        <v>53</v>
      </c>
      <c r="I9" s="7" t="s">
        <v>53</v>
      </c>
      <c r="J9" s="11" t="s">
        <v>9</v>
      </c>
      <c r="K9" s="11" t="s">
        <v>9</v>
      </c>
      <c r="L9" s="7" t="s">
        <v>9</v>
      </c>
      <c r="M9" s="11" t="s">
        <v>9</v>
      </c>
      <c r="N9" s="11" t="s">
        <v>9</v>
      </c>
      <c r="O9" s="11" t="s">
        <v>9</v>
      </c>
      <c r="P9" s="7" t="s">
        <v>9</v>
      </c>
      <c r="Q9" s="8" t="s">
        <v>9</v>
      </c>
      <c r="R9" s="7" t="s">
        <v>9</v>
      </c>
      <c r="S9" s="7" t="s">
        <v>9</v>
      </c>
      <c r="T9" s="12" t="s">
        <v>9</v>
      </c>
      <c r="U9" s="7"/>
      <c r="V9" s="7" t="s">
        <v>116</v>
      </c>
    </row>
    <row r="10" spans="1:22" x14ac:dyDescent="0.25">
      <c r="A10" s="19" t="str">
        <f t="shared" si="0"/>
        <v>COMPLETO</v>
      </c>
      <c r="B10" s="20" t="s">
        <v>168</v>
      </c>
      <c r="C10" s="17" t="s">
        <v>484</v>
      </c>
      <c r="D10" s="18" t="s">
        <v>539</v>
      </c>
      <c r="E10" s="18" t="s">
        <v>540</v>
      </c>
      <c r="F10" s="7" t="s">
        <v>53</v>
      </c>
      <c r="G10" s="7" t="s">
        <v>53</v>
      </c>
      <c r="H10" s="7" t="s">
        <v>53</v>
      </c>
      <c r="I10" s="7" t="s">
        <v>9</v>
      </c>
      <c r="J10" s="11" t="s">
        <v>9</v>
      </c>
      <c r="K10" s="11" t="s">
        <v>9</v>
      </c>
      <c r="L10" s="7" t="s">
        <v>9</v>
      </c>
      <c r="M10" s="11" t="s">
        <v>9</v>
      </c>
      <c r="N10" s="11" t="s">
        <v>9</v>
      </c>
      <c r="O10" s="11" t="s">
        <v>9</v>
      </c>
      <c r="P10" s="7" t="s">
        <v>9</v>
      </c>
      <c r="Q10" s="8" t="s">
        <v>9</v>
      </c>
      <c r="R10" s="7" t="s">
        <v>9</v>
      </c>
      <c r="S10" s="7" t="s">
        <v>9</v>
      </c>
      <c r="T10" s="12" t="s">
        <v>9</v>
      </c>
      <c r="U10" s="7"/>
      <c r="V10" s="7" t="s">
        <v>116</v>
      </c>
    </row>
    <row r="11" spans="1:22" x14ac:dyDescent="0.25">
      <c r="A11" s="19" t="str">
        <f t="shared" si="0"/>
        <v>COMPLETO</v>
      </c>
      <c r="B11" s="20" t="s">
        <v>170</v>
      </c>
      <c r="C11" s="17" t="s">
        <v>485</v>
      </c>
      <c r="D11" s="18" t="s">
        <v>541</v>
      </c>
      <c r="E11" s="18" t="s">
        <v>542</v>
      </c>
      <c r="F11" s="7" t="s">
        <v>53</v>
      </c>
      <c r="G11" s="7" t="s">
        <v>53</v>
      </c>
      <c r="H11" s="7" t="s">
        <v>53</v>
      </c>
      <c r="I11" s="7" t="s">
        <v>53</v>
      </c>
      <c r="J11" s="11" t="s">
        <v>53</v>
      </c>
      <c r="K11" s="11" t="s">
        <v>53</v>
      </c>
      <c r="L11" s="7" t="s">
        <v>9</v>
      </c>
      <c r="M11" s="11" t="s">
        <v>9</v>
      </c>
      <c r="N11" s="11" t="s">
        <v>9</v>
      </c>
      <c r="O11" s="11" t="s">
        <v>9</v>
      </c>
      <c r="P11" s="7" t="s">
        <v>9</v>
      </c>
      <c r="Q11" s="8" t="s">
        <v>9</v>
      </c>
      <c r="R11" s="7" t="s">
        <v>9</v>
      </c>
      <c r="S11" s="7" t="s">
        <v>9</v>
      </c>
      <c r="T11" s="12" t="s">
        <v>9</v>
      </c>
      <c r="U11" s="7"/>
      <c r="V11" s="7" t="s">
        <v>116</v>
      </c>
    </row>
    <row r="12" spans="1:22" x14ac:dyDescent="0.25">
      <c r="A12" s="19" t="str">
        <f t="shared" si="0"/>
        <v>COMPLETO</v>
      </c>
      <c r="B12" s="20" t="s">
        <v>172</v>
      </c>
      <c r="C12" s="17" t="s">
        <v>486</v>
      </c>
      <c r="D12" s="18" t="s">
        <v>543</v>
      </c>
      <c r="E12" s="18" t="s">
        <v>544</v>
      </c>
      <c r="F12" s="7" t="s">
        <v>53</v>
      </c>
      <c r="G12" s="7" t="s">
        <v>53</v>
      </c>
      <c r="H12" s="7" t="s">
        <v>53</v>
      </c>
      <c r="I12" s="7" t="s">
        <v>53</v>
      </c>
      <c r="J12" s="11" t="s">
        <v>9</v>
      </c>
      <c r="K12" s="11" t="s">
        <v>9</v>
      </c>
      <c r="L12" s="7" t="s">
        <v>9</v>
      </c>
      <c r="M12" s="11" t="s">
        <v>9</v>
      </c>
      <c r="N12" s="11" t="s">
        <v>9</v>
      </c>
      <c r="O12" s="11" t="s">
        <v>9</v>
      </c>
      <c r="P12" s="7" t="s">
        <v>9</v>
      </c>
      <c r="Q12" s="8" t="s">
        <v>9</v>
      </c>
      <c r="R12" s="7" t="s">
        <v>9</v>
      </c>
      <c r="S12" s="7" t="s">
        <v>9</v>
      </c>
      <c r="T12" s="12" t="s">
        <v>9</v>
      </c>
      <c r="U12" s="7"/>
      <c r="V12" s="7" t="s">
        <v>116</v>
      </c>
    </row>
    <row r="13" spans="1:22" x14ac:dyDescent="0.25">
      <c r="A13" s="19" t="str">
        <f t="shared" si="0"/>
        <v>COMPLETO</v>
      </c>
      <c r="B13" s="20" t="s">
        <v>174</v>
      </c>
      <c r="C13" s="17" t="s">
        <v>487</v>
      </c>
      <c r="D13" s="18" t="s">
        <v>545</v>
      </c>
      <c r="E13" s="18" t="s">
        <v>546</v>
      </c>
      <c r="F13" s="7" t="s">
        <v>53</v>
      </c>
      <c r="G13" s="7" t="s">
        <v>53</v>
      </c>
      <c r="H13" s="7" t="s">
        <v>53</v>
      </c>
      <c r="I13" s="7" t="s">
        <v>9</v>
      </c>
      <c r="J13" s="11" t="s">
        <v>9</v>
      </c>
      <c r="K13" s="11" t="s">
        <v>9</v>
      </c>
      <c r="L13" s="7" t="s">
        <v>9</v>
      </c>
      <c r="M13" s="11" t="s">
        <v>9</v>
      </c>
      <c r="N13" s="11" t="s">
        <v>9</v>
      </c>
      <c r="O13" s="11" t="s">
        <v>9</v>
      </c>
      <c r="P13" s="7" t="s">
        <v>9</v>
      </c>
      <c r="Q13" s="8" t="s">
        <v>9</v>
      </c>
      <c r="R13" s="7" t="s">
        <v>9</v>
      </c>
      <c r="S13" s="7" t="s">
        <v>9</v>
      </c>
      <c r="T13" s="12" t="s">
        <v>9</v>
      </c>
      <c r="U13" s="7"/>
      <c r="V13" s="7" t="s">
        <v>116</v>
      </c>
    </row>
    <row r="14" spans="1:22" x14ac:dyDescent="0.25">
      <c r="A14" s="19" t="str">
        <f t="shared" si="0"/>
        <v>COMPLETO</v>
      </c>
      <c r="B14" s="20" t="s">
        <v>175</v>
      </c>
      <c r="C14" s="17" t="s">
        <v>488</v>
      </c>
      <c r="D14" s="18" t="s">
        <v>547</v>
      </c>
      <c r="E14" s="18" t="s">
        <v>548</v>
      </c>
      <c r="F14" s="7" t="s">
        <v>53</v>
      </c>
      <c r="G14" s="7" t="s">
        <v>53</v>
      </c>
      <c r="H14" s="7" t="s">
        <v>53</v>
      </c>
      <c r="I14" s="7" t="s">
        <v>53</v>
      </c>
      <c r="J14" s="11" t="s">
        <v>9</v>
      </c>
      <c r="K14" s="11" t="s">
        <v>9</v>
      </c>
      <c r="L14" s="7" t="s">
        <v>9</v>
      </c>
      <c r="M14" s="11" t="s">
        <v>9</v>
      </c>
      <c r="N14" s="11" t="s">
        <v>9</v>
      </c>
      <c r="O14" s="11" t="s">
        <v>9</v>
      </c>
      <c r="P14" s="7" t="s">
        <v>9</v>
      </c>
      <c r="Q14" s="8" t="s">
        <v>9</v>
      </c>
      <c r="R14" s="7" t="s">
        <v>9</v>
      </c>
      <c r="S14" s="7" t="s">
        <v>9</v>
      </c>
      <c r="T14" s="12" t="s">
        <v>9</v>
      </c>
      <c r="U14" s="7"/>
      <c r="V14" s="7" t="s">
        <v>116</v>
      </c>
    </row>
    <row r="15" spans="1:22" x14ac:dyDescent="0.25">
      <c r="A15" s="19" t="str">
        <f t="shared" si="0"/>
        <v>COMPLETO</v>
      </c>
      <c r="B15" s="20" t="s">
        <v>177</v>
      </c>
      <c r="C15" s="17" t="s">
        <v>489</v>
      </c>
      <c r="D15" s="18" t="s">
        <v>549</v>
      </c>
      <c r="E15" s="18" t="s">
        <v>550</v>
      </c>
      <c r="F15" s="7" t="s">
        <v>53</v>
      </c>
      <c r="G15" s="7" t="s">
        <v>53</v>
      </c>
      <c r="H15" s="7" t="s">
        <v>53</v>
      </c>
      <c r="I15" s="7" t="s">
        <v>53</v>
      </c>
      <c r="J15" s="11" t="s">
        <v>9</v>
      </c>
      <c r="K15" s="11" t="s">
        <v>9</v>
      </c>
      <c r="L15" s="7" t="s">
        <v>9</v>
      </c>
      <c r="M15" s="11" t="s">
        <v>9</v>
      </c>
      <c r="N15" s="11" t="s">
        <v>9</v>
      </c>
      <c r="O15" s="11" t="s">
        <v>9</v>
      </c>
      <c r="P15" s="7" t="s">
        <v>9</v>
      </c>
      <c r="Q15" s="8" t="s">
        <v>9</v>
      </c>
      <c r="R15" s="7" t="s">
        <v>9</v>
      </c>
      <c r="S15" s="7" t="s">
        <v>9</v>
      </c>
      <c r="T15" s="12" t="s">
        <v>9</v>
      </c>
      <c r="U15" s="7"/>
      <c r="V15" s="7" t="s">
        <v>116</v>
      </c>
    </row>
    <row r="16" spans="1:22" x14ac:dyDescent="0.25">
      <c r="A16" s="19" t="str">
        <f t="shared" si="0"/>
        <v>COMPLETO</v>
      </c>
      <c r="B16" s="20" t="s">
        <v>179</v>
      </c>
      <c r="C16" s="17" t="s">
        <v>490</v>
      </c>
      <c r="D16" s="18" t="s">
        <v>551</v>
      </c>
      <c r="E16" s="18" t="s">
        <v>552</v>
      </c>
      <c r="F16" s="7" t="s">
        <v>53</v>
      </c>
      <c r="G16" s="7" t="s">
        <v>53</v>
      </c>
      <c r="H16" s="7" t="s">
        <v>53</v>
      </c>
      <c r="I16" s="7" t="s">
        <v>9</v>
      </c>
      <c r="J16" s="11" t="s">
        <v>9</v>
      </c>
      <c r="K16" s="11" t="s">
        <v>9</v>
      </c>
      <c r="L16" s="7" t="s">
        <v>9</v>
      </c>
      <c r="M16" s="11" t="s">
        <v>9</v>
      </c>
      <c r="N16" s="11" t="s">
        <v>9</v>
      </c>
      <c r="O16" s="11" t="s">
        <v>9</v>
      </c>
      <c r="P16" s="7" t="s">
        <v>9</v>
      </c>
      <c r="Q16" s="8" t="s">
        <v>9</v>
      </c>
      <c r="R16" s="7" t="s">
        <v>9</v>
      </c>
      <c r="S16" s="7" t="s">
        <v>9</v>
      </c>
      <c r="T16" s="12" t="s">
        <v>9</v>
      </c>
      <c r="U16" s="7"/>
      <c r="V16" s="7" t="s">
        <v>116</v>
      </c>
    </row>
    <row r="17" spans="1:22" x14ac:dyDescent="0.25">
      <c r="A17" s="19" t="str">
        <f t="shared" si="0"/>
        <v>COMPLETO</v>
      </c>
      <c r="B17" s="20" t="s">
        <v>181</v>
      </c>
      <c r="C17" s="17" t="s">
        <v>491</v>
      </c>
      <c r="D17" s="18" t="s">
        <v>553</v>
      </c>
      <c r="E17" s="18" t="s">
        <v>554</v>
      </c>
      <c r="F17" s="7" t="s">
        <v>53</v>
      </c>
      <c r="G17" s="7" t="s">
        <v>53</v>
      </c>
      <c r="H17" s="7" t="s">
        <v>53</v>
      </c>
      <c r="I17" s="7" t="s">
        <v>53</v>
      </c>
      <c r="J17" s="11" t="s">
        <v>53</v>
      </c>
      <c r="K17" s="11" t="s">
        <v>53</v>
      </c>
      <c r="L17" s="7" t="s">
        <v>9</v>
      </c>
      <c r="M17" s="11" t="s">
        <v>9</v>
      </c>
      <c r="N17" s="11" t="s">
        <v>9</v>
      </c>
      <c r="O17" s="11" t="s">
        <v>9</v>
      </c>
      <c r="P17" s="7" t="s">
        <v>9</v>
      </c>
      <c r="Q17" s="8" t="s">
        <v>9</v>
      </c>
      <c r="R17" s="7" t="s">
        <v>9</v>
      </c>
      <c r="S17" s="7" t="s">
        <v>9</v>
      </c>
      <c r="T17" s="12" t="s">
        <v>9</v>
      </c>
      <c r="U17" s="7"/>
      <c r="V17" s="7" t="s">
        <v>116</v>
      </c>
    </row>
    <row r="18" spans="1:22" x14ac:dyDescent="0.25">
      <c r="A18" s="19" t="str">
        <f t="shared" si="0"/>
        <v>COMPLETO</v>
      </c>
      <c r="B18" s="20" t="s">
        <v>183</v>
      </c>
      <c r="C18" s="17" t="s">
        <v>492</v>
      </c>
      <c r="D18" s="18" t="s">
        <v>555</v>
      </c>
      <c r="E18" s="18" t="s">
        <v>556</v>
      </c>
      <c r="F18" s="7" t="s">
        <v>53</v>
      </c>
      <c r="G18" s="7" t="s">
        <v>53</v>
      </c>
      <c r="H18" s="7" t="s">
        <v>53</v>
      </c>
      <c r="I18" s="7" t="s">
        <v>53</v>
      </c>
      <c r="J18" s="11" t="s">
        <v>9</v>
      </c>
      <c r="K18" s="11" t="s">
        <v>9</v>
      </c>
      <c r="L18" s="7" t="s">
        <v>9</v>
      </c>
      <c r="M18" s="11" t="s">
        <v>9</v>
      </c>
      <c r="N18" s="11" t="s">
        <v>9</v>
      </c>
      <c r="O18" s="11" t="s">
        <v>9</v>
      </c>
      <c r="P18" s="7" t="s">
        <v>9</v>
      </c>
      <c r="Q18" s="8" t="s">
        <v>9</v>
      </c>
      <c r="R18" s="7" t="s">
        <v>9</v>
      </c>
      <c r="S18" s="7" t="s">
        <v>9</v>
      </c>
      <c r="T18" s="12" t="s">
        <v>9</v>
      </c>
      <c r="U18" s="7"/>
      <c r="V18" s="7" t="s">
        <v>116</v>
      </c>
    </row>
    <row r="19" spans="1:22" x14ac:dyDescent="0.25">
      <c r="A19" s="19" t="str">
        <f t="shared" si="0"/>
        <v>COMPLETO</v>
      </c>
      <c r="B19" s="20" t="s">
        <v>185</v>
      </c>
      <c r="C19" s="17" t="s">
        <v>493</v>
      </c>
      <c r="D19" s="18" t="s">
        <v>557</v>
      </c>
      <c r="E19" s="18" t="s">
        <v>558</v>
      </c>
      <c r="F19" s="7" t="s">
        <v>53</v>
      </c>
      <c r="G19" s="7" t="s">
        <v>53</v>
      </c>
      <c r="H19" s="7" t="s">
        <v>53</v>
      </c>
      <c r="I19" s="7" t="s">
        <v>53</v>
      </c>
      <c r="J19" s="11" t="s">
        <v>9</v>
      </c>
      <c r="K19" s="11" t="s">
        <v>9</v>
      </c>
      <c r="L19" s="7" t="s">
        <v>9</v>
      </c>
      <c r="M19" s="11" t="s">
        <v>9</v>
      </c>
      <c r="N19" s="11" t="s">
        <v>9</v>
      </c>
      <c r="O19" s="11" t="s">
        <v>9</v>
      </c>
      <c r="P19" s="7" t="s">
        <v>9</v>
      </c>
      <c r="Q19" s="8" t="s">
        <v>9</v>
      </c>
      <c r="R19" s="7" t="s">
        <v>9</v>
      </c>
      <c r="S19" s="7" t="s">
        <v>9</v>
      </c>
      <c r="T19" s="12" t="s">
        <v>9</v>
      </c>
      <c r="U19" s="7"/>
      <c r="V19" s="7" t="s">
        <v>116</v>
      </c>
    </row>
    <row r="20" spans="1:22" x14ac:dyDescent="0.25">
      <c r="A20" s="19" t="str">
        <f t="shared" si="0"/>
        <v>COMPLETO</v>
      </c>
      <c r="B20" s="20" t="s">
        <v>187</v>
      </c>
      <c r="C20" s="17" t="s">
        <v>477</v>
      </c>
      <c r="D20" s="18" t="s">
        <v>559</v>
      </c>
      <c r="E20" s="18" t="s">
        <v>560</v>
      </c>
      <c r="F20" s="7" t="s">
        <v>53</v>
      </c>
      <c r="G20" s="7" t="s">
        <v>53</v>
      </c>
      <c r="H20" s="7" t="s">
        <v>53</v>
      </c>
      <c r="I20" s="7" t="s">
        <v>53</v>
      </c>
      <c r="J20" s="11" t="s">
        <v>9</v>
      </c>
      <c r="K20" s="11" t="s">
        <v>9</v>
      </c>
      <c r="L20" s="7" t="s">
        <v>9</v>
      </c>
      <c r="M20" s="11" t="s">
        <v>9</v>
      </c>
      <c r="N20" s="11" t="s">
        <v>9</v>
      </c>
      <c r="O20" s="11" t="s">
        <v>9</v>
      </c>
      <c r="P20" s="7" t="s">
        <v>9</v>
      </c>
      <c r="Q20" s="8" t="s">
        <v>9</v>
      </c>
      <c r="R20" s="7" t="s">
        <v>9</v>
      </c>
      <c r="S20" s="7" t="s">
        <v>9</v>
      </c>
      <c r="T20" s="12" t="s">
        <v>9</v>
      </c>
      <c r="U20" s="7"/>
      <c r="V20" s="7" t="s">
        <v>116</v>
      </c>
    </row>
    <row r="21" spans="1:22" x14ac:dyDescent="0.25">
      <c r="A21" s="19" t="str">
        <f t="shared" si="0"/>
        <v>COMPLETO</v>
      </c>
      <c r="B21" s="20" t="s">
        <v>337</v>
      </c>
      <c r="C21" s="17" t="s">
        <v>494</v>
      </c>
      <c r="D21" s="18" t="s">
        <v>561</v>
      </c>
      <c r="E21" s="18" t="s">
        <v>562</v>
      </c>
      <c r="F21" s="7" t="s">
        <v>53</v>
      </c>
      <c r="G21" s="7" t="s">
        <v>53</v>
      </c>
      <c r="H21" s="7" t="s">
        <v>53</v>
      </c>
      <c r="I21" s="7" t="s">
        <v>9</v>
      </c>
      <c r="J21" s="11" t="s">
        <v>53</v>
      </c>
      <c r="K21" s="11" t="s">
        <v>53</v>
      </c>
      <c r="L21" s="7" t="s">
        <v>9</v>
      </c>
      <c r="M21" s="11" t="s">
        <v>9</v>
      </c>
      <c r="N21" s="11" t="s">
        <v>9</v>
      </c>
      <c r="O21" s="11" t="s">
        <v>9</v>
      </c>
      <c r="P21" s="7" t="s">
        <v>9</v>
      </c>
      <c r="Q21" s="8" t="s">
        <v>9</v>
      </c>
      <c r="R21" s="7" t="s">
        <v>9</v>
      </c>
      <c r="S21" s="7" t="s">
        <v>9</v>
      </c>
      <c r="T21" s="12" t="s">
        <v>9</v>
      </c>
      <c r="U21" s="7"/>
      <c r="V21" s="7" t="s">
        <v>116</v>
      </c>
    </row>
    <row r="22" spans="1:22" x14ac:dyDescent="0.25">
      <c r="A22" s="19" t="str">
        <f t="shared" si="0"/>
        <v>COMPLETO</v>
      </c>
      <c r="B22" s="20" t="s">
        <v>339</v>
      </c>
      <c r="C22" s="17" t="s">
        <v>495</v>
      </c>
      <c r="D22" s="18" t="s">
        <v>563</v>
      </c>
      <c r="E22" s="18" t="s">
        <v>564</v>
      </c>
      <c r="F22" s="7" t="s">
        <v>53</v>
      </c>
      <c r="G22" s="7" t="s">
        <v>53</v>
      </c>
      <c r="H22" s="7" t="s">
        <v>53</v>
      </c>
      <c r="I22" s="7" t="s">
        <v>9</v>
      </c>
      <c r="J22" s="11" t="s">
        <v>9</v>
      </c>
      <c r="K22" s="11" t="s">
        <v>9</v>
      </c>
      <c r="L22" s="7" t="s">
        <v>9</v>
      </c>
      <c r="M22" s="11" t="s">
        <v>9</v>
      </c>
      <c r="N22" s="11" t="s">
        <v>9</v>
      </c>
      <c r="O22" s="11" t="s">
        <v>9</v>
      </c>
      <c r="P22" s="7" t="s">
        <v>9</v>
      </c>
      <c r="Q22" s="8" t="s">
        <v>9</v>
      </c>
      <c r="R22" s="7" t="s">
        <v>9</v>
      </c>
      <c r="S22" s="7" t="s">
        <v>9</v>
      </c>
      <c r="T22" s="12" t="s">
        <v>9</v>
      </c>
      <c r="U22" s="7"/>
      <c r="V22" s="7" t="s">
        <v>116</v>
      </c>
    </row>
    <row r="23" spans="1:22" x14ac:dyDescent="0.25">
      <c r="A23" s="19" t="str">
        <f t="shared" si="0"/>
        <v>COMPLETO</v>
      </c>
      <c r="B23" s="20" t="s">
        <v>341</v>
      </c>
      <c r="C23" s="17" t="s">
        <v>496</v>
      </c>
      <c r="D23" s="18" t="s">
        <v>565</v>
      </c>
      <c r="E23" s="18" t="s">
        <v>566</v>
      </c>
      <c r="F23" s="7" t="s">
        <v>53</v>
      </c>
      <c r="G23" s="7" t="s">
        <v>53</v>
      </c>
      <c r="H23" s="7" t="s">
        <v>53</v>
      </c>
      <c r="I23" s="7" t="s">
        <v>9</v>
      </c>
      <c r="J23" s="11" t="s">
        <v>9</v>
      </c>
      <c r="K23" s="11" t="s">
        <v>9</v>
      </c>
      <c r="L23" s="7" t="s">
        <v>9</v>
      </c>
      <c r="M23" s="11" t="s">
        <v>9</v>
      </c>
      <c r="N23" s="11" t="s">
        <v>9</v>
      </c>
      <c r="O23" s="11" t="s">
        <v>9</v>
      </c>
      <c r="P23" s="7" t="s">
        <v>9</v>
      </c>
      <c r="Q23" s="8" t="s">
        <v>9</v>
      </c>
      <c r="R23" s="7" t="s">
        <v>9</v>
      </c>
      <c r="S23" s="7" t="s">
        <v>9</v>
      </c>
      <c r="T23" s="12" t="s">
        <v>9</v>
      </c>
      <c r="U23" s="7"/>
      <c r="V23" s="7" t="s">
        <v>116</v>
      </c>
    </row>
    <row r="24" spans="1:22" x14ac:dyDescent="0.25">
      <c r="A24" s="19" t="str">
        <f t="shared" si="0"/>
        <v>COMPLETO</v>
      </c>
      <c r="B24" s="20" t="s">
        <v>343</v>
      </c>
      <c r="C24" s="17" t="s">
        <v>497</v>
      </c>
      <c r="D24" s="18" t="s">
        <v>567</v>
      </c>
      <c r="E24" s="18" t="s">
        <v>568</v>
      </c>
      <c r="F24" s="7" t="s">
        <v>53</v>
      </c>
      <c r="G24" s="7" t="s">
        <v>53</v>
      </c>
      <c r="H24" s="7" t="s">
        <v>53</v>
      </c>
      <c r="I24" s="7" t="s">
        <v>53</v>
      </c>
      <c r="J24" s="11" t="s">
        <v>9</v>
      </c>
      <c r="K24" s="11" t="s">
        <v>9</v>
      </c>
      <c r="L24" s="7" t="s">
        <v>9</v>
      </c>
      <c r="M24" s="11" t="s">
        <v>9</v>
      </c>
      <c r="N24" s="11" t="s">
        <v>9</v>
      </c>
      <c r="O24" s="11" t="s">
        <v>9</v>
      </c>
      <c r="P24" s="7" t="s">
        <v>9</v>
      </c>
      <c r="Q24" s="8" t="s">
        <v>9</v>
      </c>
      <c r="R24" s="7" t="s">
        <v>9</v>
      </c>
      <c r="S24" s="7" t="s">
        <v>9</v>
      </c>
      <c r="T24" s="12" t="s">
        <v>9</v>
      </c>
      <c r="U24" s="7"/>
      <c r="V24" s="7" t="s">
        <v>116</v>
      </c>
    </row>
    <row r="25" spans="1:22" x14ac:dyDescent="0.25">
      <c r="A25" s="19" t="str">
        <f t="shared" si="0"/>
        <v>COMPLETO</v>
      </c>
      <c r="B25" s="20" t="s">
        <v>345</v>
      </c>
      <c r="C25" s="17" t="s">
        <v>498</v>
      </c>
      <c r="D25" s="18" t="s">
        <v>569</v>
      </c>
      <c r="E25" s="18" t="s">
        <v>570</v>
      </c>
      <c r="F25" s="7" t="s">
        <v>53</v>
      </c>
      <c r="G25" s="7" t="s">
        <v>53</v>
      </c>
      <c r="H25" s="7" t="s">
        <v>53</v>
      </c>
      <c r="I25" s="7" t="s">
        <v>53</v>
      </c>
      <c r="J25" s="11" t="s">
        <v>9</v>
      </c>
      <c r="K25" s="11" t="s">
        <v>9</v>
      </c>
      <c r="L25" s="7" t="s">
        <v>9</v>
      </c>
      <c r="M25" s="11" t="s">
        <v>9</v>
      </c>
      <c r="N25" s="11" t="s">
        <v>9</v>
      </c>
      <c r="O25" s="11" t="s">
        <v>9</v>
      </c>
      <c r="P25" s="7" t="s">
        <v>9</v>
      </c>
      <c r="Q25" s="8" t="s">
        <v>9</v>
      </c>
      <c r="R25" s="7" t="s">
        <v>9</v>
      </c>
      <c r="S25" s="7" t="s">
        <v>9</v>
      </c>
      <c r="T25" s="12" t="s">
        <v>9</v>
      </c>
      <c r="U25" s="7"/>
      <c r="V25" s="7" t="s">
        <v>116</v>
      </c>
    </row>
    <row r="26" spans="1:22" x14ac:dyDescent="0.25">
      <c r="A26" s="19" t="str">
        <f t="shared" si="0"/>
        <v>COMPLETO</v>
      </c>
      <c r="B26" s="20" t="s">
        <v>347</v>
      </c>
      <c r="C26" s="17" t="s">
        <v>343</v>
      </c>
      <c r="D26" s="18" t="s">
        <v>571</v>
      </c>
      <c r="E26" s="18" t="s">
        <v>572</v>
      </c>
      <c r="F26" s="7" t="s">
        <v>53</v>
      </c>
      <c r="G26" s="7" t="s">
        <v>53</v>
      </c>
      <c r="H26" s="7" t="s">
        <v>53</v>
      </c>
      <c r="I26" s="7" t="s">
        <v>53</v>
      </c>
      <c r="J26" s="11" t="s">
        <v>9</v>
      </c>
      <c r="K26" s="11" t="s">
        <v>9</v>
      </c>
      <c r="L26" s="7" t="s">
        <v>9</v>
      </c>
      <c r="M26" s="11" t="s">
        <v>9</v>
      </c>
      <c r="N26" s="11" t="s">
        <v>9</v>
      </c>
      <c r="O26" s="11" t="s">
        <v>9</v>
      </c>
      <c r="P26" s="7" t="s">
        <v>9</v>
      </c>
      <c r="Q26" s="8" t="s">
        <v>9</v>
      </c>
      <c r="R26" s="7" t="s">
        <v>9</v>
      </c>
      <c r="S26" s="7" t="s">
        <v>9</v>
      </c>
      <c r="T26" s="12" t="s">
        <v>9</v>
      </c>
      <c r="U26" s="7"/>
      <c r="V26" s="7" t="s">
        <v>116</v>
      </c>
    </row>
    <row r="27" spans="1:22" x14ac:dyDescent="0.25">
      <c r="A27" s="19" t="str">
        <f t="shared" si="0"/>
        <v>COMPLETO</v>
      </c>
      <c r="B27" s="20" t="s">
        <v>349</v>
      </c>
      <c r="C27" s="17" t="s">
        <v>499</v>
      </c>
      <c r="D27" s="18" t="s">
        <v>573</v>
      </c>
      <c r="E27" s="18" t="s">
        <v>574</v>
      </c>
      <c r="F27" s="7" t="s">
        <v>53</v>
      </c>
      <c r="G27" s="7" t="s">
        <v>53</v>
      </c>
      <c r="H27" s="7" t="s">
        <v>53</v>
      </c>
      <c r="I27" s="7" t="s">
        <v>9</v>
      </c>
      <c r="J27" s="11" t="s">
        <v>9</v>
      </c>
      <c r="K27" s="11" t="s">
        <v>9</v>
      </c>
      <c r="L27" s="7" t="s">
        <v>9</v>
      </c>
      <c r="M27" s="11" t="s">
        <v>9</v>
      </c>
      <c r="N27" s="11" t="s">
        <v>9</v>
      </c>
      <c r="O27" s="11" t="s">
        <v>9</v>
      </c>
      <c r="P27" s="7" t="s">
        <v>9</v>
      </c>
      <c r="Q27" s="8" t="s">
        <v>9</v>
      </c>
      <c r="R27" s="7" t="s">
        <v>9</v>
      </c>
      <c r="S27" s="7" t="s">
        <v>9</v>
      </c>
      <c r="T27" s="12" t="s">
        <v>9</v>
      </c>
      <c r="U27" s="7"/>
      <c r="V27" s="7" t="s">
        <v>116</v>
      </c>
    </row>
    <row r="28" spans="1:22" x14ac:dyDescent="0.25">
      <c r="A28" s="19" t="str">
        <f t="shared" si="0"/>
        <v>COMPLETO</v>
      </c>
      <c r="B28" s="20" t="s">
        <v>351</v>
      </c>
      <c r="C28" s="17" t="s">
        <v>500</v>
      </c>
      <c r="D28" s="18" t="s">
        <v>575</v>
      </c>
      <c r="E28" s="18" t="s">
        <v>576</v>
      </c>
      <c r="F28" s="7" t="s">
        <v>53</v>
      </c>
      <c r="G28" s="7" t="s">
        <v>53</v>
      </c>
      <c r="H28" s="7" t="s">
        <v>53</v>
      </c>
      <c r="I28" s="7" t="s">
        <v>9</v>
      </c>
      <c r="J28" s="11" t="s">
        <v>9</v>
      </c>
      <c r="K28" s="11" t="s">
        <v>9</v>
      </c>
      <c r="L28" s="7" t="s">
        <v>9</v>
      </c>
      <c r="M28" s="11" t="s">
        <v>9</v>
      </c>
      <c r="N28" s="11" t="s">
        <v>9</v>
      </c>
      <c r="O28" s="11" t="s">
        <v>9</v>
      </c>
      <c r="P28" s="7" t="s">
        <v>9</v>
      </c>
      <c r="Q28" s="8" t="s">
        <v>9</v>
      </c>
      <c r="R28" s="7" t="s">
        <v>9</v>
      </c>
      <c r="S28" s="7" t="s">
        <v>9</v>
      </c>
      <c r="T28" s="12" t="s">
        <v>9</v>
      </c>
      <c r="U28" s="7"/>
      <c r="V28" s="7" t="s">
        <v>116</v>
      </c>
    </row>
    <row r="29" spans="1:22" x14ac:dyDescent="0.25">
      <c r="A29" s="19" t="str">
        <f t="shared" si="0"/>
        <v>COMPLETO</v>
      </c>
      <c r="B29" s="20" t="s">
        <v>353</v>
      </c>
      <c r="C29" s="17" t="s">
        <v>501</v>
      </c>
      <c r="D29" s="18" t="s">
        <v>577</v>
      </c>
      <c r="E29" s="18" t="s">
        <v>578</v>
      </c>
      <c r="F29" s="7" t="s">
        <v>53</v>
      </c>
      <c r="G29" s="7" t="s">
        <v>53</v>
      </c>
      <c r="H29" s="7" t="s">
        <v>53</v>
      </c>
      <c r="I29" s="7" t="s">
        <v>9</v>
      </c>
      <c r="J29" s="11" t="s">
        <v>9</v>
      </c>
      <c r="K29" s="11" t="s">
        <v>9</v>
      </c>
      <c r="L29" s="7" t="s">
        <v>9</v>
      </c>
      <c r="M29" s="11" t="s">
        <v>9</v>
      </c>
      <c r="N29" s="11" t="s">
        <v>9</v>
      </c>
      <c r="O29" s="11" t="s">
        <v>9</v>
      </c>
      <c r="P29" s="7" t="s">
        <v>9</v>
      </c>
      <c r="Q29" s="8" t="s">
        <v>9</v>
      </c>
      <c r="R29" s="7" t="s">
        <v>9</v>
      </c>
      <c r="S29" s="7" t="s">
        <v>9</v>
      </c>
      <c r="T29" s="12" t="s">
        <v>9</v>
      </c>
      <c r="U29" s="7"/>
      <c r="V29" s="7" t="s">
        <v>116</v>
      </c>
    </row>
    <row r="30" spans="1:22" x14ac:dyDescent="0.25">
      <c r="A30" s="19" t="str">
        <f t="shared" si="0"/>
        <v>COMPLETO</v>
      </c>
      <c r="B30" s="20" t="s">
        <v>354</v>
      </c>
      <c r="C30" s="17" t="s">
        <v>502</v>
      </c>
      <c r="D30" s="18" t="s">
        <v>579</v>
      </c>
      <c r="E30" s="18" t="s">
        <v>580</v>
      </c>
      <c r="F30" s="7" t="s">
        <v>53</v>
      </c>
      <c r="G30" s="7" t="s">
        <v>53</v>
      </c>
      <c r="H30" s="7" t="s">
        <v>53</v>
      </c>
      <c r="I30" s="7" t="s">
        <v>53</v>
      </c>
      <c r="J30" s="11" t="s">
        <v>9</v>
      </c>
      <c r="K30" s="11" t="s">
        <v>9</v>
      </c>
      <c r="L30" s="7" t="s">
        <v>9</v>
      </c>
      <c r="M30" s="11" t="s">
        <v>9</v>
      </c>
      <c r="N30" s="11" t="s">
        <v>9</v>
      </c>
      <c r="O30" s="11" t="s">
        <v>9</v>
      </c>
      <c r="P30" s="7" t="s">
        <v>9</v>
      </c>
      <c r="Q30" s="8" t="s">
        <v>9</v>
      </c>
      <c r="R30" s="7" t="s">
        <v>9</v>
      </c>
      <c r="S30" s="7" t="s">
        <v>9</v>
      </c>
      <c r="T30" s="12" t="s">
        <v>9</v>
      </c>
      <c r="U30" s="7"/>
      <c r="V30" s="7" t="s">
        <v>116</v>
      </c>
    </row>
    <row r="31" spans="1:22" x14ac:dyDescent="0.25">
      <c r="A31" s="19" t="str">
        <f t="shared" si="0"/>
        <v>COMPLETO</v>
      </c>
      <c r="B31" s="20" t="s">
        <v>356</v>
      </c>
      <c r="C31" s="17" t="s">
        <v>503</v>
      </c>
      <c r="D31" s="18" t="s">
        <v>581</v>
      </c>
      <c r="E31" s="18" t="s">
        <v>582</v>
      </c>
      <c r="F31" s="7" t="s">
        <v>53</v>
      </c>
      <c r="G31" s="7" t="s">
        <v>53</v>
      </c>
      <c r="H31" s="7" t="s">
        <v>53</v>
      </c>
      <c r="I31" s="7" t="s">
        <v>53</v>
      </c>
      <c r="J31" s="11" t="s">
        <v>9</v>
      </c>
      <c r="K31" s="11" t="s">
        <v>9</v>
      </c>
      <c r="L31" s="7" t="s">
        <v>9</v>
      </c>
      <c r="M31" s="11" t="s">
        <v>9</v>
      </c>
      <c r="N31" s="11" t="s">
        <v>9</v>
      </c>
      <c r="O31" s="11" t="s">
        <v>9</v>
      </c>
      <c r="P31" s="7" t="s">
        <v>9</v>
      </c>
      <c r="Q31" s="8" t="s">
        <v>9</v>
      </c>
      <c r="R31" s="7" t="s">
        <v>9</v>
      </c>
      <c r="S31" s="7" t="s">
        <v>9</v>
      </c>
      <c r="T31" s="12" t="s">
        <v>9</v>
      </c>
      <c r="U31" s="7"/>
      <c r="V31" s="7" t="s">
        <v>116</v>
      </c>
    </row>
    <row r="32" spans="1:22" x14ac:dyDescent="0.25">
      <c r="A32" s="19" t="str">
        <f t="shared" si="0"/>
        <v>COMPLETO</v>
      </c>
      <c r="B32" s="20" t="s">
        <v>358</v>
      </c>
      <c r="C32" s="17" t="s">
        <v>504</v>
      </c>
      <c r="D32" s="18" t="s">
        <v>583</v>
      </c>
      <c r="E32" s="18" t="s">
        <v>584</v>
      </c>
      <c r="F32" s="7" t="s">
        <v>53</v>
      </c>
      <c r="G32" s="7" t="s">
        <v>53</v>
      </c>
      <c r="H32" s="7" t="s">
        <v>53</v>
      </c>
      <c r="I32" s="7" t="s">
        <v>9</v>
      </c>
      <c r="J32" s="11" t="s">
        <v>9</v>
      </c>
      <c r="K32" s="11" t="s">
        <v>9</v>
      </c>
      <c r="L32" s="7" t="s">
        <v>9</v>
      </c>
      <c r="M32" s="11" t="s">
        <v>9</v>
      </c>
      <c r="N32" s="11" t="s">
        <v>9</v>
      </c>
      <c r="O32" s="11" t="s">
        <v>9</v>
      </c>
      <c r="P32" s="7" t="s">
        <v>9</v>
      </c>
      <c r="Q32" s="8" t="s">
        <v>9</v>
      </c>
      <c r="R32" s="7" t="s">
        <v>9</v>
      </c>
      <c r="S32" s="7" t="s">
        <v>9</v>
      </c>
      <c r="T32" s="12" t="s">
        <v>9</v>
      </c>
      <c r="U32" s="7"/>
      <c r="V32" s="7" t="s">
        <v>116</v>
      </c>
    </row>
    <row r="33" spans="1:22" x14ac:dyDescent="0.25">
      <c r="A33" s="19" t="str">
        <f t="shared" si="0"/>
        <v>COMPLETO</v>
      </c>
      <c r="B33" s="20" t="s">
        <v>505</v>
      </c>
      <c r="C33" s="17" t="s">
        <v>506</v>
      </c>
      <c r="D33" s="18" t="s">
        <v>585</v>
      </c>
      <c r="E33" s="18" t="s">
        <v>586</v>
      </c>
      <c r="F33" s="7" t="s">
        <v>53</v>
      </c>
      <c r="G33" s="7" t="s">
        <v>53</v>
      </c>
      <c r="H33" s="7" t="s">
        <v>53</v>
      </c>
      <c r="I33" s="7" t="s">
        <v>53</v>
      </c>
      <c r="J33" s="11" t="s">
        <v>9</v>
      </c>
      <c r="K33" s="11" t="s">
        <v>9</v>
      </c>
      <c r="L33" s="7" t="s">
        <v>9</v>
      </c>
      <c r="M33" s="11" t="s">
        <v>9</v>
      </c>
      <c r="N33" s="11" t="s">
        <v>9</v>
      </c>
      <c r="O33" s="11" t="s">
        <v>9</v>
      </c>
      <c r="P33" s="7" t="s">
        <v>9</v>
      </c>
      <c r="Q33" s="8" t="s">
        <v>9</v>
      </c>
      <c r="R33" s="7" t="s">
        <v>9</v>
      </c>
      <c r="S33" s="7" t="s">
        <v>9</v>
      </c>
      <c r="T33" s="12" t="s">
        <v>9</v>
      </c>
      <c r="U33" s="7"/>
      <c r="V33" s="7" t="s">
        <v>116</v>
      </c>
    </row>
    <row r="34" spans="1:22" x14ac:dyDescent="0.25">
      <c r="A34" s="19" t="str">
        <f t="shared" si="0"/>
        <v>COMPLETO</v>
      </c>
      <c r="B34" s="20" t="s">
        <v>507</v>
      </c>
      <c r="C34" s="17" t="s">
        <v>508</v>
      </c>
      <c r="D34" s="18" t="s">
        <v>587</v>
      </c>
      <c r="E34" s="18" t="s">
        <v>588</v>
      </c>
      <c r="F34" s="7" t="s">
        <v>53</v>
      </c>
      <c r="G34" s="7" t="s">
        <v>53</v>
      </c>
      <c r="H34" s="7" t="s">
        <v>53</v>
      </c>
      <c r="I34" s="7" t="s">
        <v>53</v>
      </c>
      <c r="J34" s="11" t="s">
        <v>9</v>
      </c>
      <c r="K34" s="11" t="s">
        <v>9</v>
      </c>
      <c r="L34" s="7" t="s">
        <v>9</v>
      </c>
      <c r="M34" s="11" t="s">
        <v>9</v>
      </c>
      <c r="N34" s="11" t="s">
        <v>9</v>
      </c>
      <c r="O34" s="11" t="s">
        <v>9</v>
      </c>
      <c r="P34" s="7" t="s">
        <v>9</v>
      </c>
      <c r="Q34" s="8" t="s">
        <v>9</v>
      </c>
      <c r="R34" s="7" t="s">
        <v>9</v>
      </c>
      <c r="S34" s="7" t="s">
        <v>9</v>
      </c>
      <c r="T34" s="12" t="s">
        <v>9</v>
      </c>
      <c r="U34" s="7"/>
      <c r="V34" s="7" t="s">
        <v>116</v>
      </c>
    </row>
    <row r="35" spans="1:22" x14ac:dyDescent="0.25">
      <c r="A35" s="19" t="str">
        <f t="shared" si="0"/>
        <v>COMPLETO</v>
      </c>
      <c r="B35" s="20" t="s">
        <v>509</v>
      </c>
      <c r="C35" s="17" t="s">
        <v>510</v>
      </c>
      <c r="D35" s="18" t="s">
        <v>589</v>
      </c>
      <c r="E35" s="18" t="s">
        <v>590</v>
      </c>
      <c r="F35" s="7" t="s">
        <v>53</v>
      </c>
      <c r="G35" s="7" t="s">
        <v>53</v>
      </c>
      <c r="H35" s="7" t="s">
        <v>53</v>
      </c>
      <c r="I35" s="7" t="s">
        <v>9</v>
      </c>
      <c r="J35" s="11" t="s">
        <v>9</v>
      </c>
      <c r="K35" s="11" t="s">
        <v>9</v>
      </c>
      <c r="L35" s="7" t="s">
        <v>9</v>
      </c>
      <c r="M35" s="11" t="s">
        <v>9</v>
      </c>
      <c r="N35" s="11" t="s">
        <v>9</v>
      </c>
      <c r="O35" s="11" t="s">
        <v>9</v>
      </c>
      <c r="P35" s="7" t="s">
        <v>9</v>
      </c>
      <c r="Q35" s="8" t="s">
        <v>9</v>
      </c>
      <c r="R35" s="7" t="s">
        <v>9</v>
      </c>
      <c r="S35" s="7" t="s">
        <v>9</v>
      </c>
      <c r="T35" s="12" t="s">
        <v>9</v>
      </c>
      <c r="U35" s="7"/>
      <c r="V35" s="7" t="s">
        <v>116</v>
      </c>
    </row>
    <row r="36" spans="1:22" x14ac:dyDescent="0.25">
      <c r="A36" s="19" t="str">
        <f t="shared" si="0"/>
        <v>COMPLETO</v>
      </c>
      <c r="B36" s="20" t="s">
        <v>511</v>
      </c>
      <c r="C36" s="17" t="s">
        <v>512</v>
      </c>
      <c r="D36" s="18" t="s">
        <v>591</v>
      </c>
      <c r="E36" s="18" t="s">
        <v>592</v>
      </c>
      <c r="F36" s="7" t="s">
        <v>53</v>
      </c>
      <c r="G36" s="7" t="s">
        <v>53</v>
      </c>
      <c r="H36" s="7" t="s">
        <v>53</v>
      </c>
      <c r="I36" s="7" t="s">
        <v>9</v>
      </c>
      <c r="J36" s="11" t="s">
        <v>53</v>
      </c>
      <c r="K36" s="11" t="s">
        <v>53</v>
      </c>
      <c r="L36" s="7" t="s">
        <v>9</v>
      </c>
      <c r="M36" s="11" t="s">
        <v>9</v>
      </c>
      <c r="N36" s="11" t="s">
        <v>9</v>
      </c>
      <c r="O36" s="11" t="s">
        <v>9</v>
      </c>
      <c r="P36" s="7" t="s">
        <v>9</v>
      </c>
      <c r="Q36" s="8" t="s">
        <v>9</v>
      </c>
      <c r="R36" s="7" t="s">
        <v>9</v>
      </c>
      <c r="S36" s="7" t="s">
        <v>9</v>
      </c>
      <c r="T36" s="12" t="s">
        <v>9</v>
      </c>
      <c r="U36" s="7"/>
      <c r="V36" s="7" t="s">
        <v>116</v>
      </c>
    </row>
    <row r="37" spans="1:22" x14ac:dyDescent="0.25">
      <c r="A37" s="19" t="str">
        <f t="shared" si="0"/>
        <v>COMPLETO</v>
      </c>
      <c r="B37" s="20" t="s">
        <v>513</v>
      </c>
      <c r="C37" s="17" t="s">
        <v>514</v>
      </c>
      <c r="D37" s="18" t="s">
        <v>593</v>
      </c>
      <c r="E37" s="18" t="s">
        <v>594</v>
      </c>
      <c r="F37" s="7" t="s">
        <v>53</v>
      </c>
      <c r="G37" s="7" t="s">
        <v>53</v>
      </c>
      <c r="H37" s="7" t="s">
        <v>53</v>
      </c>
      <c r="I37" s="7" t="s">
        <v>53</v>
      </c>
      <c r="J37" s="11" t="s">
        <v>9</v>
      </c>
      <c r="K37" s="11" t="s">
        <v>9</v>
      </c>
      <c r="L37" s="7" t="s">
        <v>9</v>
      </c>
      <c r="M37" s="11" t="s">
        <v>9</v>
      </c>
      <c r="N37" s="11" t="s">
        <v>9</v>
      </c>
      <c r="O37" s="11" t="s">
        <v>9</v>
      </c>
      <c r="P37" s="7" t="s">
        <v>9</v>
      </c>
      <c r="Q37" s="8" t="s">
        <v>9</v>
      </c>
      <c r="R37" s="7" t="s">
        <v>9</v>
      </c>
      <c r="S37" s="7" t="s">
        <v>9</v>
      </c>
      <c r="T37" s="12" t="s">
        <v>9</v>
      </c>
      <c r="U37" s="7"/>
      <c r="V37" s="7" t="s">
        <v>116</v>
      </c>
    </row>
    <row r="38" spans="1:22" x14ac:dyDescent="0.25">
      <c r="A38" s="19" t="str">
        <f t="shared" si="0"/>
        <v>COMPLETO</v>
      </c>
      <c r="B38" s="20" t="s">
        <v>515</v>
      </c>
      <c r="C38" s="17" t="s">
        <v>516</v>
      </c>
      <c r="D38" s="18" t="s">
        <v>595</v>
      </c>
      <c r="E38" s="18" t="s">
        <v>596</v>
      </c>
      <c r="F38" s="7" t="s">
        <v>53</v>
      </c>
      <c r="G38" s="7" t="s">
        <v>53</v>
      </c>
      <c r="H38" s="7" t="s">
        <v>53</v>
      </c>
      <c r="I38" s="7" t="s">
        <v>9</v>
      </c>
      <c r="J38" s="11" t="s">
        <v>9</v>
      </c>
      <c r="K38" s="11" t="s">
        <v>9</v>
      </c>
      <c r="L38" s="7" t="s">
        <v>9</v>
      </c>
      <c r="M38" s="11" t="s">
        <v>9</v>
      </c>
      <c r="N38" s="11" t="s">
        <v>9</v>
      </c>
      <c r="O38" s="11" t="s">
        <v>9</v>
      </c>
      <c r="P38" s="7" t="s">
        <v>9</v>
      </c>
      <c r="Q38" s="8" t="s">
        <v>9</v>
      </c>
      <c r="R38" s="7" t="s">
        <v>9</v>
      </c>
      <c r="S38" s="7" t="s">
        <v>9</v>
      </c>
      <c r="T38" s="12" t="s">
        <v>9</v>
      </c>
      <c r="U38" s="7"/>
      <c r="V38" s="7" t="s">
        <v>116</v>
      </c>
    </row>
    <row r="39" spans="1:22" x14ac:dyDescent="0.25">
      <c r="A39" s="19" t="str">
        <f t="shared" si="0"/>
        <v>COMPLETO</v>
      </c>
      <c r="B39" s="20" t="s">
        <v>517</v>
      </c>
      <c r="C39" s="17" t="s">
        <v>518</v>
      </c>
      <c r="D39" s="18" t="s">
        <v>597</v>
      </c>
      <c r="E39" s="18" t="s">
        <v>598</v>
      </c>
      <c r="F39" s="7" t="s">
        <v>53</v>
      </c>
      <c r="G39" s="7" t="s">
        <v>53</v>
      </c>
      <c r="H39" s="7" t="s">
        <v>53</v>
      </c>
      <c r="I39" s="7" t="s">
        <v>53</v>
      </c>
      <c r="J39" s="11" t="s">
        <v>9</v>
      </c>
      <c r="K39" s="11" t="s">
        <v>9</v>
      </c>
      <c r="L39" s="7" t="s">
        <v>9</v>
      </c>
      <c r="M39" s="11" t="s">
        <v>9</v>
      </c>
      <c r="N39" s="11" t="s">
        <v>9</v>
      </c>
      <c r="O39" s="11" t="s">
        <v>9</v>
      </c>
      <c r="P39" s="7" t="s">
        <v>9</v>
      </c>
      <c r="Q39" s="8" t="s">
        <v>9</v>
      </c>
      <c r="R39" s="7" t="s">
        <v>9</v>
      </c>
      <c r="S39" s="7" t="s">
        <v>9</v>
      </c>
      <c r="T39" s="12" t="s">
        <v>9</v>
      </c>
      <c r="U39" s="7"/>
      <c r="V39" s="7" t="s">
        <v>116</v>
      </c>
    </row>
    <row r="40" spans="1:22" x14ac:dyDescent="0.25">
      <c r="A40" s="19" t="str">
        <f t="shared" si="0"/>
        <v>COMPLETO</v>
      </c>
      <c r="B40" s="20" t="s">
        <v>519</v>
      </c>
      <c r="C40" s="17" t="s">
        <v>520</v>
      </c>
      <c r="D40" s="18" t="s">
        <v>599</v>
      </c>
      <c r="E40" s="18" t="s">
        <v>600</v>
      </c>
      <c r="F40" s="7" t="s">
        <v>53</v>
      </c>
      <c r="G40" s="7" t="s">
        <v>53</v>
      </c>
      <c r="H40" s="7" t="s">
        <v>53</v>
      </c>
      <c r="I40" s="7" t="s">
        <v>53</v>
      </c>
      <c r="J40" s="11" t="s">
        <v>9</v>
      </c>
      <c r="K40" s="11" t="s">
        <v>9</v>
      </c>
      <c r="L40" s="7" t="s">
        <v>9</v>
      </c>
      <c r="M40" s="11" t="s">
        <v>9</v>
      </c>
      <c r="N40" s="11" t="s">
        <v>9</v>
      </c>
      <c r="O40" s="11" t="s">
        <v>9</v>
      </c>
      <c r="P40" s="7" t="s">
        <v>9</v>
      </c>
      <c r="Q40" s="8" t="s">
        <v>9</v>
      </c>
      <c r="R40" s="7" t="s">
        <v>9</v>
      </c>
      <c r="S40" s="7" t="s">
        <v>9</v>
      </c>
      <c r="T40" s="12" t="s">
        <v>9</v>
      </c>
      <c r="U40" s="7"/>
      <c r="V40" s="7" t="s">
        <v>116</v>
      </c>
    </row>
    <row r="41" spans="1:22" x14ac:dyDescent="0.25">
      <c r="A41" s="19" t="str">
        <f t="shared" si="0"/>
        <v>COMPLETO</v>
      </c>
      <c r="B41" s="20" t="s">
        <v>521</v>
      </c>
      <c r="C41" s="17" t="s">
        <v>522</v>
      </c>
      <c r="D41" s="18" t="s">
        <v>601</v>
      </c>
      <c r="E41" s="18" t="s">
        <v>602</v>
      </c>
      <c r="F41" s="7" t="s">
        <v>53</v>
      </c>
      <c r="G41" s="7" t="s">
        <v>53</v>
      </c>
      <c r="H41" s="7" t="s">
        <v>53</v>
      </c>
      <c r="I41" s="7" t="s">
        <v>53</v>
      </c>
      <c r="J41" s="11" t="s">
        <v>9</v>
      </c>
      <c r="K41" s="11" t="s">
        <v>9</v>
      </c>
      <c r="L41" s="7" t="s">
        <v>9</v>
      </c>
      <c r="M41" s="11" t="s">
        <v>9</v>
      </c>
      <c r="N41" s="11" t="s">
        <v>9</v>
      </c>
      <c r="O41" s="11" t="s">
        <v>9</v>
      </c>
      <c r="P41" s="7" t="s">
        <v>9</v>
      </c>
      <c r="Q41" s="8" t="s">
        <v>9</v>
      </c>
      <c r="R41" s="7" t="s">
        <v>9</v>
      </c>
      <c r="S41" s="7" t="s">
        <v>9</v>
      </c>
      <c r="T41" s="12" t="s">
        <v>9</v>
      </c>
      <c r="U41" s="7"/>
      <c r="V41" s="7" t="s">
        <v>116</v>
      </c>
    </row>
    <row r="42" spans="1:22" x14ac:dyDescent="0.25">
      <c r="A42" s="19" t="str">
        <f t="shared" si="0"/>
        <v>COMPLETO</v>
      </c>
      <c r="B42" s="20" t="s">
        <v>523</v>
      </c>
      <c r="C42" s="17" t="s">
        <v>524</v>
      </c>
      <c r="D42" s="18" t="s">
        <v>603</v>
      </c>
      <c r="E42" s="18" t="s">
        <v>604</v>
      </c>
      <c r="F42" s="7" t="s">
        <v>53</v>
      </c>
      <c r="G42" s="7" t="s">
        <v>53</v>
      </c>
      <c r="H42" s="7" t="s">
        <v>53</v>
      </c>
      <c r="I42" s="7" t="s">
        <v>9</v>
      </c>
      <c r="J42" s="11" t="s">
        <v>9</v>
      </c>
      <c r="K42" s="11" t="s">
        <v>9</v>
      </c>
      <c r="L42" s="7" t="s">
        <v>9</v>
      </c>
      <c r="M42" s="11" t="s">
        <v>9</v>
      </c>
      <c r="N42" s="11" t="s">
        <v>9</v>
      </c>
      <c r="O42" s="11" t="s">
        <v>9</v>
      </c>
      <c r="P42" s="7" t="s">
        <v>9</v>
      </c>
      <c r="Q42" s="8" t="s">
        <v>9</v>
      </c>
      <c r="R42" s="7" t="s">
        <v>9</v>
      </c>
      <c r="S42" s="7" t="s">
        <v>9</v>
      </c>
      <c r="T42" s="12" t="s">
        <v>9</v>
      </c>
      <c r="U42" s="7"/>
      <c r="V42" s="7" t="s">
        <v>116</v>
      </c>
    </row>
    <row r="43" spans="1:22" x14ac:dyDescent="0.25">
      <c r="A43" s="19" t="str">
        <f t="shared" si="0"/>
        <v>COMPLETO</v>
      </c>
      <c r="B43" s="20" t="s">
        <v>525</v>
      </c>
      <c r="C43" s="17" t="s">
        <v>526</v>
      </c>
      <c r="D43" s="18" t="s">
        <v>605</v>
      </c>
      <c r="E43" s="18" t="s">
        <v>606</v>
      </c>
      <c r="F43" s="7" t="s">
        <v>53</v>
      </c>
      <c r="G43" s="7" t="s">
        <v>53</v>
      </c>
      <c r="H43" s="7" t="s">
        <v>53</v>
      </c>
      <c r="I43" s="7" t="s">
        <v>9</v>
      </c>
      <c r="J43" s="11" t="s">
        <v>9</v>
      </c>
      <c r="K43" s="11" t="s">
        <v>9</v>
      </c>
      <c r="L43" s="7" t="s">
        <v>9</v>
      </c>
      <c r="M43" s="11" t="s">
        <v>9</v>
      </c>
      <c r="N43" s="11" t="s">
        <v>9</v>
      </c>
      <c r="O43" s="11" t="s">
        <v>9</v>
      </c>
      <c r="P43" s="7" t="s">
        <v>9</v>
      </c>
      <c r="Q43" s="8" t="s">
        <v>9</v>
      </c>
      <c r="R43" s="7" t="s">
        <v>9</v>
      </c>
      <c r="S43" s="7" t="s">
        <v>9</v>
      </c>
      <c r="T43" s="12" t="s">
        <v>9</v>
      </c>
      <c r="U43" s="7"/>
      <c r="V43" s="7" t="s">
        <v>116</v>
      </c>
    </row>
    <row r="44" spans="1:22" x14ac:dyDescent="0.25">
      <c r="A44" s="19" t="str">
        <f t="shared" si="0"/>
        <v>COMPLETO</v>
      </c>
      <c r="B44" s="20" t="s">
        <v>527</v>
      </c>
      <c r="C44" s="17" t="s">
        <v>528</v>
      </c>
      <c r="D44" s="18" t="s">
        <v>607</v>
      </c>
      <c r="E44" s="18" t="s">
        <v>608</v>
      </c>
      <c r="F44" s="7" t="s">
        <v>53</v>
      </c>
      <c r="G44" s="7" t="s">
        <v>53</v>
      </c>
      <c r="H44" s="7" t="s">
        <v>53</v>
      </c>
      <c r="I44" s="7" t="s">
        <v>53</v>
      </c>
      <c r="J44" s="11" t="s">
        <v>9</v>
      </c>
      <c r="K44" s="11" t="s">
        <v>9</v>
      </c>
      <c r="L44" s="7" t="s">
        <v>9</v>
      </c>
      <c r="M44" s="11" t="s">
        <v>9</v>
      </c>
      <c r="N44" s="11" t="s">
        <v>9</v>
      </c>
      <c r="O44" s="11" t="s">
        <v>9</v>
      </c>
      <c r="P44" s="7" t="s">
        <v>9</v>
      </c>
      <c r="Q44" s="8" t="s">
        <v>9</v>
      </c>
      <c r="R44" s="7" t="s">
        <v>9</v>
      </c>
      <c r="S44" s="7" t="s">
        <v>9</v>
      </c>
      <c r="T44" s="12" t="s">
        <v>9</v>
      </c>
      <c r="U44" s="7"/>
      <c r="V44" s="7" t="s">
        <v>116</v>
      </c>
    </row>
  </sheetData>
  <sheetProtection selectLockedCells="1" autoFilter="0" selectUnlockedCells="1"/>
  <mergeCells count="21">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G3:T4 F5:V44">
    <cfRule type="cellIs" dxfId="595" priority="28" operator="equal">
      <formula>"F"</formula>
    </cfRule>
    <cfRule type="cellIs" dxfId="594" priority="29" operator="equal">
      <formula>"OK"</formula>
    </cfRule>
    <cfRule type="cellIs" dxfId="593" priority="30" operator="between">
      <formula>6</formula>
      <formula>18</formula>
    </cfRule>
  </conditionalFormatting>
  <conditionalFormatting sqref="C1:E1 A2:E2 C3:C4 E3:E4 A5:E1048576">
    <cfRule type="expression" dxfId="592" priority="26">
      <formula>$A1="FALTA"</formula>
    </cfRule>
    <cfRule type="expression" dxfId="591" priority="27">
      <formula>$A1="COMPLETO"</formula>
    </cfRule>
  </conditionalFormatting>
  <conditionalFormatting sqref="B3">
    <cfRule type="expression" dxfId="590" priority="16">
      <formula>$A3="FALTA"</formula>
    </cfRule>
    <cfRule type="expression" dxfId="589" priority="17">
      <formula>$A3="COMPLETO"</formula>
    </cfRule>
  </conditionalFormatting>
  <conditionalFormatting sqref="D3:D4">
    <cfRule type="expression" dxfId="588" priority="14">
      <formula>$A3="FALTA"</formula>
    </cfRule>
    <cfRule type="expression" dxfId="587" priority="15">
      <formula>$A3="COMPLETO"</formula>
    </cfRule>
  </conditionalFormatting>
  <conditionalFormatting sqref="F4">
    <cfRule type="cellIs" dxfId="586" priority="11" operator="equal">
      <formula>"F"</formula>
    </cfRule>
    <cfRule type="cellIs" dxfId="585" priority="12" operator="equal">
      <formula>"OK"</formula>
    </cfRule>
    <cfRule type="cellIs" dxfId="584" priority="13" operator="between">
      <formula>6</formula>
      <formula>18</formula>
    </cfRule>
  </conditionalFormatting>
  <conditionalFormatting sqref="A1:B1">
    <cfRule type="expression" dxfId="583" priority="9">
      <formula>$A1="FALTA"</formula>
    </cfRule>
    <cfRule type="expression" dxfId="582" priority="10">
      <formula>$A1="COMPLETO"</formula>
    </cfRule>
  </conditionalFormatting>
  <conditionalFormatting sqref="U3:V3">
    <cfRule type="cellIs" dxfId="581" priority="6" operator="equal">
      <formula>"F"</formula>
    </cfRule>
    <cfRule type="cellIs" dxfId="580" priority="7" operator="equal">
      <formula>"OK"</formula>
    </cfRule>
    <cfRule type="cellIs" dxfId="579" priority="8" operator="between">
      <formula>6</formula>
      <formula>18</formula>
    </cfRule>
  </conditionalFormatting>
  <conditionalFormatting sqref="F3">
    <cfRule type="cellIs" dxfId="578" priority="3" operator="equal">
      <formula>"F"</formula>
    </cfRule>
    <cfRule type="cellIs" dxfId="577" priority="4" operator="equal">
      <formula>"OK"</formula>
    </cfRule>
    <cfRule type="cellIs" dxfId="576" priority="5" operator="between">
      <formula>6</formula>
      <formula>18</formula>
    </cfRule>
  </conditionalFormatting>
  <conditionalFormatting sqref="A3">
    <cfRule type="expression" dxfId="575" priority="1">
      <formula>$A3="FALTA"</formula>
    </cfRule>
    <cfRule type="expression" dxfId="574"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4">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ZDuendes de Sevilla 1</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COMPLETO</v>
      </c>
      <c r="B3" s="385" t="s">
        <v>116</v>
      </c>
      <c r="C3" s="23" t="s">
        <v>242</v>
      </c>
      <c r="D3" s="29" t="s">
        <v>5</v>
      </c>
      <c r="E3" s="10" t="s">
        <v>1488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1" t="s">
        <v>53</v>
      </c>
      <c r="V3" s="381" t="s">
        <v>53</v>
      </c>
    </row>
    <row r="4" spans="1:22" x14ac:dyDescent="0.25">
      <c r="A4" s="384"/>
      <c r="B4" s="386"/>
      <c r="C4" s="23" t="s">
        <v>1485</v>
      </c>
      <c r="D4" s="29" t="s">
        <v>6</v>
      </c>
      <c r="E4" s="10" t="s">
        <v>1489</v>
      </c>
      <c r="F4" s="30">
        <f>COUNTIF(A5:A44,"*COMPLETO*")/COUNTA(A5:A44)</f>
        <v>1</v>
      </c>
      <c r="G4" s="24"/>
      <c r="H4" s="24" t="s">
        <v>18</v>
      </c>
      <c r="I4" s="11" t="s">
        <v>53</v>
      </c>
      <c r="J4" s="24"/>
      <c r="K4" s="24"/>
      <c r="L4" s="24" t="s">
        <v>23</v>
      </c>
      <c r="M4" s="11" t="s">
        <v>53</v>
      </c>
      <c r="N4" s="24"/>
      <c r="O4" s="24"/>
      <c r="P4" s="11"/>
      <c r="Q4" s="24" t="s">
        <v>26</v>
      </c>
      <c r="R4" s="11" t="s">
        <v>53</v>
      </c>
      <c r="S4" s="24" t="s">
        <v>19</v>
      </c>
      <c r="T4" s="11" t="s">
        <v>7</v>
      </c>
      <c r="U4" s="382"/>
      <c r="V4" s="382"/>
    </row>
    <row r="5" spans="1:22" ht="15" customHeight="1" x14ac:dyDescent="0.25">
      <c r="A5" s="19" t="str">
        <f>IF(COUNTIF(F5:V5,"F")&gt;0,"FALTA","COMPLETO")</f>
        <v>COMPLETO</v>
      </c>
      <c r="B5" s="20" t="s">
        <v>696</v>
      </c>
      <c r="C5" s="17" t="s">
        <v>1478</v>
      </c>
      <c r="D5" s="18" t="s">
        <v>1490</v>
      </c>
      <c r="E5" s="18" t="s">
        <v>10</v>
      </c>
      <c r="F5" s="7" t="s">
        <v>7</v>
      </c>
      <c r="G5" s="7" t="s">
        <v>53</v>
      </c>
      <c r="H5" s="7" t="s">
        <v>53</v>
      </c>
      <c r="I5" s="7" t="s">
        <v>9</v>
      </c>
      <c r="J5" s="11" t="s">
        <v>9</v>
      </c>
      <c r="K5" s="11" t="s">
        <v>9</v>
      </c>
      <c r="L5" s="7" t="s">
        <v>9</v>
      </c>
      <c r="M5" s="11" t="s">
        <v>9</v>
      </c>
      <c r="N5" s="11" t="s">
        <v>9</v>
      </c>
      <c r="O5" s="11" t="s">
        <v>9</v>
      </c>
      <c r="P5" s="7" t="s">
        <v>9</v>
      </c>
      <c r="Q5" s="8" t="s">
        <v>7</v>
      </c>
      <c r="R5" s="7" t="s">
        <v>9</v>
      </c>
      <c r="S5" s="7" t="s">
        <v>9</v>
      </c>
      <c r="T5" s="12" t="s">
        <v>53</v>
      </c>
      <c r="U5" s="7" t="s">
        <v>7</v>
      </c>
      <c r="V5" s="7" t="s">
        <v>53</v>
      </c>
    </row>
    <row r="6" spans="1:22" ht="15" customHeight="1" x14ac:dyDescent="0.25">
      <c r="A6" s="19" t="str">
        <f t="shared" ref="A6:A14" si="0">IF(COUNTIF(F6:V6,"F")&gt;0,"FALTA","COMPLETO")</f>
        <v>COMPLETO</v>
      </c>
      <c r="B6" s="20" t="s">
        <v>698</v>
      </c>
      <c r="C6" s="17" t="s">
        <v>1479</v>
      </c>
      <c r="D6" s="18" t="s">
        <v>1491</v>
      </c>
      <c r="E6" s="18" t="s">
        <v>1492</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 t="shared" si="0"/>
        <v>COMPLETO</v>
      </c>
      <c r="B7" s="20" t="s">
        <v>700</v>
      </c>
      <c r="C7" s="17" t="s">
        <v>1480</v>
      </c>
      <c r="D7" s="18" t="s">
        <v>1493</v>
      </c>
      <c r="E7" s="18" t="s">
        <v>10</v>
      </c>
      <c r="F7" s="7" t="s">
        <v>7</v>
      </c>
      <c r="G7" s="7" t="s">
        <v>7</v>
      </c>
      <c r="H7" s="7" t="s">
        <v>53</v>
      </c>
      <c r="I7" s="7" t="s">
        <v>9</v>
      </c>
      <c r="J7" s="11" t="s">
        <v>9</v>
      </c>
      <c r="K7" s="11" t="s">
        <v>9</v>
      </c>
      <c r="L7" s="7" t="s">
        <v>9</v>
      </c>
      <c r="M7" s="11" t="s">
        <v>9</v>
      </c>
      <c r="N7" s="11" t="s">
        <v>9</v>
      </c>
      <c r="O7" s="11" t="s">
        <v>9</v>
      </c>
      <c r="P7" s="7" t="s">
        <v>9</v>
      </c>
      <c r="Q7" s="8" t="s">
        <v>7</v>
      </c>
      <c r="R7" s="7" t="s">
        <v>9</v>
      </c>
      <c r="S7" s="7" t="s">
        <v>9</v>
      </c>
      <c r="T7" s="12" t="s">
        <v>53</v>
      </c>
      <c r="U7" s="7" t="s">
        <v>7</v>
      </c>
      <c r="V7" s="7" t="s">
        <v>53</v>
      </c>
    </row>
    <row r="8" spans="1:22" x14ac:dyDescent="0.25">
      <c r="A8" s="19" t="str">
        <f t="shared" si="0"/>
        <v>COMPLETO</v>
      </c>
      <c r="B8" s="20" t="s">
        <v>702</v>
      </c>
      <c r="C8" s="17" t="s">
        <v>1481</v>
      </c>
      <c r="D8" s="18" t="s">
        <v>1494</v>
      </c>
      <c r="E8" s="18" t="s">
        <v>1495</v>
      </c>
      <c r="F8" s="7" t="s">
        <v>53</v>
      </c>
      <c r="G8" s="7" t="s">
        <v>53</v>
      </c>
      <c r="H8" s="7" t="s">
        <v>53</v>
      </c>
      <c r="I8" s="7" t="s">
        <v>53</v>
      </c>
      <c r="J8" s="11" t="s">
        <v>9</v>
      </c>
      <c r="K8" s="11" t="s">
        <v>9</v>
      </c>
      <c r="L8" s="7" t="s">
        <v>9</v>
      </c>
      <c r="M8" s="11" t="s">
        <v>9</v>
      </c>
      <c r="N8" s="11" t="s">
        <v>9</v>
      </c>
      <c r="O8" s="11" t="s">
        <v>9</v>
      </c>
      <c r="P8" s="7" t="s">
        <v>9</v>
      </c>
      <c r="Q8" s="8" t="s">
        <v>7</v>
      </c>
      <c r="R8" s="7" t="s">
        <v>9</v>
      </c>
      <c r="S8" s="7" t="s">
        <v>9</v>
      </c>
      <c r="T8" s="12" t="s">
        <v>9</v>
      </c>
      <c r="U8" s="7" t="s">
        <v>53</v>
      </c>
      <c r="V8" s="7" t="s">
        <v>53</v>
      </c>
    </row>
    <row r="9" spans="1:22" x14ac:dyDescent="0.25">
      <c r="A9" s="19" t="str">
        <f t="shared" si="0"/>
        <v>COMPLETO</v>
      </c>
      <c r="B9" s="20" t="s">
        <v>704</v>
      </c>
      <c r="C9" s="17" t="s">
        <v>1482</v>
      </c>
      <c r="D9" s="18" t="s">
        <v>1496</v>
      </c>
      <c r="E9" s="18" t="s">
        <v>1497</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706</v>
      </c>
      <c r="C10" s="17" t="s">
        <v>1483</v>
      </c>
      <c r="D10" s="18" t="s">
        <v>1498</v>
      </c>
      <c r="E10" s="18" t="s">
        <v>1499</v>
      </c>
      <c r="F10" s="7" t="s">
        <v>53</v>
      </c>
      <c r="G10" s="7" t="s">
        <v>53</v>
      </c>
      <c r="H10" s="7" t="s">
        <v>53</v>
      </c>
      <c r="I10" s="7" t="s">
        <v>53</v>
      </c>
      <c r="J10" s="11" t="s">
        <v>9</v>
      </c>
      <c r="K10" s="11" t="s">
        <v>9</v>
      </c>
      <c r="L10" s="7" t="s">
        <v>9</v>
      </c>
      <c r="M10" s="11" t="s">
        <v>9</v>
      </c>
      <c r="N10" s="11" t="s">
        <v>9</v>
      </c>
      <c r="O10" s="11" t="s">
        <v>9</v>
      </c>
      <c r="P10" s="7">
        <v>12</v>
      </c>
      <c r="Q10" s="8" t="s">
        <v>53</v>
      </c>
      <c r="R10" s="7" t="s">
        <v>53</v>
      </c>
      <c r="S10" s="7" t="s">
        <v>53</v>
      </c>
      <c r="T10" s="12" t="s">
        <v>9</v>
      </c>
      <c r="U10" s="7" t="s">
        <v>53</v>
      </c>
      <c r="V10" s="7" t="s">
        <v>53</v>
      </c>
    </row>
    <row r="11" spans="1:22" x14ac:dyDescent="0.25">
      <c r="A11" s="19" t="str">
        <f t="shared" si="0"/>
        <v>COMPLETO</v>
      </c>
      <c r="B11" s="20" t="s">
        <v>708</v>
      </c>
      <c r="C11" s="17" t="s">
        <v>1484</v>
      </c>
      <c r="D11" s="18" t="s">
        <v>1500</v>
      </c>
      <c r="E11" s="18" t="s">
        <v>1501</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710</v>
      </c>
      <c r="C12" s="17" t="s">
        <v>1485</v>
      </c>
      <c r="D12" s="18" t="s">
        <v>1502</v>
      </c>
      <c r="E12" s="18" t="s">
        <v>1503</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t="s">
        <v>53</v>
      </c>
      <c r="V12" s="7" t="s">
        <v>53</v>
      </c>
    </row>
    <row r="13" spans="1:22" x14ac:dyDescent="0.25">
      <c r="A13" s="19" t="str">
        <f t="shared" si="0"/>
        <v>COMPLETO</v>
      </c>
      <c r="B13" s="20" t="s">
        <v>1065</v>
      </c>
      <c r="C13" s="17" t="s">
        <v>1486</v>
      </c>
      <c r="D13" s="18" t="s">
        <v>1504</v>
      </c>
      <c r="E13" s="18" t="s">
        <v>1505</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t="s">
        <v>53</v>
      </c>
      <c r="V13" s="7" t="s">
        <v>53</v>
      </c>
    </row>
    <row r="14" spans="1:22" x14ac:dyDescent="0.25">
      <c r="A14" s="19" t="str">
        <f t="shared" si="0"/>
        <v>COMPLETO</v>
      </c>
      <c r="B14" s="20" t="s">
        <v>1067</v>
      </c>
      <c r="C14" s="17" t="s">
        <v>1487</v>
      </c>
      <c r="D14" s="18" t="s">
        <v>1506</v>
      </c>
      <c r="E14" s="18" t="s">
        <v>1507</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t="s">
        <v>53</v>
      </c>
      <c r="V14" s="7" t="s">
        <v>53</v>
      </c>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s>
  <conditionalFormatting sqref="G3:T4 F5:V44">
    <cfRule type="cellIs" dxfId="573" priority="20" operator="equal">
      <formula>"F"</formula>
    </cfRule>
    <cfRule type="cellIs" dxfId="572" priority="21" operator="equal">
      <formula>"OK"</formula>
    </cfRule>
    <cfRule type="cellIs" dxfId="571" priority="22" operator="between">
      <formula>6</formula>
      <formula>18</formula>
    </cfRule>
  </conditionalFormatting>
  <conditionalFormatting sqref="C1:E1 A2:E2 C3:C4 E3:E4 A5:E1048576">
    <cfRule type="expression" dxfId="570" priority="18">
      <formula>$A1="FALTA"</formula>
    </cfRule>
    <cfRule type="expression" dxfId="569" priority="19">
      <formula>$A1="COMPLETO"</formula>
    </cfRule>
  </conditionalFormatting>
  <conditionalFormatting sqref="D3:D4">
    <cfRule type="expression" dxfId="568" priority="14">
      <formula>$A3="FALTA"</formula>
    </cfRule>
    <cfRule type="expression" dxfId="567" priority="15">
      <formula>$A3="COMPLETO"</formula>
    </cfRule>
  </conditionalFormatting>
  <conditionalFormatting sqref="B3">
    <cfRule type="expression" dxfId="566" priority="16">
      <formula>$A3="FALTA"</formula>
    </cfRule>
    <cfRule type="expression" dxfId="565" priority="17">
      <formula>$A3="COMPLETO"</formula>
    </cfRule>
  </conditionalFormatting>
  <conditionalFormatting sqref="F4">
    <cfRule type="cellIs" dxfId="564" priority="11" operator="equal">
      <formula>"F"</formula>
    </cfRule>
    <cfRule type="cellIs" dxfId="563" priority="12" operator="equal">
      <formula>"OK"</formula>
    </cfRule>
    <cfRule type="cellIs" dxfId="562" priority="13" operator="between">
      <formula>6</formula>
      <formula>18</formula>
    </cfRule>
  </conditionalFormatting>
  <conditionalFormatting sqref="A1:B1">
    <cfRule type="expression" dxfId="561" priority="9">
      <formula>$A1="FALTA"</formula>
    </cfRule>
    <cfRule type="expression" dxfId="560" priority="10">
      <formula>$A1="COMPLETO"</formula>
    </cfRule>
  </conditionalFormatting>
  <conditionalFormatting sqref="U3:V3">
    <cfRule type="cellIs" dxfId="559" priority="6" operator="equal">
      <formula>"F"</formula>
    </cfRule>
    <cfRule type="cellIs" dxfId="558" priority="7" operator="equal">
      <formula>"OK"</formula>
    </cfRule>
    <cfRule type="cellIs" dxfId="557" priority="8" operator="between">
      <formula>6</formula>
      <formula>18</formula>
    </cfRule>
  </conditionalFormatting>
  <conditionalFormatting sqref="F3">
    <cfRule type="cellIs" dxfId="556" priority="3" operator="equal">
      <formula>"F"</formula>
    </cfRule>
    <cfRule type="cellIs" dxfId="555" priority="4" operator="equal">
      <formula>"OK"</formula>
    </cfRule>
    <cfRule type="cellIs" dxfId="554" priority="5" operator="between">
      <formula>6</formula>
      <formula>18</formula>
    </cfRule>
  </conditionalFormatting>
  <conditionalFormatting sqref="A3">
    <cfRule type="expression" dxfId="553" priority="1">
      <formula>$A3="FALTA"</formula>
    </cfRule>
    <cfRule type="expression" dxfId="552"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5">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ZGeneralife 13</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COMPLETO</v>
      </c>
      <c r="B3" s="385" t="s">
        <v>116</v>
      </c>
      <c r="C3" s="23" t="s">
        <v>1333</v>
      </c>
      <c r="D3" s="29" t="s">
        <v>5</v>
      </c>
      <c r="E3" s="10"/>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1" t="s">
        <v>53</v>
      </c>
      <c r="V3" s="381" t="s">
        <v>116</v>
      </c>
    </row>
    <row r="4" spans="1:22" x14ac:dyDescent="0.25">
      <c r="A4" s="384"/>
      <c r="B4" s="386"/>
      <c r="C4" s="23" t="s">
        <v>1541</v>
      </c>
      <c r="D4" s="29" t="s">
        <v>6</v>
      </c>
      <c r="E4" s="10" t="s">
        <v>1616</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2"/>
      <c r="V4" s="382"/>
    </row>
    <row r="5" spans="1:22" ht="15" customHeight="1" x14ac:dyDescent="0.25">
      <c r="A5" s="19" t="str">
        <f>IF(COUNTIF(F5:V5,"F")&gt;0,"FALTA","COMPLETO")</f>
        <v>COMPLETO</v>
      </c>
      <c r="B5" s="20" t="s">
        <v>151</v>
      </c>
      <c r="C5" s="17" t="s">
        <v>1508</v>
      </c>
      <c r="D5" s="18" t="s">
        <v>1544</v>
      </c>
      <c r="E5" s="18" t="s">
        <v>1545</v>
      </c>
      <c r="F5" s="7" t="s">
        <v>53</v>
      </c>
      <c r="G5" s="7" t="s">
        <v>53</v>
      </c>
      <c r="H5" s="7" t="s">
        <v>53</v>
      </c>
      <c r="I5" s="7" t="s">
        <v>9</v>
      </c>
      <c r="J5" s="11" t="s">
        <v>9</v>
      </c>
      <c r="K5" s="11" t="s">
        <v>9</v>
      </c>
      <c r="L5" s="7" t="s">
        <v>9</v>
      </c>
      <c r="M5" s="11" t="s">
        <v>9</v>
      </c>
      <c r="N5" s="11" t="s">
        <v>9</v>
      </c>
      <c r="O5" s="11" t="s">
        <v>9</v>
      </c>
      <c r="P5" s="7" t="s">
        <v>9</v>
      </c>
      <c r="Q5" s="8" t="s">
        <v>7</v>
      </c>
      <c r="R5" s="7" t="s">
        <v>9</v>
      </c>
      <c r="S5" s="7" t="s">
        <v>9</v>
      </c>
      <c r="T5" s="12" t="s">
        <v>9</v>
      </c>
      <c r="U5" s="7" t="s">
        <v>53</v>
      </c>
      <c r="V5" s="7" t="s">
        <v>116</v>
      </c>
    </row>
    <row r="6" spans="1:22" ht="15" customHeight="1" x14ac:dyDescent="0.25">
      <c r="A6" s="19" t="str">
        <f t="shared" ref="A6:A40" si="0">IF(COUNTIF(F6:V6,"F")&gt;0,"FALTA","COMPLETO")</f>
        <v>COMPLETO</v>
      </c>
      <c r="B6" s="20" t="s">
        <v>153</v>
      </c>
      <c r="C6" s="17" t="s">
        <v>1509</v>
      </c>
      <c r="D6" s="18" t="s">
        <v>1546</v>
      </c>
      <c r="E6" s="18" t="s">
        <v>1547</v>
      </c>
      <c r="F6" s="7" t="s">
        <v>53</v>
      </c>
      <c r="G6" s="7" t="s">
        <v>53</v>
      </c>
      <c r="H6" s="7" t="s">
        <v>53</v>
      </c>
      <c r="I6" s="7" t="s">
        <v>53</v>
      </c>
      <c r="J6" s="11" t="s">
        <v>9</v>
      </c>
      <c r="K6" s="11" t="s">
        <v>9</v>
      </c>
      <c r="L6" s="7" t="s">
        <v>9</v>
      </c>
      <c r="M6" s="11" t="s">
        <v>9</v>
      </c>
      <c r="N6" s="11" t="s">
        <v>9</v>
      </c>
      <c r="O6" s="11" t="s">
        <v>9</v>
      </c>
      <c r="P6" s="7" t="s">
        <v>9</v>
      </c>
      <c r="Q6" s="8" t="s">
        <v>7</v>
      </c>
      <c r="R6" s="7" t="s">
        <v>9</v>
      </c>
      <c r="S6" s="7" t="s">
        <v>9</v>
      </c>
      <c r="T6" s="12" t="s">
        <v>9</v>
      </c>
      <c r="U6" s="7" t="s">
        <v>53</v>
      </c>
      <c r="V6" s="7" t="s">
        <v>116</v>
      </c>
    </row>
    <row r="7" spans="1:22" ht="15" customHeight="1" x14ac:dyDescent="0.25">
      <c r="A7" s="19" t="str">
        <f t="shared" si="0"/>
        <v>COMPLETO</v>
      </c>
      <c r="B7" s="20" t="s">
        <v>155</v>
      </c>
      <c r="C7" s="17" t="s">
        <v>1510</v>
      </c>
      <c r="D7" s="18" t="s">
        <v>1548</v>
      </c>
      <c r="E7" s="18" t="s">
        <v>1549</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53</v>
      </c>
      <c r="V7" s="7" t="s">
        <v>116</v>
      </c>
    </row>
    <row r="8" spans="1:22" x14ac:dyDescent="0.25">
      <c r="A8" s="19" t="str">
        <f t="shared" si="0"/>
        <v>COMPLETO</v>
      </c>
      <c r="B8" s="20" t="s">
        <v>156</v>
      </c>
      <c r="C8" s="17" t="s">
        <v>1511</v>
      </c>
      <c r="D8" s="18" t="s">
        <v>1550</v>
      </c>
      <c r="E8" s="18" t="s">
        <v>1551</v>
      </c>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t="s">
        <v>53</v>
      </c>
      <c r="V8" s="7" t="s">
        <v>116</v>
      </c>
    </row>
    <row r="9" spans="1:22" x14ac:dyDescent="0.25">
      <c r="A9" s="19" t="str">
        <f t="shared" si="0"/>
        <v>COMPLETO</v>
      </c>
      <c r="B9" s="20" t="s">
        <v>158</v>
      </c>
      <c r="C9" s="21" t="s">
        <v>1512</v>
      </c>
      <c r="D9" s="18" t="s">
        <v>1552</v>
      </c>
      <c r="E9" s="18" t="s">
        <v>1553</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t="s">
        <v>53</v>
      </c>
      <c r="V9" s="7" t="s">
        <v>116</v>
      </c>
    </row>
    <row r="10" spans="1:22" x14ac:dyDescent="0.25">
      <c r="A10" s="19" t="str">
        <f t="shared" si="0"/>
        <v>COMPLETO</v>
      </c>
      <c r="B10" s="20" t="s">
        <v>160</v>
      </c>
      <c r="C10" s="17" t="s">
        <v>1513</v>
      </c>
      <c r="D10" s="18" t="s">
        <v>1554</v>
      </c>
      <c r="E10" s="18" t="s">
        <v>1555</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t="s">
        <v>53</v>
      </c>
      <c r="V10" s="7" t="s">
        <v>116</v>
      </c>
    </row>
    <row r="11" spans="1:22" x14ac:dyDescent="0.25">
      <c r="A11" s="19" t="str">
        <f t="shared" si="0"/>
        <v>COMPLETO</v>
      </c>
      <c r="B11" s="20" t="s">
        <v>162</v>
      </c>
      <c r="C11" s="17" t="s">
        <v>1514</v>
      </c>
      <c r="D11" s="18" t="s">
        <v>1556</v>
      </c>
      <c r="E11" s="18" t="s">
        <v>1557</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53</v>
      </c>
      <c r="V11" s="7" t="s">
        <v>116</v>
      </c>
    </row>
    <row r="12" spans="1:22" x14ac:dyDescent="0.25">
      <c r="A12" s="19" t="str">
        <f t="shared" si="0"/>
        <v>COMPLETO</v>
      </c>
      <c r="B12" s="20" t="s">
        <v>164</v>
      </c>
      <c r="C12" s="17" t="s">
        <v>1515</v>
      </c>
      <c r="D12" s="18" t="s">
        <v>1558</v>
      </c>
      <c r="E12" s="18" t="s">
        <v>1559</v>
      </c>
      <c r="F12" s="7" t="s">
        <v>53</v>
      </c>
      <c r="G12" s="7" t="s">
        <v>53</v>
      </c>
      <c r="H12" s="7" t="s">
        <v>53</v>
      </c>
      <c r="I12" s="7" t="s">
        <v>53</v>
      </c>
      <c r="J12" s="11" t="s">
        <v>53</v>
      </c>
      <c r="K12" s="11" t="s">
        <v>53</v>
      </c>
      <c r="L12" s="7" t="s">
        <v>9</v>
      </c>
      <c r="M12" s="11" t="s">
        <v>9</v>
      </c>
      <c r="N12" s="11" t="s">
        <v>9</v>
      </c>
      <c r="O12" s="11" t="s">
        <v>9</v>
      </c>
      <c r="P12" s="7" t="s">
        <v>9</v>
      </c>
      <c r="Q12" s="8" t="s">
        <v>7</v>
      </c>
      <c r="R12" s="7" t="s">
        <v>9</v>
      </c>
      <c r="S12" s="7" t="s">
        <v>9</v>
      </c>
      <c r="T12" s="12" t="s">
        <v>9</v>
      </c>
      <c r="U12" s="7" t="s">
        <v>53</v>
      </c>
      <c r="V12" s="7" t="s">
        <v>116</v>
      </c>
    </row>
    <row r="13" spans="1:22" x14ac:dyDescent="0.25">
      <c r="A13" s="19" t="str">
        <f t="shared" si="0"/>
        <v>COMPLETO</v>
      </c>
      <c r="B13" s="20" t="s">
        <v>166</v>
      </c>
      <c r="C13" s="17" t="s">
        <v>1516</v>
      </c>
      <c r="D13" s="18" t="s">
        <v>1560</v>
      </c>
      <c r="E13" s="18" t="s">
        <v>1561</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t="s">
        <v>53</v>
      </c>
      <c r="V13" s="7" t="s">
        <v>116</v>
      </c>
    </row>
    <row r="14" spans="1:22" x14ac:dyDescent="0.25">
      <c r="A14" s="19" t="str">
        <f t="shared" si="0"/>
        <v>COMPLETO</v>
      </c>
      <c r="B14" s="20" t="s">
        <v>168</v>
      </c>
      <c r="C14" s="17" t="s">
        <v>1517</v>
      </c>
      <c r="D14" s="18" t="s">
        <v>1562</v>
      </c>
      <c r="E14" s="18" t="s">
        <v>1563</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t="s">
        <v>53</v>
      </c>
      <c r="V14" s="7" t="s">
        <v>116</v>
      </c>
    </row>
    <row r="15" spans="1:22" x14ac:dyDescent="0.25">
      <c r="A15" s="19" t="str">
        <f t="shared" si="0"/>
        <v>COMPLETO</v>
      </c>
      <c r="B15" s="20" t="s">
        <v>170</v>
      </c>
      <c r="C15" s="17" t="s">
        <v>1518</v>
      </c>
      <c r="D15" s="18" t="s">
        <v>1564</v>
      </c>
      <c r="E15" s="18" t="s">
        <v>1565</v>
      </c>
      <c r="F15" s="7" t="s">
        <v>53</v>
      </c>
      <c r="G15" s="7" t="s">
        <v>53</v>
      </c>
      <c r="H15" s="7" t="s">
        <v>53</v>
      </c>
      <c r="I15" s="7" t="s">
        <v>9</v>
      </c>
      <c r="J15" s="11" t="s">
        <v>9</v>
      </c>
      <c r="K15" s="11" t="s">
        <v>9</v>
      </c>
      <c r="L15" s="7" t="s">
        <v>9</v>
      </c>
      <c r="M15" s="11" t="s">
        <v>9</v>
      </c>
      <c r="N15" s="11" t="s">
        <v>9</v>
      </c>
      <c r="O15" s="11" t="s">
        <v>9</v>
      </c>
      <c r="P15" s="7" t="s">
        <v>9</v>
      </c>
      <c r="Q15" s="8" t="s">
        <v>7</v>
      </c>
      <c r="R15" s="7" t="s">
        <v>9</v>
      </c>
      <c r="S15" s="7" t="s">
        <v>9</v>
      </c>
      <c r="T15" s="12" t="s">
        <v>9</v>
      </c>
      <c r="U15" s="7" t="s">
        <v>53</v>
      </c>
      <c r="V15" s="7" t="s">
        <v>116</v>
      </c>
    </row>
    <row r="16" spans="1:22" x14ac:dyDescent="0.25">
      <c r="A16" s="19" t="str">
        <f t="shared" si="0"/>
        <v>COMPLETO</v>
      </c>
      <c r="B16" s="20" t="s">
        <v>172</v>
      </c>
      <c r="C16" s="17" t="s">
        <v>1519</v>
      </c>
      <c r="D16" s="18" t="s">
        <v>1566</v>
      </c>
      <c r="E16" s="18" t="s">
        <v>1567</v>
      </c>
      <c r="F16" s="7" t="s">
        <v>53</v>
      </c>
      <c r="G16" s="7" t="s">
        <v>53</v>
      </c>
      <c r="H16" s="7" t="s">
        <v>53</v>
      </c>
      <c r="I16" s="7" t="s">
        <v>9</v>
      </c>
      <c r="J16" s="11" t="s">
        <v>9</v>
      </c>
      <c r="K16" s="11" t="s">
        <v>9</v>
      </c>
      <c r="L16" s="7" t="s">
        <v>9</v>
      </c>
      <c r="M16" s="11" t="s">
        <v>9</v>
      </c>
      <c r="N16" s="11" t="s">
        <v>9</v>
      </c>
      <c r="O16" s="11" t="s">
        <v>9</v>
      </c>
      <c r="P16" s="7" t="s">
        <v>9</v>
      </c>
      <c r="Q16" s="8" t="s">
        <v>7</v>
      </c>
      <c r="R16" s="7" t="s">
        <v>9</v>
      </c>
      <c r="S16" s="7" t="s">
        <v>9</v>
      </c>
      <c r="T16" s="12" t="s">
        <v>9</v>
      </c>
      <c r="U16" s="7" t="s">
        <v>53</v>
      </c>
      <c r="V16" s="7" t="s">
        <v>116</v>
      </c>
    </row>
    <row r="17" spans="1:22" x14ac:dyDescent="0.25">
      <c r="A17" s="19" t="str">
        <f t="shared" si="0"/>
        <v>COMPLETO</v>
      </c>
      <c r="B17" s="20" t="s">
        <v>174</v>
      </c>
      <c r="C17" s="17" t="s">
        <v>1520</v>
      </c>
      <c r="D17" s="18" t="s">
        <v>1568</v>
      </c>
      <c r="E17" s="18" t="s">
        <v>1569</v>
      </c>
      <c r="F17" s="7" t="s">
        <v>53</v>
      </c>
      <c r="G17" s="7" t="s">
        <v>53</v>
      </c>
      <c r="H17" s="7" t="s">
        <v>53</v>
      </c>
      <c r="I17" s="7" t="s">
        <v>9</v>
      </c>
      <c r="J17" s="11" t="s">
        <v>9</v>
      </c>
      <c r="K17" s="11" t="s">
        <v>9</v>
      </c>
      <c r="L17" s="7" t="s">
        <v>9</v>
      </c>
      <c r="M17" s="11" t="s">
        <v>9</v>
      </c>
      <c r="N17" s="11" t="s">
        <v>9</v>
      </c>
      <c r="O17" s="11" t="s">
        <v>9</v>
      </c>
      <c r="P17" s="7" t="s">
        <v>9</v>
      </c>
      <c r="Q17" s="8" t="s">
        <v>7</v>
      </c>
      <c r="R17" s="7" t="s">
        <v>9</v>
      </c>
      <c r="S17" s="7" t="s">
        <v>9</v>
      </c>
      <c r="T17" s="12" t="s">
        <v>9</v>
      </c>
      <c r="U17" s="7" t="s">
        <v>53</v>
      </c>
      <c r="V17" s="7" t="s">
        <v>116</v>
      </c>
    </row>
    <row r="18" spans="1:22" x14ac:dyDescent="0.25">
      <c r="A18" s="19" t="str">
        <f t="shared" si="0"/>
        <v>COMPLETO</v>
      </c>
      <c r="B18" s="20" t="s">
        <v>175</v>
      </c>
      <c r="C18" s="17" t="s">
        <v>1521</v>
      </c>
      <c r="D18" s="18" t="s">
        <v>1570</v>
      </c>
      <c r="E18" s="18" t="s">
        <v>1571</v>
      </c>
      <c r="F18" s="7" t="s">
        <v>53</v>
      </c>
      <c r="G18" s="7" t="s">
        <v>53</v>
      </c>
      <c r="H18" s="7" t="s">
        <v>53</v>
      </c>
      <c r="I18" s="7" t="s">
        <v>9</v>
      </c>
      <c r="J18" s="11" t="s">
        <v>9</v>
      </c>
      <c r="K18" s="11" t="s">
        <v>9</v>
      </c>
      <c r="L18" s="7" t="s">
        <v>9</v>
      </c>
      <c r="M18" s="11" t="s">
        <v>9</v>
      </c>
      <c r="N18" s="11" t="s">
        <v>9</v>
      </c>
      <c r="O18" s="11" t="s">
        <v>9</v>
      </c>
      <c r="P18" s="7" t="s">
        <v>9</v>
      </c>
      <c r="Q18" s="8" t="s">
        <v>7</v>
      </c>
      <c r="R18" s="7" t="s">
        <v>9</v>
      </c>
      <c r="S18" s="7" t="s">
        <v>9</v>
      </c>
      <c r="T18" s="12" t="s">
        <v>9</v>
      </c>
      <c r="U18" s="7" t="s">
        <v>53</v>
      </c>
      <c r="V18" s="7" t="s">
        <v>116</v>
      </c>
    </row>
    <row r="19" spans="1:22" x14ac:dyDescent="0.25">
      <c r="A19" s="19" t="str">
        <f t="shared" si="0"/>
        <v>COMPLETO</v>
      </c>
      <c r="B19" s="20" t="s">
        <v>177</v>
      </c>
      <c r="C19" s="17" t="s">
        <v>1522</v>
      </c>
      <c r="D19" s="18" t="s">
        <v>1572</v>
      </c>
      <c r="E19" s="18" t="s">
        <v>1573</v>
      </c>
      <c r="F19" s="7" t="s">
        <v>53</v>
      </c>
      <c r="G19" s="7" t="s">
        <v>53</v>
      </c>
      <c r="H19" s="7" t="s">
        <v>53</v>
      </c>
      <c r="I19" s="7" t="s">
        <v>9</v>
      </c>
      <c r="J19" s="11" t="s">
        <v>53</v>
      </c>
      <c r="K19" s="11" t="s">
        <v>53</v>
      </c>
      <c r="L19" s="7" t="s">
        <v>9</v>
      </c>
      <c r="M19" s="11" t="s">
        <v>9</v>
      </c>
      <c r="N19" s="11" t="s">
        <v>9</v>
      </c>
      <c r="O19" s="11" t="s">
        <v>9</v>
      </c>
      <c r="P19" s="7" t="s">
        <v>9</v>
      </c>
      <c r="Q19" s="8" t="s">
        <v>7</v>
      </c>
      <c r="R19" s="7" t="s">
        <v>9</v>
      </c>
      <c r="S19" s="7" t="s">
        <v>9</v>
      </c>
      <c r="T19" s="12" t="s">
        <v>9</v>
      </c>
      <c r="U19" s="7" t="s">
        <v>53</v>
      </c>
      <c r="V19" s="7" t="s">
        <v>116</v>
      </c>
    </row>
    <row r="20" spans="1:22" x14ac:dyDescent="0.25">
      <c r="A20" s="19" t="str">
        <f t="shared" si="0"/>
        <v>COMPLETO</v>
      </c>
      <c r="B20" s="20" t="s">
        <v>179</v>
      </c>
      <c r="C20" s="17" t="s">
        <v>1523</v>
      </c>
      <c r="D20" s="18" t="s">
        <v>1574</v>
      </c>
      <c r="E20" s="18" t="s">
        <v>1575</v>
      </c>
      <c r="F20" s="7" t="s">
        <v>53</v>
      </c>
      <c r="G20" s="7" t="s">
        <v>53</v>
      </c>
      <c r="H20" s="7" t="s">
        <v>53</v>
      </c>
      <c r="I20" s="7" t="s">
        <v>53</v>
      </c>
      <c r="J20" s="11" t="s">
        <v>53</v>
      </c>
      <c r="K20" s="11" t="s">
        <v>53</v>
      </c>
      <c r="L20" s="7" t="s">
        <v>9</v>
      </c>
      <c r="M20" s="11" t="s">
        <v>9</v>
      </c>
      <c r="N20" s="11" t="s">
        <v>9</v>
      </c>
      <c r="O20" s="11" t="s">
        <v>9</v>
      </c>
      <c r="P20" s="7" t="s">
        <v>9</v>
      </c>
      <c r="Q20" s="8" t="s">
        <v>7</v>
      </c>
      <c r="R20" s="7" t="s">
        <v>9</v>
      </c>
      <c r="S20" s="7" t="s">
        <v>9</v>
      </c>
      <c r="T20" s="12" t="s">
        <v>9</v>
      </c>
      <c r="U20" s="7" t="s">
        <v>53</v>
      </c>
      <c r="V20" s="7" t="s">
        <v>116</v>
      </c>
    </row>
    <row r="21" spans="1:22" x14ac:dyDescent="0.25">
      <c r="A21" s="19" t="str">
        <f t="shared" si="0"/>
        <v>COMPLETO</v>
      </c>
      <c r="B21" s="20" t="s">
        <v>181</v>
      </c>
      <c r="C21" s="17" t="s">
        <v>1524</v>
      </c>
      <c r="D21" s="18" t="s">
        <v>1576</v>
      </c>
      <c r="E21" s="18" t="s">
        <v>1577</v>
      </c>
      <c r="F21" s="7" t="s">
        <v>53</v>
      </c>
      <c r="G21" s="7" t="s">
        <v>53</v>
      </c>
      <c r="H21" s="7" t="s">
        <v>53</v>
      </c>
      <c r="I21" s="7" t="s">
        <v>53</v>
      </c>
      <c r="J21" s="11" t="s">
        <v>9</v>
      </c>
      <c r="K21" s="11" t="s">
        <v>9</v>
      </c>
      <c r="L21" s="7" t="s">
        <v>9</v>
      </c>
      <c r="M21" s="11" t="s">
        <v>9</v>
      </c>
      <c r="N21" s="11" t="s">
        <v>9</v>
      </c>
      <c r="O21" s="11" t="s">
        <v>9</v>
      </c>
      <c r="P21" s="7" t="s">
        <v>9</v>
      </c>
      <c r="Q21" s="8" t="s">
        <v>7</v>
      </c>
      <c r="R21" s="7" t="s">
        <v>9</v>
      </c>
      <c r="S21" s="7" t="s">
        <v>9</v>
      </c>
      <c r="T21" s="12" t="s">
        <v>9</v>
      </c>
      <c r="U21" s="7" t="s">
        <v>53</v>
      </c>
      <c r="V21" s="7" t="s">
        <v>116</v>
      </c>
    </row>
    <row r="22" spans="1:22" x14ac:dyDescent="0.25">
      <c r="A22" s="19" t="str">
        <f t="shared" si="0"/>
        <v>COMPLETO</v>
      </c>
      <c r="B22" s="20" t="s">
        <v>183</v>
      </c>
      <c r="C22" s="17" t="s">
        <v>1525</v>
      </c>
      <c r="D22" s="18" t="s">
        <v>1578</v>
      </c>
      <c r="E22" s="18" t="s">
        <v>1579</v>
      </c>
      <c r="F22" s="7" t="s">
        <v>53</v>
      </c>
      <c r="G22" s="7" t="s">
        <v>53</v>
      </c>
      <c r="H22" s="7" t="s">
        <v>53</v>
      </c>
      <c r="I22" s="7" t="s">
        <v>9</v>
      </c>
      <c r="J22" s="11" t="s">
        <v>53</v>
      </c>
      <c r="K22" s="11" t="s">
        <v>53</v>
      </c>
      <c r="L22" s="7" t="s">
        <v>9</v>
      </c>
      <c r="M22" s="11" t="s">
        <v>9</v>
      </c>
      <c r="N22" s="11" t="s">
        <v>9</v>
      </c>
      <c r="O22" s="11" t="s">
        <v>9</v>
      </c>
      <c r="P22" s="7" t="s">
        <v>9</v>
      </c>
      <c r="Q22" s="8" t="s">
        <v>7</v>
      </c>
      <c r="R22" s="7" t="s">
        <v>9</v>
      </c>
      <c r="S22" s="7" t="s">
        <v>9</v>
      </c>
      <c r="T22" s="12" t="s">
        <v>9</v>
      </c>
      <c r="U22" s="7" t="s">
        <v>53</v>
      </c>
      <c r="V22" s="7" t="s">
        <v>116</v>
      </c>
    </row>
    <row r="23" spans="1:22" x14ac:dyDescent="0.25">
      <c r="A23" s="19" t="str">
        <f t="shared" si="0"/>
        <v>COMPLETO</v>
      </c>
      <c r="B23" s="20" t="s">
        <v>185</v>
      </c>
      <c r="C23" s="17" t="s">
        <v>1526</v>
      </c>
      <c r="D23" s="18" t="s">
        <v>1580</v>
      </c>
      <c r="E23" s="18" t="s">
        <v>1581</v>
      </c>
      <c r="F23" s="7" t="s">
        <v>53</v>
      </c>
      <c r="G23" s="7" t="s">
        <v>53</v>
      </c>
      <c r="H23" s="7" t="s">
        <v>53</v>
      </c>
      <c r="I23" s="7" t="s">
        <v>9</v>
      </c>
      <c r="J23" s="11" t="s">
        <v>9</v>
      </c>
      <c r="K23" s="11" t="s">
        <v>9</v>
      </c>
      <c r="L23" s="7" t="s">
        <v>9</v>
      </c>
      <c r="M23" s="11" t="s">
        <v>9</v>
      </c>
      <c r="N23" s="11" t="s">
        <v>9</v>
      </c>
      <c r="O23" s="11" t="s">
        <v>9</v>
      </c>
      <c r="P23" s="7" t="s">
        <v>9</v>
      </c>
      <c r="Q23" s="8" t="s">
        <v>7</v>
      </c>
      <c r="R23" s="7" t="s">
        <v>9</v>
      </c>
      <c r="S23" s="7" t="s">
        <v>9</v>
      </c>
      <c r="T23" s="12" t="s">
        <v>9</v>
      </c>
      <c r="U23" s="7" t="s">
        <v>53</v>
      </c>
      <c r="V23" s="7" t="s">
        <v>116</v>
      </c>
    </row>
    <row r="24" spans="1:22" x14ac:dyDescent="0.25">
      <c r="A24" s="19" t="str">
        <f t="shared" si="0"/>
        <v>COMPLETO</v>
      </c>
      <c r="B24" s="20" t="s">
        <v>187</v>
      </c>
      <c r="C24" s="17" t="s">
        <v>1527</v>
      </c>
      <c r="D24" s="18" t="s">
        <v>1582</v>
      </c>
      <c r="E24" s="18" t="s">
        <v>1583</v>
      </c>
      <c r="F24" s="7" t="s">
        <v>53</v>
      </c>
      <c r="G24" s="7" t="s">
        <v>53</v>
      </c>
      <c r="H24" s="7" t="s">
        <v>53</v>
      </c>
      <c r="I24" s="7" t="s">
        <v>9</v>
      </c>
      <c r="J24" s="11" t="s">
        <v>9</v>
      </c>
      <c r="K24" s="11" t="s">
        <v>9</v>
      </c>
      <c r="L24" s="7" t="s">
        <v>9</v>
      </c>
      <c r="M24" s="11" t="s">
        <v>9</v>
      </c>
      <c r="N24" s="11" t="s">
        <v>9</v>
      </c>
      <c r="O24" s="11" t="s">
        <v>9</v>
      </c>
      <c r="P24" s="7" t="s">
        <v>9</v>
      </c>
      <c r="Q24" s="8" t="s">
        <v>7</v>
      </c>
      <c r="R24" s="7" t="s">
        <v>9</v>
      </c>
      <c r="S24" s="7" t="s">
        <v>9</v>
      </c>
      <c r="T24" s="12" t="s">
        <v>9</v>
      </c>
      <c r="U24" s="7" t="s">
        <v>53</v>
      </c>
      <c r="V24" s="7" t="s">
        <v>116</v>
      </c>
    </row>
    <row r="25" spans="1:22" x14ac:dyDescent="0.25">
      <c r="A25" s="19" t="str">
        <f t="shared" si="0"/>
        <v>COMPLETO</v>
      </c>
      <c r="B25" s="20" t="s">
        <v>337</v>
      </c>
      <c r="C25" s="17" t="s">
        <v>1528</v>
      </c>
      <c r="D25" s="18" t="s">
        <v>1584</v>
      </c>
      <c r="E25" s="18" t="s">
        <v>1585</v>
      </c>
      <c r="F25" s="7" t="s">
        <v>53</v>
      </c>
      <c r="G25" s="7" t="s">
        <v>53</v>
      </c>
      <c r="H25" s="7" t="s">
        <v>53</v>
      </c>
      <c r="I25" s="7" t="s">
        <v>9</v>
      </c>
      <c r="J25" s="11" t="s">
        <v>9</v>
      </c>
      <c r="K25" s="11" t="s">
        <v>9</v>
      </c>
      <c r="L25" s="7" t="s">
        <v>9</v>
      </c>
      <c r="M25" s="11" t="s">
        <v>9</v>
      </c>
      <c r="N25" s="11" t="s">
        <v>9</v>
      </c>
      <c r="O25" s="11" t="s">
        <v>9</v>
      </c>
      <c r="P25" s="7" t="s">
        <v>9</v>
      </c>
      <c r="Q25" s="8" t="s">
        <v>7</v>
      </c>
      <c r="R25" s="7" t="s">
        <v>9</v>
      </c>
      <c r="S25" s="7" t="s">
        <v>9</v>
      </c>
      <c r="T25" s="12" t="s">
        <v>9</v>
      </c>
      <c r="U25" s="7" t="s">
        <v>53</v>
      </c>
      <c r="V25" s="7" t="s">
        <v>116</v>
      </c>
    </row>
    <row r="26" spans="1:22" x14ac:dyDescent="0.25">
      <c r="A26" s="19" t="str">
        <f t="shared" si="0"/>
        <v>COMPLETO</v>
      </c>
      <c r="B26" s="20" t="s">
        <v>339</v>
      </c>
      <c r="C26" s="17" t="s">
        <v>1529</v>
      </c>
      <c r="D26" s="18" t="s">
        <v>1586</v>
      </c>
      <c r="E26" s="18" t="s">
        <v>1587</v>
      </c>
      <c r="F26" s="7" t="s">
        <v>53</v>
      </c>
      <c r="G26" s="7" t="s">
        <v>53</v>
      </c>
      <c r="H26" s="7" t="s">
        <v>53</v>
      </c>
      <c r="I26" s="7" t="s">
        <v>9</v>
      </c>
      <c r="J26" s="11" t="s">
        <v>9</v>
      </c>
      <c r="K26" s="11" t="s">
        <v>9</v>
      </c>
      <c r="L26" s="7" t="s">
        <v>9</v>
      </c>
      <c r="M26" s="11" t="s">
        <v>9</v>
      </c>
      <c r="N26" s="11" t="s">
        <v>9</v>
      </c>
      <c r="O26" s="11" t="s">
        <v>9</v>
      </c>
      <c r="P26" s="7" t="s">
        <v>9</v>
      </c>
      <c r="Q26" s="8" t="s">
        <v>7</v>
      </c>
      <c r="R26" s="7" t="s">
        <v>9</v>
      </c>
      <c r="S26" s="7" t="s">
        <v>9</v>
      </c>
      <c r="T26" s="12" t="s">
        <v>9</v>
      </c>
      <c r="U26" s="7" t="s">
        <v>53</v>
      </c>
      <c r="V26" s="7" t="s">
        <v>116</v>
      </c>
    </row>
    <row r="27" spans="1:22" x14ac:dyDescent="0.25">
      <c r="A27" s="19" t="str">
        <f t="shared" si="0"/>
        <v>COMPLETO</v>
      </c>
      <c r="B27" s="20" t="s">
        <v>341</v>
      </c>
      <c r="C27" s="17" t="s">
        <v>1530</v>
      </c>
      <c r="D27" s="18" t="s">
        <v>1588</v>
      </c>
      <c r="E27" s="18" t="s">
        <v>1589</v>
      </c>
      <c r="F27" s="7" t="s">
        <v>53</v>
      </c>
      <c r="G27" s="7" t="s">
        <v>53</v>
      </c>
      <c r="H27" s="7" t="s">
        <v>53</v>
      </c>
      <c r="I27" s="7" t="s">
        <v>9</v>
      </c>
      <c r="J27" s="11" t="s">
        <v>9</v>
      </c>
      <c r="K27" s="11" t="s">
        <v>9</v>
      </c>
      <c r="L27" s="7" t="s">
        <v>9</v>
      </c>
      <c r="M27" s="11" t="s">
        <v>9</v>
      </c>
      <c r="N27" s="11" t="s">
        <v>9</v>
      </c>
      <c r="O27" s="11" t="s">
        <v>9</v>
      </c>
      <c r="P27" s="7" t="s">
        <v>9</v>
      </c>
      <c r="Q27" s="8" t="s">
        <v>7</v>
      </c>
      <c r="R27" s="7" t="s">
        <v>9</v>
      </c>
      <c r="S27" s="7" t="s">
        <v>9</v>
      </c>
      <c r="T27" s="12" t="s">
        <v>9</v>
      </c>
      <c r="U27" s="7" t="s">
        <v>53</v>
      </c>
      <c r="V27" s="7" t="s">
        <v>116</v>
      </c>
    </row>
    <row r="28" spans="1:22" x14ac:dyDescent="0.25">
      <c r="A28" s="19" t="str">
        <f t="shared" si="0"/>
        <v>COMPLETO</v>
      </c>
      <c r="B28" s="20" t="s">
        <v>343</v>
      </c>
      <c r="C28" s="17" t="s">
        <v>1531</v>
      </c>
      <c r="D28" s="18" t="s">
        <v>1590</v>
      </c>
      <c r="E28" s="18" t="s">
        <v>1591</v>
      </c>
      <c r="F28" s="7" t="s">
        <v>53</v>
      </c>
      <c r="G28" s="7" t="s">
        <v>53</v>
      </c>
      <c r="H28" s="7" t="s">
        <v>53</v>
      </c>
      <c r="I28" s="7" t="s">
        <v>9</v>
      </c>
      <c r="J28" s="11" t="s">
        <v>9</v>
      </c>
      <c r="K28" s="11" t="s">
        <v>9</v>
      </c>
      <c r="L28" s="7" t="s">
        <v>9</v>
      </c>
      <c r="M28" s="11" t="s">
        <v>9</v>
      </c>
      <c r="N28" s="11" t="s">
        <v>9</v>
      </c>
      <c r="O28" s="11" t="s">
        <v>9</v>
      </c>
      <c r="P28" s="7" t="s">
        <v>9</v>
      </c>
      <c r="Q28" s="8" t="s">
        <v>7</v>
      </c>
      <c r="R28" s="7" t="s">
        <v>9</v>
      </c>
      <c r="S28" s="7" t="s">
        <v>9</v>
      </c>
      <c r="T28" s="12" t="s">
        <v>9</v>
      </c>
      <c r="U28" s="7" t="s">
        <v>53</v>
      </c>
      <c r="V28" s="7" t="s">
        <v>116</v>
      </c>
    </row>
    <row r="29" spans="1:22" x14ac:dyDescent="0.25">
      <c r="A29" s="19" t="str">
        <f t="shared" si="0"/>
        <v>COMPLETO</v>
      </c>
      <c r="B29" s="20" t="s">
        <v>345</v>
      </c>
      <c r="C29" s="17" t="s">
        <v>1532</v>
      </c>
      <c r="D29" s="18" t="s">
        <v>1592</v>
      </c>
      <c r="E29" s="18" t="s">
        <v>1593</v>
      </c>
      <c r="F29" s="7" t="s">
        <v>53</v>
      </c>
      <c r="G29" s="7" t="s">
        <v>53</v>
      </c>
      <c r="H29" s="7" t="s">
        <v>53</v>
      </c>
      <c r="I29" s="7" t="s">
        <v>9</v>
      </c>
      <c r="J29" s="11" t="s">
        <v>9</v>
      </c>
      <c r="K29" s="11" t="s">
        <v>9</v>
      </c>
      <c r="L29" s="7" t="s">
        <v>9</v>
      </c>
      <c r="M29" s="11" t="s">
        <v>9</v>
      </c>
      <c r="N29" s="11" t="s">
        <v>9</v>
      </c>
      <c r="O29" s="11" t="s">
        <v>9</v>
      </c>
      <c r="P29" s="7" t="s">
        <v>9</v>
      </c>
      <c r="Q29" s="8" t="s">
        <v>7</v>
      </c>
      <c r="R29" s="7" t="s">
        <v>9</v>
      </c>
      <c r="S29" s="7" t="s">
        <v>9</v>
      </c>
      <c r="T29" s="12" t="s">
        <v>9</v>
      </c>
      <c r="U29" s="7" t="s">
        <v>53</v>
      </c>
      <c r="V29" s="7" t="s">
        <v>116</v>
      </c>
    </row>
    <row r="30" spans="1:22" x14ac:dyDescent="0.25">
      <c r="A30" s="19" t="str">
        <f t="shared" si="0"/>
        <v>COMPLETO</v>
      </c>
      <c r="B30" s="20" t="s">
        <v>347</v>
      </c>
      <c r="C30" s="17" t="s">
        <v>1533</v>
      </c>
      <c r="D30" s="18" t="s">
        <v>1594</v>
      </c>
      <c r="E30" s="18" t="s">
        <v>1595</v>
      </c>
      <c r="F30" s="7" t="s">
        <v>53</v>
      </c>
      <c r="G30" s="7" t="s">
        <v>53</v>
      </c>
      <c r="H30" s="7" t="s">
        <v>53</v>
      </c>
      <c r="I30" s="7" t="s">
        <v>9</v>
      </c>
      <c r="J30" s="11" t="s">
        <v>9</v>
      </c>
      <c r="K30" s="11" t="s">
        <v>9</v>
      </c>
      <c r="L30" s="7" t="s">
        <v>9</v>
      </c>
      <c r="M30" s="11" t="s">
        <v>9</v>
      </c>
      <c r="N30" s="11" t="s">
        <v>9</v>
      </c>
      <c r="O30" s="11" t="s">
        <v>9</v>
      </c>
      <c r="P30" s="7" t="s">
        <v>9</v>
      </c>
      <c r="Q30" s="8" t="s">
        <v>7</v>
      </c>
      <c r="R30" s="7" t="s">
        <v>9</v>
      </c>
      <c r="S30" s="7" t="s">
        <v>9</v>
      </c>
      <c r="T30" s="12" t="s">
        <v>9</v>
      </c>
      <c r="U30" s="7" t="s">
        <v>53</v>
      </c>
      <c r="V30" s="7" t="s">
        <v>116</v>
      </c>
    </row>
    <row r="31" spans="1:22" x14ac:dyDescent="0.25">
      <c r="A31" s="19" t="str">
        <f t="shared" si="0"/>
        <v>COMPLETO</v>
      </c>
      <c r="B31" s="20" t="s">
        <v>349</v>
      </c>
      <c r="C31" s="17" t="s">
        <v>1534</v>
      </c>
      <c r="D31" s="18" t="s">
        <v>1596</v>
      </c>
      <c r="E31" s="18" t="s">
        <v>1597</v>
      </c>
      <c r="F31" s="7" t="s">
        <v>53</v>
      </c>
      <c r="G31" s="7" t="s">
        <v>53</v>
      </c>
      <c r="H31" s="7" t="s">
        <v>53</v>
      </c>
      <c r="I31" s="7" t="s">
        <v>53</v>
      </c>
      <c r="J31" s="11" t="s">
        <v>53</v>
      </c>
      <c r="K31" s="11" t="s">
        <v>53</v>
      </c>
      <c r="L31" s="7" t="s">
        <v>9</v>
      </c>
      <c r="M31" s="11" t="s">
        <v>9</v>
      </c>
      <c r="N31" s="11" t="s">
        <v>9</v>
      </c>
      <c r="O31" s="11" t="s">
        <v>9</v>
      </c>
      <c r="P31" s="7" t="s">
        <v>9</v>
      </c>
      <c r="Q31" s="8" t="s">
        <v>7</v>
      </c>
      <c r="R31" s="7" t="s">
        <v>9</v>
      </c>
      <c r="S31" s="7" t="s">
        <v>9</v>
      </c>
      <c r="T31" s="12" t="s">
        <v>9</v>
      </c>
      <c r="U31" s="7" t="s">
        <v>53</v>
      </c>
      <c r="V31" s="7" t="s">
        <v>116</v>
      </c>
    </row>
    <row r="32" spans="1:22" x14ac:dyDescent="0.25">
      <c r="A32" s="19" t="str">
        <f t="shared" si="0"/>
        <v>COMPLETO</v>
      </c>
      <c r="B32" s="20" t="s">
        <v>351</v>
      </c>
      <c r="C32" s="17" t="s">
        <v>1535</v>
      </c>
      <c r="D32" s="18" t="s">
        <v>1598</v>
      </c>
      <c r="E32" s="18" t="s">
        <v>1599</v>
      </c>
      <c r="F32" s="7" t="s">
        <v>53</v>
      </c>
      <c r="G32" s="7" t="s">
        <v>53</v>
      </c>
      <c r="H32" s="7" t="s">
        <v>53</v>
      </c>
      <c r="I32" s="7" t="s">
        <v>9</v>
      </c>
      <c r="J32" s="11" t="s">
        <v>9</v>
      </c>
      <c r="K32" s="11" t="s">
        <v>9</v>
      </c>
      <c r="L32" s="7" t="s">
        <v>9</v>
      </c>
      <c r="M32" s="11" t="s">
        <v>9</v>
      </c>
      <c r="N32" s="11" t="s">
        <v>9</v>
      </c>
      <c r="O32" s="11" t="s">
        <v>9</v>
      </c>
      <c r="P32" s="7" t="s">
        <v>9</v>
      </c>
      <c r="Q32" s="8" t="s">
        <v>7</v>
      </c>
      <c r="R32" s="7" t="s">
        <v>9</v>
      </c>
      <c r="S32" s="7" t="s">
        <v>9</v>
      </c>
      <c r="T32" s="12" t="s">
        <v>9</v>
      </c>
      <c r="U32" s="7" t="s">
        <v>53</v>
      </c>
      <c r="V32" s="7" t="s">
        <v>116</v>
      </c>
    </row>
    <row r="33" spans="1:22" x14ac:dyDescent="0.25">
      <c r="A33" s="19" t="str">
        <f t="shared" si="0"/>
        <v>COMPLETO</v>
      </c>
      <c r="B33" s="20" t="s">
        <v>353</v>
      </c>
      <c r="C33" s="17" t="s">
        <v>1536</v>
      </c>
      <c r="D33" s="18" t="s">
        <v>1600</v>
      </c>
      <c r="E33" s="18" t="s">
        <v>1601</v>
      </c>
      <c r="F33" s="7" t="s">
        <v>53</v>
      </c>
      <c r="G33" s="7" t="s">
        <v>53</v>
      </c>
      <c r="H33" s="7" t="s">
        <v>53</v>
      </c>
      <c r="I33" s="7" t="s">
        <v>9</v>
      </c>
      <c r="J33" s="11" t="s">
        <v>9</v>
      </c>
      <c r="K33" s="11" t="s">
        <v>9</v>
      </c>
      <c r="L33" s="7" t="s">
        <v>9</v>
      </c>
      <c r="M33" s="11" t="s">
        <v>9</v>
      </c>
      <c r="N33" s="11" t="s">
        <v>9</v>
      </c>
      <c r="O33" s="11" t="s">
        <v>9</v>
      </c>
      <c r="P33" s="7" t="s">
        <v>9</v>
      </c>
      <c r="Q33" s="8" t="s">
        <v>7</v>
      </c>
      <c r="R33" s="7" t="s">
        <v>9</v>
      </c>
      <c r="S33" s="7" t="s">
        <v>9</v>
      </c>
      <c r="T33" s="12" t="s">
        <v>9</v>
      </c>
      <c r="U33" s="7" t="s">
        <v>53</v>
      </c>
      <c r="V33" s="7" t="s">
        <v>116</v>
      </c>
    </row>
    <row r="34" spans="1:22" x14ac:dyDescent="0.25">
      <c r="A34" s="19" t="str">
        <f t="shared" si="0"/>
        <v>COMPLETO</v>
      </c>
      <c r="B34" s="20" t="s">
        <v>354</v>
      </c>
      <c r="C34" s="17" t="s">
        <v>1537</v>
      </c>
      <c r="D34" s="18" t="s">
        <v>1602</v>
      </c>
      <c r="E34" s="18" t="s">
        <v>1603</v>
      </c>
      <c r="F34" s="7" t="s">
        <v>53</v>
      </c>
      <c r="G34" s="7" t="s">
        <v>53</v>
      </c>
      <c r="H34" s="7" t="s">
        <v>53</v>
      </c>
      <c r="I34" s="7" t="s">
        <v>53</v>
      </c>
      <c r="J34" s="11" t="s">
        <v>53</v>
      </c>
      <c r="K34" s="11" t="s">
        <v>53</v>
      </c>
      <c r="L34" s="7" t="s">
        <v>9</v>
      </c>
      <c r="M34" s="11" t="s">
        <v>9</v>
      </c>
      <c r="N34" s="11" t="s">
        <v>9</v>
      </c>
      <c r="O34" s="11" t="s">
        <v>9</v>
      </c>
      <c r="P34" s="7" t="s">
        <v>9</v>
      </c>
      <c r="Q34" s="8" t="s">
        <v>7</v>
      </c>
      <c r="R34" s="7" t="s">
        <v>9</v>
      </c>
      <c r="S34" s="7" t="s">
        <v>9</v>
      </c>
      <c r="T34" s="12" t="s">
        <v>9</v>
      </c>
      <c r="U34" s="7" t="s">
        <v>53</v>
      </c>
      <c r="V34" s="7" t="s">
        <v>116</v>
      </c>
    </row>
    <row r="35" spans="1:22" x14ac:dyDescent="0.25">
      <c r="A35" s="19" t="str">
        <f t="shared" si="0"/>
        <v>COMPLETO</v>
      </c>
      <c r="B35" s="20" t="s">
        <v>356</v>
      </c>
      <c r="C35" s="17" t="s">
        <v>1538</v>
      </c>
      <c r="D35" s="18" t="s">
        <v>1604</v>
      </c>
      <c r="E35" s="18" t="s">
        <v>1605</v>
      </c>
      <c r="F35" s="7" t="s">
        <v>53</v>
      </c>
      <c r="G35" s="7" t="s">
        <v>53</v>
      </c>
      <c r="H35" s="7" t="s">
        <v>53</v>
      </c>
      <c r="I35" s="7" t="s">
        <v>9</v>
      </c>
      <c r="J35" s="11" t="s">
        <v>53</v>
      </c>
      <c r="K35" s="11" t="s">
        <v>53</v>
      </c>
      <c r="L35" s="7" t="s">
        <v>9</v>
      </c>
      <c r="M35" s="11" t="s">
        <v>9</v>
      </c>
      <c r="N35" s="11" t="s">
        <v>9</v>
      </c>
      <c r="O35" s="11" t="s">
        <v>9</v>
      </c>
      <c r="P35" s="7" t="s">
        <v>9</v>
      </c>
      <c r="Q35" s="8" t="s">
        <v>7</v>
      </c>
      <c r="R35" s="7" t="s">
        <v>9</v>
      </c>
      <c r="S35" s="7" t="s">
        <v>9</v>
      </c>
      <c r="T35" s="12" t="s">
        <v>9</v>
      </c>
      <c r="U35" s="7" t="s">
        <v>53</v>
      </c>
      <c r="V35" s="7" t="s">
        <v>116</v>
      </c>
    </row>
    <row r="36" spans="1:22" x14ac:dyDescent="0.25">
      <c r="A36" s="19" t="str">
        <f t="shared" si="0"/>
        <v>COMPLETO</v>
      </c>
      <c r="B36" s="20" t="s">
        <v>358</v>
      </c>
      <c r="C36" s="17" t="s">
        <v>1539</v>
      </c>
      <c r="D36" s="18" t="s">
        <v>1606</v>
      </c>
      <c r="E36" s="18" t="s">
        <v>1607</v>
      </c>
      <c r="F36" s="7" t="s">
        <v>53</v>
      </c>
      <c r="G36" s="7" t="s">
        <v>53</v>
      </c>
      <c r="H36" s="7" t="s">
        <v>53</v>
      </c>
      <c r="I36" s="7" t="s">
        <v>9</v>
      </c>
      <c r="J36" s="11" t="s">
        <v>9</v>
      </c>
      <c r="K36" s="11" t="s">
        <v>9</v>
      </c>
      <c r="L36" s="7" t="s">
        <v>9</v>
      </c>
      <c r="M36" s="11" t="s">
        <v>9</v>
      </c>
      <c r="N36" s="11" t="s">
        <v>9</v>
      </c>
      <c r="O36" s="11" t="s">
        <v>9</v>
      </c>
      <c r="P36" s="7" t="s">
        <v>9</v>
      </c>
      <c r="Q36" s="8" t="s">
        <v>7</v>
      </c>
      <c r="R36" s="7" t="s">
        <v>9</v>
      </c>
      <c r="S36" s="7" t="s">
        <v>9</v>
      </c>
      <c r="T36" s="12" t="s">
        <v>9</v>
      </c>
      <c r="U36" s="7" t="s">
        <v>53</v>
      </c>
      <c r="V36" s="7" t="s">
        <v>116</v>
      </c>
    </row>
    <row r="37" spans="1:22" x14ac:dyDescent="0.25">
      <c r="A37" s="19" t="str">
        <f t="shared" si="0"/>
        <v>COMPLETO</v>
      </c>
      <c r="B37" s="20" t="s">
        <v>505</v>
      </c>
      <c r="C37" s="17" t="s">
        <v>1540</v>
      </c>
      <c r="D37" s="18" t="s">
        <v>1608</v>
      </c>
      <c r="E37" s="18" t="s">
        <v>1609</v>
      </c>
      <c r="F37" s="7" t="s">
        <v>53</v>
      </c>
      <c r="G37" s="7" t="s">
        <v>53</v>
      </c>
      <c r="H37" s="7" t="s">
        <v>53</v>
      </c>
      <c r="I37" s="7" t="s">
        <v>9</v>
      </c>
      <c r="J37" s="11" t="s">
        <v>9</v>
      </c>
      <c r="K37" s="11" t="s">
        <v>9</v>
      </c>
      <c r="L37" s="7" t="s">
        <v>9</v>
      </c>
      <c r="M37" s="11" t="s">
        <v>9</v>
      </c>
      <c r="N37" s="11" t="s">
        <v>9</v>
      </c>
      <c r="O37" s="11" t="s">
        <v>9</v>
      </c>
      <c r="P37" s="7" t="s">
        <v>9</v>
      </c>
      <c r="Q37" s="8" t="s">
        <v>7</v>
      </c>
      <c r="R37" s="7" t="s">
        <v>9</v>
      </c>
      <c r="S37" s="7" t="s">
        <v>9</v>
      </c>
      <c r="T37" s="12" t="s">
        <v>9</v>
      </c>
      <c r="U37" s="7" t="s">
        <v>53</v>
      </c>
      <c r="V37" s="7" t="s">
        <v>116</v>
      </c>
    </row>
    <row r="38" spans="1:22" x14ac:dyDescent="0.25">
      <c r="A38" s="19" t="str">
        <f t="shared" si="0"/>
        <v>COMPLETO</v>
      </c>
      <c r="B38" s="20" t="s">
        <v>507</v>
      </c>
      <c r="C38" s="17" t="s">
        <v>1541</v>
      </c>
      <c r="D38" s="18" t="s">
        <v>1610</v>
      </c>
      <c r="E38" s="18" t="s">
        <v>1611</v>
      </c>
      <c r="F38" s="7" t="s">
        <v>53</v>
      </c>
      <c r="G38" s="7" t="s">
        <v>53</v>
      </c>
      <c r="H38" s="7" t="s">
        <v>53</v>
      </c>
      <c r="I38" s="7" t="s">
        <v>9</v>
      </c>
      <c r="J38" s="11" t="s">
        <v>9</v>
      </c>
      <c r="K38" s="11" t="s">
        <v>9</v>
      </c>
      <c r="L38" s="7" t="s">
        <v>9</v>
      </c>
      <c r="M38" s="11" t="s">
        <v>9</v>
      </c>
      <c r="N38" s="11" t="s">
        <v>9</v>
      </c>
      <c r="O38" s="11" t="s">
        <v>9</v>
      </c>
      <c r="P38" s="7" t="s">
        <v>9</v>
      </c>
      <c r="Q38" s="8" t="s">
        <v>7</v>
      </c>
      <c r="R38" s="7" t="s">
        <v>9</v>
      </c>
      <c r="S38" s="7" t="s">
        <v>9</v>
      </c>
      <c r="T38" s="12" t="s">
        <v>9</v>
      </c>
      <c r="U38" s="7" t="s">
        <v>53</v>
      </c>
      <c r="V38" s="7" t="s">
        <v>116</v>
      </c>
    </row>
    <row r="39" spans="1:22" x14ac:dyDescent="0.25">
      <c r="A39" s="19" t="str">
        <f t="shared" si="0"/>
        <v>COMPLETO</v>
      </c>
      <c r="B39" s="20" t="s">
        <v>509</v>
      </c>
      <c r="C39" s="17" t="s">
        <v>1542</v>
      </c>
      <c r="D39" s="18" t="s">
        <v>1612</v>
      </c>
      <c r="E39" s="18" t="s">
        <v>1613</v>
      </c>
      <c r="F39" s="7" t="s">
        <v>53</v>
      </c>
      <c r="G39" s="7" t="s">
        <v>53</v>
      </c>
      <c r="H39" s="7" t="s">
        <v>53</v>
      </c>
      <c r="I39" s="7" t="s">
        <v>9</v>
      </c>
      <c r="J39" s="11" t="s">
        <v>9</v>
      </c>
      <c r="K39" s="11" t="s">
        <v>9</v>
      </c>
      <c r="L39" s="7" t="s">
        <v>9</v>
      </c>
      <c r="M39" s="11" t="s">
        <v>9</v>
      </c>
      <c r="N39" s="11" t="s">
        <v>9</v>
      </c>
      <c r="O39" s="11" t="s">
        <v>9</v>
      </c>
      <c r="P39" s="7" t="s">
        <v>9</v>
      </c>
      <c r="Q39" s="8" t="s">
        <v>7</v>
      </c>
      <c r="R39" s="7" t="s">
        <v>9</v>
      </c>
      <c r="S39" s="7" t="s">
        <v>9</v>
      </c>
      <c r="T39" s="12" t="s">
        <v>9</v>
      </c>
      <c r="U39" s="7" t="s">
        <v>53</v>
      </c>
      <c r="V39" s="7" t="s">
        <v>116</v>
      </c>
    </row>
    <row r="40" spans="1:22" x14ac:dyDescent="0.25">
      <c r="A40" s="19" t="str">
        <f t="shared" si="0"/>
        <v>COMPLETO</v>
      </c>
      <c r="B40" s="20" t="s">
        <v>511</v>
      </c>
      <c r="C40" s="17" t="s">
        <v>1543</v>
      </c>
      <c r="D40" s="18" t="s">
        <v>1614</v>
      </c>
      <c r="E40" s="18" t="s">
        <v>1615</v>
      </c>
      <c r="F40" s="7" t="s">
        <v>53</v>
      </c>
      <c r="G40" s="7" t="s">
        <v>53</v>
      </c>
      <c r="H40" s="7" t="s">
        <v>53</v>
      </c>
      <c r="I40" s="7" t="s">
        <v>53</v>
      </c>
      <c r="J40" s="11" t="s">
        <v>9</v>
      </c>
      <c r="K40" s="11" t="s">
        <v>9</v>
      </c>
      <c r="L40" s="7" t="s">
        <v>9</v>
      </c>
      <c r="M40" s="11" t="s">
        <v>9</v>
      </c>
      <c r="N40" s="11" t="s">
        <v>9</v>
      </c>
      <c r="O40" s="11" t="s">
        <v>9</v>
      </c>
      <c r="P40" s="7" t="s">
        <v>9</v>
      </c>
      <c r="Q40" s="8" t="s">
        <v>7</v>
      </c>
      <c r="R40" s="7" t="s">
        <v>9</v>
      </c>
      <c r="S40" s="7" t="s">
        <v>9</v>
      </c>
      <c r="T40" s="12" t="s">
        <v>9</v>
      </c>
      <c r="U40" s="7" t="s">
        <v>53</v>
      </c>
      <c r="V40" s="7" t="s">
        <v>116</v>
      </c>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 ref="R1:R2"/>
    <mergeCell ref="S1:S2"/>
    <mergeCell ref="T1:T2"/>
    <mergeCell ref="U1:U2"/>
    <mergeCell ref="V1:V2"/>
  </mergeCells>
  <conditionalFormatting sqref="F5:V44 G3:T4">
    <cfRule type="cellIs" dxfId="551" priority="20" operator="equal">
      <formula>"F"</formula>
    </cfRule>
    <cfRule type="cellIs" dxfId="550" priority="21" operator="equal">
      <formula>"OK"</formula>
    </cfRule>
    <cfRule type="cellIs" dxfId="549" priority="22" operator="between">
      <formula>6</formula>
      <formula>18</formula>
    </cfRule>
  </conditionalFormatting>
  <conditionalFormatting sqref="C1:E1 A2:E2 C3:C4 E3:E4 A5:E1048576">
    <cfRule type="expression" dxfId="548" priority="18">
      <formula>$A1="FALTA"</formula>
    </cfRule>
    <cfRule type="expression" dxfId="547" priority="19">
      <formula>$A1="COMPLETO"</formula>
    </cfRule>
  </conditionalFormatting>
  <conditionalFormatting sqref="D3:D4">
    <cfRule type="expression" dxfId="546" priority="14">
      <formula>$A3="FALTA"</formula>
    </cfRule>
    <cfRule type="expression" dxfId="545" priority="15">
      <formula>$A3="COMPLETO"</formula>
    </cfRule>
  </conditionalFormatting>
  <conditionalFormatting sqref="B3">
    <cfRule type="expression" dxfId="544" priority="16">
      <formula>$A3="FALTA"</formula>
    </cfRule>
    <cfRule type="expression" dxfId="543" priority="17">
      <formula>$A3="COMPLETO"</formula>
    </cfRule>
  </conditionalFormatting>
  <conditionalFormatting sqref="F4">
    <cfRule type="cellIs" dxfId="542" priority="11" operator="equal">
      <formula>"F"</formula>
    </cfRule>
    <cfRule type="cellIs" dxfId="541" priority="12" operator="equal">
      <formula>"OK"</formula>
    </cfRule>
    <cfRule type="cellIs" dxfId="540" priority="13" operator="between">
      <formula>6</formula>
      <formula>18</formula>
    </cfRule>
  </conditionalFormatting>
  <conditionalFormatting sqref="A1:B1">
    <cfRule type="expression" dxfId="539" priority="9">
      <formula>$A1="FALTA"</formula>
    </cfRule>
    <cfRule type="expression" dxfId="538" priority="10">
      <formula>$A1="COMPLETO"</formula>
    </cfRule>
  </conditionalFormatting>
  <conditionalFormatting sqref="U3:V3">
    <cfRule type="cellIs" dxfId="537" priority="6" operator="equal">
      <formula>"F"</formula>
    </cfRule>
    <cfRule type="cellIs" dxfId="536" priority="7" operator="equal">
      <formula>"OK"</formula>
    </cfRule>
    <cfRule type="cellIs" dxfId="535" priority="8" operator="between">
      <formula>6</formula>
      <formula>18</formula>
    </cfRule>
  </conditionalFormatting>
  <conditionalFormatting sqref="F3">
    <cfRule type="cellIs" dxfId="534" priority="3" operator="equal">
      <formula>"F"</formula>
    </cfRule>
    <cfRule type="cellIs" dxfId="533" priority="4" operator="equal">
      <formula>"OK"</formula>
    </cfRule>
    <cfRule type="cellIs" dxfId="532" priority="5" operator="between">
      <formula>6</formula>
      <formula>18</formula>
    </cfRule>
  </conditionalFormatting>
  <conditionalFormatting sqref="A3">
    <cfRule type="expression" dxfId="531" priority="1">
      <formula>$A3="FALTA"</formula>
    </cfRule>
    <cfRule type="expression" dxfId="530"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6">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ZGoya 21</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COMPLETO</v>
      </c>
      <c r="B3" s="385" t="s">
        <v>116</v>
      </c>
      <c r="C3" s="23" t="s">
        <v>1617</v>
      </c>
      <c r="D3" s="29" t="s">
        <v>5</v>
      </c>
      <c r="E3" s="10" t="s">
        <v>1620</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1" t="s">
        <v>53</v>
      </c>
      <c r="V3" s="381" t="s">
        <v>53</v>
      </c>
    </row>
    <row r="4" spans="1:22" x14ac:dyDescent="0.25">
      <c r="A4" s="384"/>
      <c r="B4" s="386"/>
      <c r="C4" s="23" t="s">
        <v>1618</v>
      </c>
      <c r="D4" s="29" t="s">
        <v>6</v>
      </c>
      <c r="E4" s="10" t="s">
        <v>1621</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2"/>
      <c r="V4" s="382"/>
    </row>
    <row r="5" spans="1:22" ht="15" customHeight="1" x14ac:dyDescent="0.25">
      <c r="A5" s="19" t="str">
        <f>IF(COUNTIF(F5:V5,"F")&gt;0,"FALTA","COMPLETO")</f>
        <v>COMPLETO</v>
      </c>
      <c r="B5" s="20" t="s">
        <v>158</v>
      </c>
      <c r="C5" s="17" t="s">
        <v>1617</v>
      </c>
      <c r="D5" s="18" t="s">
        <v>1622</v>
      </c>
      <c r="E5" s="18" t="s">
        <v>1623</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IF(COUNTIF(F6:V6,"F")&gt;0,"FALTA","COMPLETO")</f>
        <v>COMPLETO</v>
      </c>
      <c r="B6" s="20" t="s">
        <v>160</v>
      </c>
      <c r="C6" s="17" t="s">
        <v>1618</v>
      </c>
      <c r="D6" s="18" t="s">
        <v>1624</v>
      </c>
      <c r="E6" s="18" t="s">
        <v>1625</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IF(COUNTIF(F7:V7,"F")&gt;0,"FALTA","COMPLETO")</f>
        <v>COMPLETO</v>
      </c>
      <c r="B7" s="20" t="s">
        <v>170</v>
      </c>
      <c r="C7" s="17" t="s">
        <v>1619</v>
      </c>
      <c r="D7" s="18" t="s">
        <v>1626</v>
      </c>
      <c r="E7" s="18" t="s">
        <v>1627</v>
      </c>
      <c r="F7" s="7" t="s">
        <v>53</v>
      </c>
      <c r="G7" s="7" t="s">
        <v>53</v>
      </c>
      <c r="H7" s="7" t="s">
        <v>53</v>
      </c>
      <c r="I7" s="7" t="s">
        <v>9</v>
      </c>
      <c r="J7" s="11" t="s">
        <v>53</v>
      </c>
      <c r="K7" s="11" t="s">
        <v>53</v>
      </c>
      <c r="L7" s="7" t="s">
        <v>9</v>
      </c>
      <c r="M7" s="11" t="s">
        <v>9</v>
      </c>
      <c r="N7" s="11" t="s">
        <v>9</v>
      </c>
      <c r="O7" s="11" t="s">
        <v>9</v>
      </c>
      <c r="P7" s="7" t="s">
        <v>9</v>
      </c>
      <c r="Q7" s="8" t="s">
        <v>7</v>
      </c>
      <c r="R7" s="7" t="s">
        <v>9</v>
      </c>
      <c r="S7" s="7" t="s">
        <v>9</v>
      </c>
      <c r="T7" s="12" t="s">
        <v>9</v>
      </c>
      <c r="U7" s="7" t="s">
        <v>53</v>
      </c>
      <c r="V7" s="7" t="s">
        <v>53</v>
      </c>
    </row>
    <row r="8" spans="1:22" x14ac:dyDescent="0.25">
      <c r="A8" s="19"/>
      <c r="B8" s="20"/>
      <c r="C8" s="17"/>
      <c r="D8" s="18"/>
      <c r="E8" s="18"/>
      <c r="F8" s="7"/>
      <c r="G8" s="7"/>
      <c r="H8" s="7"/>
      <c r="I8" s="7"/>
      <c r="J8" s="11"/>
      <c r="K8" s="11"/>
      <c r="L8" s="7"/>
      <c r="M8" s="11"/>
      <c r="N8" s="11"/>
      <c r="O8" s="11"/>
      <c r="P8" s="7"/>
      <c r="Q8" s="8"/>
      <c r="R8" s="7"/>
      <c r="S8" s="7"/>
      <c r="T8" s="12"/>
      <c r="U8" s="7"/>
      <c r="V8" s="7"/>
    </row>
    <row r="9" spans="1:22" x14ac:dyDescent="0.25">
      <c r="A9" s="19"/>
      <c r="B9" s="20"/>
      <c r="C9" s="17"/>
      <c r="D9" s="18"/>
      <c r="E9" s="18"/>
      <c r="F9" s="7"/>
      <c r="G9" s="7"/>
      <c r="H9" s="7"/>
      <c r="I9" s="7"/>
      <c r="J9" s="11"/>
      <c r="K9" s="11"/>
      <c r="L9" s="7"/>
      <c r="M9" s="11"/>
      <c r="N9" s="11"/>
      <c r="O9" s="11"/>
      <c r="P9" s="7"/>
      <c r="Q9" s="8"/>
      <c r="R9" s="7"/>
      <c r="S9" s="7"/>
      <c r="T9" s="12"/>
      <c r="U9" s="7"/>
      <c r="V9" s="7"/>
    </row>
    <row r="10" spans="1:22" x14ac:dyDescent="0.25">
      <c r="A10" s="19"/>
      <c r="B10" s="20"/>
      <c r="C10" s="17"/>
      <c r="D10" s="18"/>
      <c r="E10" s="18"/>
      <c r="F10" s="7"/>
      <c r="G10" s="7"/>
      <c r="H10" s="7"/>
      <c r="I10" s="7"/>
      <c r="J10" s="11"/>
      <c r="K10" s="11"/>
      <c r="L10" s="7"/>
      <c r="M10" s="11"/>
      <c r="N10" s="11"/>
      <c r="O10" s="11"/>
      <c r="P10" s="7"/>
      <c r="Q10" s="8"/>
      <c r="R10" s="7"/>
      <c r="S10" s="7"/>
      <c r="T10" s="12"/>
      <c r="U10" s="7"/>
      <c r="V10" s="7"/>
    </row>
    <row r="11" spans="1:22" x14ac:dyDescent="0.25">
      <c r="A11" s="19"/>
      <c r="B11" s="20"/>
      <c r="C11" s="17"/>
      <c r="D11" s="18"/>
      <c r="E11" s="18"/>
      <c r="F11" s="7"/>
      <c r="G11" s="7"/>
      <c r="H11" s="7"/>
      <c r="I11" s="7"/>
      <c r="J11" s="11"/>
      <c r="K11" s="11"/>
      <c r="L11" s="7"/>
      <c r="M11" s="11"/>
      <c r="N11" s="11"/>
      <c r="O11" s="11"/>
      <c r="P11" s="7"/>
      <c r="Q11" s="8"/>
      <c r="R11" s="7"/>
      <c r="S11" s="7"/>
      <c r="T11" s="12"/>
      <c r="U11" s="7"/>
      <c r="V11" s="7"/>
    </row>
    <row r="12" spans="1:22" x14ac:dyDescent="0.25">
      <c r="A12" s="19"/>
      <c r="B12" s="20"/>
      <c r="C12" s="17"/>
      <c r="D12" s="18"/>
      <c r="E12" s="18"/>
      <c r="F12" s="7"/>
      <c r="G12" s="7"/>
      <c r="H12" s="7"/>
      <c r="I12" s="7"/>
      <c r="J12" s="11"/>
      <c r="K12" s="11"/>
      <c r="L12" s="7"/>
      <c r="M12" s="11"/>
      <c r="N12" s="11"/>
      <c r="O12" s="11"/>
      <c r="P12" s="7"/>
      <c r="Q12" s="8"/>
      <c r="R12" s="7"/>
      <c r="S12" s="7"/>
      <c r="T12" s="12"/>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s>
  <conditionalFormatting sqref="G3:T4 F5:V44">
    <cfRule type="cellIs" dxfId="529" priority="20" operator="equal">
      <formula>"F"</formula>
    </cfRule>
    <cfRule type="cellIs" dxfId="528" priority="21" operator="equal">
      <formula>"OK"</formula>
    </cfRule>
    <cfRule type="cellIs" dxfId="527" priority="22" operator="between">
      <formula>6</formula>
      <formula>18</formula>
    </cfRule>
  </conditionalFormatting>
  <conditionalFormatting sqref="C1:E1 A2:E2 C3:C4 E3:E4 A5:E1048576">
    <cfRule type="expression" dxfId="526" priority="18">
      <formula>$A1="FALTA"</formula>
    </cfRule>
    <cfRule type="expression" dxfId="525" priority="19">
      <formula>$A1="COMPLETO"</formula>
    </cfRule>
  </conditionalFormatting>
  <conditionalFormatting sqref="D3:D4">
    <cfRule type="expression" dxfId="524" priority="14">
      <formula>$A3="FALTA"</formula>
    </cfRule>
    <cfRule type="expression" dxfId="523" priority="15">
      <formula>$A3="COMPLETO"</formula>
    </cfRule>
  </conditionalFormatting>
  <conditionalFormatting sqref="B3">
    <cfRule type="expression" dxfId="522" priority="16">
      <formula>$A3="FALTA"</formula>
    </cfRule>
    <cfRule type="expression" dxfId="521" priority="17">
      <formula>$A3="COMPLETO"</formula>
    </cfRule>
  </conditionalFormatting>
  <conditionalFormatting sqref="F4">
    <cfRule type="cellIs" dxfId="520" priority="11" operator="equal">
      <formula>"F"</formula>
    </cfRule>
    <cfRule type="cellIs" dxfId="519" priority="12" operator="equal">
      <formula>"OK"</formula>
    </cfRule>
    <cfRule type="cellIs" dxfId="518" priority="13" operator="between">
      <formula>6</formula>
      <formula>18</formula>
    </cfRule>
  </conditionalFormatting>
  <conditionalFormatting sqref="A1:B1">
    <cfRule type="expression" dxfId="517" priority="9">
      <formula>$A1="FALTA"</formula>
    </cfRule>
    <cfRule type="expression" dxfId="516" priority="10">
      <formula>$A1="COMPLETO"</formula>
    </cfRule>
  </conditionalFormatting>
  <conditionalFormatting sqref="U3:V3">
    <cfRule type="cellIs" dxfId="515" priority="6" operator="equal">
      <formula>"F"</formula>
    </cfRule>
    <cfRule type="cellIs" dxfId="514" priority="7" operator="equal">
      <formula>"OK"</formula>
    </cfRule>
    <cfRule type="cellIs" dxfId="513" priority="8" operator="between">
      <formula>6</formula>
      <formula>18</formula>
    </cfRule>
  </conditionalFormatting>
  <conditionalFormatting sqref="F3">
    <cfRule type="cellIs" dxfId="512" priority="3" operator="equal">
      <formula>"F"</formula>
    </cfRule>
    <cfRule type="cellIs" dxfId="511" priority="4" operator="equal">
      <formula>"OK"</formula>
    </cfRule>
    <cfRule type="cellIs" dxfId="510" priority="5" operator="between">
      <formula>6</formula>
      <formula>18</formula>
    </cfRule>
  </conditionalFormatting>
  <conditionalFormatting sqref="A3">
    <cfRule type="expression" dxfId="509" priority="1">
      <formula>$A3="FALTA"</formula>
    </cfRule>
    <cfRule type="expression" dxfId="508"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tabColor rgb="FF004079"/>
    <outlinePr summaryBelow="0" summaryRight="0"/>
  </sheetPr>
  <dimension ref="A1:V44"/>
  <sheetViews>
    <sheetView zoomScaleNormal="100" workbookViewId="0">
      <pane ySplit="2" topLeftCell="A1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ZGuardabosques 3</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COMPLETO</v>
      </c>
      <c r="B3" s="385" t="s">
        <v>116</v>
      </c>
      <c r="C3" s="23" t="s">
        <v>146</v>
      </c>
      <c r="D3" s="29" t="s">
        <v>5</v>
      </c>
      <c r="E3" s="10" t="s">
        <v>612</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1" t="s">
        <v>53</v>
      </c>
      <c r="V3" s="381" t="s">
        <v>53</v>
      </c>
    </row>
    <row r="4" spans="1:22" x14ac:dyDescent="0.25">
      <c r="A4" s="384"/>
      <c r="B4" s="386"/>
      <c r="C4" s="23" t="s">
        <v>611</v>
      </c>
      <c r="D4" s="29" t="s">
        <v>6</v>
      </c>
      <c r="E4" s="10" t="s">
        <v>613</v>
      </c>
      <c r="F4" s="30">
        <f>COUNTIF(A5:A44,"*COMPLETO*")/COUNTA(A5:A44)</f>
        <v>1</v>
      </c>
      <c r="G4" s="24"/>
      <c r="H4" s="24" t="s">
        <v>18</v>
      </c>
      <c r="I4" s="11" t="s">
        <v>53</v>
      </c>
      <c r="J4" s="24"/>
      <c r="K4" s="24"/>
      <c r="L4" s="24" t="s">
        <v>23</v>
      </c>
      <c r="M4" s="11" t="s">
        <v>53</v>
      </c>
      <c r="N4" s="24"/>
      <c r="O4" s="24"/>
      <c r="P4" s="11"/>
      <c r="Q4" s="24" t="s">
        <v>26</v>
      </c>
      <c r="R4" s="11" t="s">
        <v>7</v>
      </c>
      <c r="S4" s="24" t="s">
        <v>19</v>
      </c>
      <c r="T4" s="11" t="s">
        <v>53</v>
      </c>
      <c r="U4" s="382"/>
      <c r="V4" s="382"/>
    </row>
    <row r="5" spans="1:22" ht="15" customHeight="1" x14ac:dyDescent="0.25">
      <c r="A5" s="19" t="str">
        <f>IF(COUNTIF(F5:V5,"F")&gt;0,"FALTA","COMPLETO")</f>
        <v>COMPLETO</v>
      </c>
      <c r="B5" s="20" t="s">
        <v>151</v>
      </c>
      <c r="C5" s="17" t="s">
        <v>614</v>
      </c>
      <c r="D5" s="18" t="s">
        <v>640</v>
      </c>
      <c r="E5" s="18" t="s">
        <v>641</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t="s">
        <v>53</v>
      </c>
      <c r="V5" s="7" t="s">
        <v>53</v>
      </c>
    </row>
    <row r="6" spans="1:22" ht="14.25" customHeight="1" x14ac:dyDescent="0.25">
      <c r="A6" s="19" t="str">
        <f t="shared" ref="A6:A31" si="0">IF(COUNTIF(F6:V6,"F")&gt;0,"FALTA","COMPLETO")</f>
        <v>COMPLETO</v>
      </c>
      <c r="B6" s="20" t="s">
        <v>155</v>
      </c>
      <c r="C6" s="17" t="s">
        <v>615</v>
      </c>
      <c r="D6" s="18" t="s">
        <v>642</v>
      </c>
      <c r="E6" s="18" t="s">
        <v>643</v>
      </c>
      <c r="F6" s="7" t="s">
        <v>53</v>
      </c>
      <c r="G6" s="7" t="s">
        <v>53</v>
      </c>
      <c r="H6" s="7" t="s">
        <v>53</v>
      </c>
      <c r="I6" s="7" t="s">
        <v>9</v>
      </c>
      <c r="J6" s="11" t="s">
        <v>9</v>
      </c>
      <c r="K6" s="11" t="s">
        <v>9</v>
      </c>
      <c r="L6" s="7" t="s">
        <v>9</v>
      </c>
      <c r="M6" s="11" t="s">
        <v>9</v>
      </c>
      <c r="N6" s="11" t="s">
        <v>9</v>
      </c>
      <c r="O6" s="11" t="s">
        <v>9</v>
      </c>
      <c r="P6" s="7">
        <v>12</v>
      </c>
      <c r="Q6" s="8" t="s">
        <v>53</v>
      </c>
      <c r="R6" s="7" t="s">
        <v>53</v>
      </c>
      <c r="S6" s="7" t="s">
        <v>53</v>
      </c>
      <c r="T6" s="12" t="s">
        <v>9</v>
      </c>
      <c r="U6" s="7" t="s">
        <v>53</v>
      </c>
      <c r="V6" s="7">
        <v>12</v>
      </c>
    </row>
    <row r="7" spans="1:22" ht="15" customHeight="1" x14ac:dyDescent="0.25">
      <c r="A7" s="19" t="str">
        <f t="shared" si="0"/>
        <v>COMPLETO</v>
      </c>
      <c r="B7" s="20" t="s">
        <v>156</v>
      </c>
      <c r="C7" s="17" t="s">
        <v>616</v>
      </c>
      <c r="D7" s="18" t="s">
        <v>644</v>
      </c>
      <c r="E7" s="18" t="s">
        <v>645</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53</v>
      </c>
      <c r="V7" s="7" t="s">
        <v>53</v>
      </c>
    </row>
    <row r="8" spans="1:22" x14ac:dyDescent="0.25">
      <c r="A8" s="19" t="str">
        <f t="shared" si="0"/>
        <v>COMPLETO</v>
      </c>
      <c r="B8" s="20" t="s">
        <v>158</v>
      </c>
      <c r="C8" s="17" t="s">
        <v>1361</v>
      </c>
      <c r="D8" s="18" t="s">
        <v>646</v>
      </c>
      <c r="E8" s="18" t="s">
        <v>647</v>
      </c>
      <c r="F8" s="7" t="s">
        <v>53</v>
      </c>
      <c r="G8" s="7" t="s">
        <v>53</v>
      </c>
      <c r="H8" s="7" t="s">
        <v>53</v>
      </c>
      <c r="I8" s="7" t="s">
        <v>9</v>
      </c>
      <c r="J8" s="11" t="s">
        <v>9</v>
      </c>
      <c r="K8" s="11" t="s">
        <v>9</v>
      </c>
      <c r="L8" s="7" t="s">
        <v>9</v>
      </c>
      <c r="M8" s="11" t="s">
        <v>9</v>
      </c>
      <c r="N8" s="11" t="s">
        <v>9</v>
      </c>
      <c r="O8" s="11" t="s">
        <v>9</v>
      </c>
      <c r="P8" s="7">
        <v>18</v>
      </c>
      <c r="Q8" s="8" t="s">
        <v>53</v>
      </c>
      <c r="R8" s="7" t="s">
        <v>53</v>
      </c>
      <c r="S8" s="7" t="s">
        <v>53</v>
      </c>
      <c r="T8" s="12" t="s">
        <v>9</v>
      </c>
      <c r="U8" s="7" t="s">
        <v>53</v>
      </c>
      <c r="V8" s="7">
        <v>18</v>
      </c>
    </row>
    <row r="9" spans="1:22" x14ac:dyDescent="0.25">
      <c r="A9" s="19" t="str">
        <f t="shared" si="0"/>
        <v>COMPLETO</v>
      </c>
      <c r="B9" s="20" t="s">
        <v>160</v>
      </c>
      <c r="C9" s="17" t="s">
        <v>617</v>
      </c>
      <c r="D9" s="18" t="s">
        <v>648</v>
      </c>
      <c r="E9" s="18" t="s">
        <v>649</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162</v>
      </c>
      <c r="C10" s="17" t="s">
        <v>618</v>
      </c>
      <c r="D10" s="18" t="s">
        <v>650</v>
      </c>
      <c r="E10" s="18" t="s">
        <v>651</v>
      </c>
      <c r="F10" s="7" t="s">
        <v>53</v>
      </c>
      <c r="G10" s="7" t="s">
        <v>53</v>
      </c>
      <c r="H10" s="7" t="s">
        <v>53</v>
      </c>
      <c r="I10" s="7" t="s">
        <v>9</v>
      </c>
      <c r="J10" s="11" t="s">
        <v>9</v>
      </c>
      <c r="K10" s="11" t="s">
        <v>9</v>
      </c>
      <c r="L10" s="7" t="s">
        <v>9</v>
      </c>
      <c r="M10" s="11" t="s">
        <v>9</v>
      </c>
      <c r="N10" s="11" t="s">
        <v>9</v>
      </c>
      <c r="O10" s="11" t="s">
        <v>9</v>
      </c>
      <c r="P10" s="7">
        <v>12</v>
      </c>
      <c r="Q10" s="8" t="s">
        <v>53</v>
      </c>
      <c r="R10" s="7" t="s">
        <v>53</v>
      </c>
      <c r="S10" s="7" t="s">
        <v>53</v>
      </c>
      <c r="T10" s="12" t="s">
        <v>9</v>
      </c>
      <c r="U10" s="7" t="s">
        <v>53</v>
      </c>
      <c r="V10" s="7" t="s">
        <v>53</v>
      </c>
    </row>
    <row r="11" spans="1:22" x14ac:dyDescent="0.25">
      <c r="A11" s="19" t="str">
        <f t="shared" si="0"/>
        <v>COMPLETO</v>
      </c>
      <c r="B11" s="20" t="s">
        <v>164</v>
      </c>
      <c r="C11" s="17" t="s">
        <v>619</v>
      </c>
      <c r="D11" s="18" t="s">
        <v>652</v>
      </c>
      <c r="E11" s="18" t="s">
        <v>653</v>
      </c>
      <c r="F11" s="7" t="s">
        <v>53</v>
      </c>
      <c r="G11" s="7" t="s">
        <v>53</v>
      </c>
      <c r="H11" s="7" t="s">
        <v>53</v>
      </c>
      <c r="I11" s="7" t="s">
        <v>53</v>
      </c>
      <c r="J11" s="11" t="s">
        <v>9</v>
      </c>
      <c r="K11" s="11" t="s">
        <v>9</v>
      </c>
      <c r="L11" s="7" t="s">
        <v>9</v>
      </c>
      <c r="M11" s="11" t="s">
        <v>9</v>
      </c>
      <c r="N11" s="11" t="s">
        <v>9</v>
      </c>
      <c r="O11" s="11" t="s">
        <v>9</v>
      </c>
      <c r="P11" s="7">
        <v>12</v>
      </c>
      <c r="Q11" s="8" t="s">
        <v>53</v>
      </c>
      <c r="R11" s="7" t="s">
        <v>53</v>
      </c>
      <c r="S11" s="7" t="s">
        <v>53</v>
      </c>
      <c r="T11" s="12" t="s">
        <v>9</v>
      </c>
      <c r="U11" s="7" t="s">
        <v>53</v>
      </c>
      <c r="V11" s="7">
        <v>12</v>
      </c>
    </row>
    <row r="12" spans="1:22" x14ac:dyDescent="0.25">
      <c r="A12" s="19" t="str">
        <f t="shared" si="0"/>
        <v>COMPLETO</v>
      </c>
      <c r="B12" s="20" t="s">
        <v>166</v>
      </c>
      <c r="C12" s="17" t="s">
        <v>620</v>
      </c>
      <c r="D12" s="18" t="s">
        <v>654</v>
      </c>
      <c r="E12" s="18" t="s">
        <v>655</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t="s">
        <v>53</v>
      </c>
      <c r="V12" s="7" t="s">
        <v>53</v>
      </c>
    </row>
    <row r="13" spans="1:22" x14ac:dyDescent="0.25">
      <c r="A13" s="19" t="str">
        <f t="shared" si="0"/>
        <v>COMPLETO</v>
      </c>
      <c r="B13" s="20" t="s">
        <v>168</v>
      </c>
      <c r="C13" s="17" t="s">
        <v>621</v>
      </c>
      <c r="D13" s="18" t="s">
        <v>656</v>
      </c>
      <c r="E13" s="18" t="s">
        <v>657</v>
      </c>
      <c r="F13" s="7" t="s">
        <v>53</v>
      </c>
      <c r="G13" s="7" t="s">
        <v>53</v>
      </c>
      <c r="H13" s="7" t="s">
        <v>53</v>
      </c>
      <c r="I13" s="7" t="s">
        <v>53</v>
      </c>
      <c r="J13" s="11" t="s">
        <v>9</v>
      </c>
      <c r="K13" s="11" t="s">
        <v>9</v>
      </c>
      <c r="L13" s="7" t="s">
        <v>9</v>
      </c>
      <c r="M13" s="11" t="s">
        <v>9</v>
      </c>
      <c r="N13" s="11" t="s">
        <v>9</v>
      </c>
      <c r="O13" s="11" t="s">
        <v>9</v>
      </c>
      <c r="P13" s="7" t="s">
        <v>9</v>
      </c>
      <c r="Q13" s="8" t="s">
        <v>7</v>
      </c>
      <c r="R13" s="7" t="s">
        <v>9</v>
      </c>
      <c r="S13" s="7" t="s">
        <v>9</v>
      </c>
      <c r="T13" s="12" t="s">
        <v>9</v>
      </c>
      <c r="U13" s="7" t="s">
        <v>53</v>
      </c>
      <c r="V13" s="7" t="s">
        <v>53</v>
      </c>
    </row>
    <row r="14" spans="1:22" x14ac:dyDescent="0.25">
      <c r="A14" s="19" t="str">
        <f t="shared" si="0"/>
        <v>COMPLETO</v>
      </c>
      <c r="B14" s="20" t="s">
        <v>170</v>
      </c>
      <c r="C14" s="17" t="s">
        <v>622</v>
      </c>
      <c r="D14" s="18" t="s">
        <v>658</v>
      </c>
      <c r="E14" s="18" t="s">
        <v>659</v>
      </c>
      <c r="F14" s="7" t="s">
        <v>53</v>
      </c>
      <c r="G14" s="7" t="s">
        <v>53</v>
      </c>
      <c r="H14" s="7" t="s">
        <v>53</v>
      </c>
      <c r="I14" s="7" t="s">
        <v>53</v>
      </c>
      <c r="J14" s="11" t="s">
        <v>53</v>
      </c>
      <c r="K14" s="11" t="s">
        <v>9</v>
      </c>
      <c r="L14" s="7" t="s">
        <v>9</v>
      </c>
      <c r="M14" s="11" t="s">
        <v>9</v>
      </c>
      <c r="N14" s="11" t="s">
        <v>9</v>
      </c>
      <c r="O14" s="11" t="s">
        <v>9</v>
      </c>
      <c r="P14" s="7" t="s">
        <v>9</v>
      </c>
      <c r="Q14" s="8" t="s">
        <v>7</v>
      </c>
      <c r="R14" s="7" t="s">
        <v>9</v>
      </c>
      <c r="S14" s="7" t="s">
        <v>9</v>
      </c>
      <c r="T14" s="12" t="s">
        <v>9</v>
      </c>
      <c r="U14" s="7" t="s">
        <v>53</v>
      </c>
      <c r="V14" s="7" t="s">
        <v>53</v>
      </c>
    </row>
    <row r="15" spans="1:22" x14ac:dyDescent="0.25">
      <c r="A15" s="19" t="str">
        <f t="shared" si="0"/>
        <v>COMPLETO</v>
      </c>
      <c r="B15" s="20" t="s">
        <v>172</v>
      </c>
      <c r="C15" s="17" t="s">
        <v>623</v>
      </c>
      <c r="D15" s="18" t="s">
        <v>660</v>
      </c>
      <c r="E15" s="18" t="s">
        <v>661</v>
      </c>
      <c r="F15" s="7" t="s">
        <v>53</v>
      </c>
      <c r="G15" s="7" t="s">
        <v>53</v>
      </c>
      <c r="H15" s="7" t="s">
        <v>53</v>
      </c>
      <c r="I15" s="7" t="s">
        <v>53</v>
      </c>
      <c r="J15" s="11" t="s">
        <v>9</v>
      </c>
      <c r="K15" s="11" t="s">
        <v>9</v>
      </c>
      <c r="L15" s="7" t="s">
        <v>9</v>
      </c>
      <c r="M15" s="11" t="s">
        <v>9</v>
      </c>
      <c r="N15" s="11" t="s">
        <v>9</v>
      </c>
      <c r="O15" s="11" t="s">
        <v>9</v>
      </c>
      <c r="P15" s="7">
        <v>12</v>
      </c>
      <c r="Q15" s="8" t="s">
        <v>53</v>
      </c>
      <c r="R15" s="7" t="s">
        <v>53</v>
      </c>
      <c r="S15" s="7" t="s">
        <v>53</v>
      </c>
      <c r="T15" s="12" t="s">
        <v>9</v>
      </c>
      <c r="U15" s="7" t="s">
        <v>53</v>
      </c>
      <c r="V15" s="7">
        <v>12</v>
      </c>
    </row>
    <row r="16" spans="1:22" x14ac:dyDescent="0.25">
      <c r="A16" s="19" t="str">
        <f t="shared" si="0"/>
        <v>COMPLETO</v>
      </c>
      <c r="B16" s="20" t="s">
        <v>174</v>
      </c>
      <c r="C16" s="17" t="s">
        <v>624</v>
      </c>
      <c r="D16" s="18" t="s">
        <v>662</v>
      </c>
      <c r="E16" s="18" t="s">
        <v>663</v>
      </c>
      <c r="F16" s="7" t="s">
        <v>53</v>
      </c>
      <c r="G16" s="7" t="s">
        <v>53</v>
      </c>
      <c r="H16" s="7" t="s">
        <v>53</v>
      </c>
      <c r="I16" s="7" t="s">
        <v>9</v>
      </c>
      <c r="J16" s="11" t="s">
        <v>9</v>
      </c>
      <c r="K16" s="11" t="s">
        <v>9</v>
      </c>
      <c r="L16" s="7" t="s">
        <v>9</v>
      </c>
      <c r="M16" s="11" t="s">
        <v>53</v>
      </c>
      <c r="N16" s="11" t="s">
        <v>53</v>
      </c>
      <c r="O16" s="11" t="s">
        <v>53</v>
      </c>
      <c r="P16" s="7" t="s">
        <v>9</v>
      </c>
      <c r="Q16" s="8" t="s">
        <v>7</v>
      </c>
      <c r="R16" s="7" t="s">
        <v>9</v>
      </c>
      <c r="S16" s="7" t="s">
        <v>9</v>
      </c>
      <c r="T16" s="12" t="s">
        <v>9</v>
      </c>
      <c r="U16" s="7" t="s">
        <v>53</v>
      </c>
      <c r="V16" s="7" t="s">
        <v>53</v>
      </c>
    </row>
    <row r="17" spans="1:22" x14ac:dyDescent="0.25">
      <c r="A17" s="19" t="str">
        <f t="shared" si="0"/>
        <v>COMPLETO</v>
      </c>
      <c r="B17" s="20" t="s">
        <v>175</v>
      </c>
      <c r="C17" s="17" t="s">
        <v>625</v>
      </c>
      <c r="D17" s="18" t="s">
        <v>664</v>
      </c>
      <c r="E17" s="18" t="s">
        <v>665</v>
      </c>
      <c r="F17" s="7" t="s">
        <v>53</v>
      </c>
      <c r="G17" s="7" t="s">
        <v>53</v>
      </c>
      <c r="H17" s="7" t="s">
        <v>53</v>
      </c>
      <c r="I17" s="7" t="s">
        <v>53</v>
      </c>
      <c r="J17" s="11" t="s">
        <v>9</v>
      </c>
      <c r="K17" s="11" t="s">
        <v>9</v>
      </c>
      <c r="L17" s="7" t="s">
        <v>9</v>
      </c>
      <c r="M17" s="11" t="s">
        <v>9</v>
      </c>
      <c r="N17" s="11" t="s">
        <v>9</v>
      </c>
      <c r="O17" s="11" t="s">
        <v>9</v>
      </c>
      <c r="P17" s="7">
        <v>12</v>
      </c>
      <c r="Q17" s="8" t="s">
        <v>53</v>
      </c>
      <c r="R17" s="7" t="s">
        <v>53</v>
      </c>
      <c r="S17" s="7" t="s">
        <v>53</v>
      </c>
      <c r="T17" s="12" t="s">
        <v>9</v>
      </c>
      <c r="U17" s="7" t="s">
        <v>53</v>
      </c>
      <c r="V17" s="7" t="s">
        <v>53</v>
      </c>
    </row>
    <row r="18" spans="1:22" x14ac:dyDescent="0.25">
      <c r="A18" s="19" t="str">
        <f t="shared" si="0"/>
        <v>COMPLETO</v>
      </c>
      <c r="B18" s="20" t="s">
        <v>177</v>
      </c>
      <c r="C18" s="17" t="s">
        <v>626</v>
      </c>
      <c r="D18" s="18" t="s">
        <v>666</v>
      </c>
      <c r="E18" s="18" t="s">
        <v>667</v>
      </c>
      <c r="F18" s="7" t="s">
        <v>53</v>
      </c>
      <c r="G18" s="7" t="s">
        <v>53</v>
      </c>
      <c r="H18" s="7" t="s">
        <v>53</v>
      </c>
      <c r="I18" s="7" t="s">
        <v>53</v>
      </c>
      <c r="J18" s="11" t="s">
        <v>9</v>
      </c>
      <c r="K18" s="11" t="s">
        <v>9</v>
      </c>
      <c r="L18" s="7" t="s">
        <v>9</v>
      </c>
      <c r="M18" s="11" t="s">
        <v>9</v>
      </c>
      <c r="N18" s="11" t="s">
        <v>9</v>
      </c>
      <c r="O18" s="11" t="s">
        <v>9</v>
      </c>
      <c r="P18" s="7" t="s">
        <v>9</v>
      </c>
      <c r="Q18" s="8" t="s">
        <v>7</v>
      </c>
      <c r="R18" s="7" t="s">
        <v>9</v>
      </c>
      <c r="S18" s="7" t="s">
        <v>9</v>
      </c>
      <c r="T18" s="12" t="s">
        <v>9</v>
      </c>
      <c r="U18" s="7" t="s">
        <v>53</v>
      </c>
      <c r="V18" s="7" t="s">
        <v>53</v>
      </c>
    </row>
    <row r="19" spans="1:22" x14ac:dyDescent="0.25">
      <c r="A19" s="19" t="str">
        <f t="shared" si="0"/>
        <v>COMPLETO</v>
      </c>
      <c r="B19" s="20" t="s">
        <v>179</v>
      </c>
      <c r="C19" s="17" t="s">
        <v>627</v>
      </c>
      <c r="D19" s="18" t="s">
        <v>668</v>
      </c>
      <c r="E19" s="18" t="s">
        <v>669</v>
      </c>
      <c r="F19" s="7" t="s">
        <v>53</v>
      </c>
      <c r="G19" s="7" t="s">
        <v>53</v>
      </c>
      <c r="H19" s="7" t="s">
        <v>53</v>
      </c>
      <c r="I19" s="7" t="s">
        <v>53</v>
      </c>
      <c r="J19" s="11" t="s">
        <v>9</v>
      </c>
      <c r="K19" s="11" t="s">
        <v>9</v>
      </c>
      <c r="L19" s="7" t="s">
        <v>9</v>
      </c>
      <c r="M19" s="11" t="s">
        <v>9</v>
      </c>
      <c r="N19" s="11" t="s">
        <v>9</v>
      </c>
      <c r="O19" s="11" t="s">
        <v>9</v>
      </c>
      <c r="P19" s="7"/>
      <c r="Q19" s="8" t="s">
        <v>53</v>
      </c>
      <c r="R19" s="7" t="s">
        <v>53</v>
      </c>
      <c r="S19" s="7" t="s">
        <v>53</v>
      </c>
      <c r="T19" s="12" t="s">
        <v>9</v>
      </c>
      <c r="U19" s="7" t="s">
        <v>53</v>
      </c>
      <c r="V19" s="7">
        <v>12</v>
      </c>
    </row>
    <row r="20" spans="1:22" x14ac:dyDescent="0.25">
      <c r="A20" s="19" t="str">
        <f t="shared" si="0"/>
        <v>COMPLETO</v>
      </c>
      <c r="B20" s="20" t="s">
        <v>181</v>
      </c>
      <c r="C20" s="17" t="s">
        <v>628</v>
      </c>
      <c r="D20" s="18" t="s">
        <v>670</v>
      </c>
      <c r="E20" s="18" t="s">
        <v>671</v>
      </c>
      <c r="F20" s="7" t="s">
        <v>53</v>
      </c>
      <c r="G20" s="7" t="s">
        <v>53</v>
      </c>
      <c r="H20" s="7" t="s">
        <v>53</v>
      </c>
      <c r="I20" s="7" t="s">
        <v>53</v>
      </c>
      <c r="J20" s="11" t="s">
        <v>9</v>
      </c>
      <c r="K20" s="11" t="s">
        <v>9</v>
      </c>
      <c r="L20" s="7" t="s">
        <v>9</v>
      </c>
      <c r="M20" s="11" t="s">
        <v>9</v>
      </c>
      <c r="N20" s="11" t="s">
        <v>9</v>
      </c>
      <c r="O20" s="11" t="s">
        <v>9</v>
      </c>
      <c r="P20" s="7">
        <v>6</v>
      </c>
      <c r="Q20" s="8" t="s">
        <v>53</v>
      </c>
      <c r="R20" s="7" t="s">
        <v>53</v>
      </c>
      <c r="S20" s="7" t="s">
        <v>53</v>
      </c>
      <c r="T20" s="12" t="s">
        <v>9</v>
      </c>
      <c r="U20" s="7" t="s">
        <v>53</v>
      </c>
      <c r="V20" s="7">
        <v>6</v>
      </c>
    </row>
    <row r="21" spans="1:22" x14ac:dyDescent="0.25">
      <c r="A21" s="19" t="str">
        <f t="shared" si="0"/>
        <v>COMPLETO</v>
      </c>
      <c r="B21" s="20" t="s">
        <v>183</v>
      </c>
      <c r="C21" s="17" t="s">
        <v>629</v>
      </c>
      <c r="D21" s="18" t="s">
        <v>672</v>
      </c>
      <c r="E21" s="18" t="s">
        <v>673</v>
      </c>
      <c r="F21" s="7" t="s">
        <v>53</v>
      </c>
      <c r="G21" s="7" t="s">
        <v>53</v>
      </c>
      <c r="H21" s="7" t="s">
        <v>53</v>
      </c>
      <c r="I21" s="7" t="s">
        <v>53</v>
      </c>
      <c r="J21" s="11" t="s">
        <v>9</v>
      </c>
      <c r="K21" s="11" t="s">
        <v>9</v>
      </c>
      <c r="L21" s="7" t="s">
        <v>9</v>
      </c>
      <c r="M21" s="11" t="s">
        <v>9</v>
      </c>
      <c r="N21" s="11" t="s">
        <v>9</v>
      </c>
      <c r="O21" s="11" t="s">
        <v>9</v>
      </c>
      <c r="P21" s="7" t="s">
        <v>9</v>
      </c>
      <c r="Q21" s="8" t="s">
        <v>7</v>
      </c>
      <c r="R21" s="7" t="s">
        <v>9</v>
      </c>
      <c r="S21" s="7" t="s">
        <v>9</v>
      </c>
      <c r="T21" s="12" t="s">
        <v>9</v>
      </c>
      <c r="U21" s="7" t="s">
        <v>53</v>
      </c>
      <c r="V21" s="7" t="s">
        <v>53</v>
      </c>
    </row>
    <row r="22" spans="1:22" x14ac:dyDescent="0.25">
      <c r="A22" s="19" t="str">
        <f t="shared" si="0"/>
        <v>COMPLETO</v>
      </c>
      <c r="B22" s="20" t="s">
        <v>185</v>
      </c>
      <c r="C22" s="17" t="s">
        <v>630</v>
      </c>
      <c r="D22" s="18" t="s">
        <v>674</v>
      </c>
      <c r="E22" s="18" t="s">
        <v>675</v>
      </c>
      <c r="F22" s="7" t="s">
        <v>53</v>
      </c>
      <c r="G22" s="7" t="s">
        <v>53</v>
      </c>
      <c r="H22" s="7" t="s">
        <v>53</v>
      </c>
      <c r="I22" s="7" t="s">
        <v>53</v>
      </c>
      <c r="J22" s="11" t="s">
        <v>53</v>
      </c>
      <c r="K22" s="11" t="s">
        <v>53</v>
      </c>
      <c r="L22" s="7" t="s">
        <v>9</v>
      </c>
      <c r="M22" s="11" t="s">
        <v>9</v>
      </c>
      <c r="N22" s="11" t="s">
        <v>9</v>
      </c>
      <c r="O22" s="11" t="s">
        <v>9</v>
      </c>
      <c r="P22" s="7" t="s">
        <v>9</v>
      </c>
      <c r="Q22" s="8" t="s">
        <v>7</v>
      </c>
      <c r="R22" s="7" t="s">
        <v>9</v>
      </c>
      <c r="S22" s="7" t="s">
        <v>9</v>
      </c>
      <c r="T22" s="12" t="s">
        <v>9</v>
      </c>
      <c r="U22" s="7" t="s">
        <v>53</v>
      </c>
      <c r="V22" s="7" t="s">
        <v>53</v>
      </c>
    </row>
    <row r="23" spans="1:22" x14ac:dyDescent="0.25">
      <c r="A23" s="19" t="str">
        <f t="shared" si="0"/>
        <v>COMPLETO</v>
      </c>
      <c r="B23" s="20" t="s">
        <v>187</v>
      </c>
      <c r="C23" s="17" t="s">
        <v>631</v>
      </c>
      <c r="D23" s="18" t="s">
        <v>676</v>
      </c>
      <c r="E23" s="18" t="s">
        <v>677</v>
      </c>
      <c r="F23" s="7" t="s">
        <v>53</v>
      </c>
      <c r="G23" s="7" t="s">
        <v>53</v>
      </c>
      <c r="H23" s="7" t="s">
        <v>53</v>
      </c>
      <c r="I23" s="7" t="s">
        <v>9</v>
      </c>
      <c r="J23" s="11" t="s">
        <v>9</v>
      </c>
      <c r="K23" s="11" t="s">
        <v>9</v>
      </c>
      <c r="L23" s="7" t="s">
        <v>9</v>
      </c>
      <c r="M23" s="11" t="s">
        <v>9</v>
      </c>
      <c r="N23" s="11" t="s">
        <v>9</v>
      </c>
      <c r="O23" s="11" t="s">
        <v>9</v>
      </c>
      <c r="P23" s="7" t="s">
        <v>9</v>
      </c>
      <c r="Q23" s="8" t="s">
        <v>7</v>
      </c>
      <c r="R23" s="7" t="s">
        <v>9</v>
      </c>
      <c r="S23" s="7" t="s">
        <v>9</v>
      </c>
      <c r="T23" s="12" t="s">
        <v>9</v>
      </c>
      <c r="U23" s="7" t="s">
        <v>53</v>
      </c>
      <c r="V23" s="7" t="s">
        <v>53</v>
      </c>
    </row>
    <row r="24" spans="1:22" x14ac:dyDescent="0.25">
      <c r="A24" s="19" t="str">
        <f t="shared" si="0"/>
        <v>COMPLETO</v>
      </c>
      <c r="B24" s="20" t="s">
        <v>337</v>
      </c>
      <c r="C24" s="17" t="s">
        <v>632</v>
      </c>
      <c r="D24" s="18" t="s">
        <v>678</v>
      </c>
      <c r="E24" s="18" t="s">
        <v>679</v>
      </c>
      <c r="F24" s="7" t="s">
        <v>53</v>
      </c>
      <c r="G24" s="7" t="s">
        <v>53</v>
      </c>
      <c r="H24" s="7" t="s">
        <v>53</v>
      </c>
      <c r="I24" s="7" t="s">
        <v>9</v>
      </c>
      <c r="J24" s="11" t="s">
        <v>9</v>
      </c>
      <c r="K24" s="11" t="s">
        <v>9</v>
      </c>
      <c r="L24" s="7" t="s">
        <v>9</v>
      </c>
      <c r="M24" s="11" t="s">
        <v>9</v>
      </c>
      <c r="N24" s="11" t="s">
        <v>9</v>
      </c>
      <c r="O24" s="11" t="s">
        <v>9</v>
      </c>
      <c r="P24" s="7" t="s">
        <v>9</v>
      </c>
      <c r="Q24" s="8" t="s">
        <v>7</v>
      </c>
      <c r="R24" s="7" t="s">
        <v>9</v>
      </c>
      <c r="S24" s="7" t="s">
        <v>9</v>
      </c>
      <c r="T24" s="12" t="s">
        <v>9</v>
      </c>
      <c r="U24" s="7" t="s">
        <v>53</v>
      </c>
      <c r="V24" s="7" t="s">
        <v>53</v>
      </c>
    </row>
    <row r="25" spans="1:22" x14ac:dyDescent="0.25">
      <c r="A25" s="19" t="str">
        <f t="shared" si="0"/>
        <v>COMPLETO</v>
      </c>
      <c r="B25" s="20" t="s">
        <v>339</v>
      </c>
      <c r="C25" s="17" t="s">
        <v>633</v>
      </c>
      <c r="D25" s="18" t="s">
        <v>680</v>
      </c>
      <c r="E25" s="18" t="s">
        <v>2486</v>
      </c>
      <c r="F25" s="7" t="s">
        <v>53</v>
      </c>
      <c r="G25" s="7" t="s">
        <v>53</v>
      </c>
      <c r="H25" s="7" t="s">
        <v>53</v>
      </c>
      <c r="I25" s="7" t="s">
        <v>9</v>
      </c>
      <c r="J25" s="11" t="s">
        <v>9</v>
      </c>
      <c r="K25" s="11" t="s">
        <v>9</v>
      </c>
      <c r="L25" s="7" t="s">
        <v>9</v>
      </c>
      <c r="M25" s="11" t="s">
        <v>9</v>
      </c>
      <c r="N25" s="11" t="s">
        <v>9</v>
      </c>
      <c r="O25" s="11" t="s">
        <v>9</v>
      </c>
      <c r="P25" s="7">
        <v>12</v>
      </c>
      <c r="Q25" s="8" t="s">
        <v>53</v>
      </c>
      <c r="R25" s="7" t="s">
        <v>53</v>
      </c>
      <c r="S25" s="7" t="s">
        <v>53</v>
      </c>
      <c r="T25" s="12" t="s">
        <v>9</v>
      </c>
      <c r="U25" s="7" t="s">
        <v>53</v>
      </c>
      <c r="V25" s="7" t="s">
        <v>53</v>
      </c>
    </row>
    <row r="26" spans="1:22" x14ac:dyDescent="0.25">
      <c r="A26" s="19" t="str">
        <f t="shared" si="0"/>
        <v>COMPLETO</v>
      </c>
      <c r="B26" s="20" t="s">
        <v>341</v>
      </c>
      <c r="C26" s="17" t="s">
        <v>634</v>
      </c>
      <c r="D26" s="18" t="s">
        <v>681</v>
      </c>
      <c r="E26" s="18" t="s">
        <v>682</v>
      </c>
      <c r="F26" s="7" t="s">
        <v>53</v>
      </c>
      <c r="G26" s="7" t="s">
        <v>53</v>
      </c>
      <c r="H26" s="7" t="s">
        <v>53</v>
      </c>
      <c r="I26" s="7" t="s">
        <v>53</v>
      </c>
      <c r="J26" s="11" t="s">
        <v>9</v>
      </c>
      <c r="K26" s="11" t="s">
        <v>9</v>
      </c>
      <c r="L26" s="7" t="s">
        <v>9</v>
      </c>
      <c r="M26" s="11" t="s">
        <v>9</v>
      </c>
      <c r="N26" s="11" t="s">
        <v>9</v>
      </c>
      <c r="O26" s="11" t="s">
        <v>9</v>
      </c>
      <c r="P26" s="7">
        <v>12</v>
      </c>
      <c r="Q26" s="8" t="s">
        <v>53</v>
      </c>
      <c r="R26" s="7" t="s">
        <v>53</v>
      </c>
      <c r="S26" s="7" t="s">
        <v>53</v>
      </c>
      <c r="T26" s="12" t="s">
        <v>9</v>
      </c>
      <c r="U26" s="7" t="s">
        <v>53</v>
      </c>
      <c r="V26" s="7" t="s">
        <v>53</v>
      </c>
    </row>
    <row r="27" spans="1:22" x14ac:dyDescent="0.25">
      <c r="A27" s="19" t="str">
        <f t="shared" si="0"/>
        <v>COMPLETO</v>
      </c>
      <c r="B27" s="20" t="s">
        <v>343</v>
      </c>
      <c r="C27" s="17" t="s">
        <v>635</v>
      </c>
      <c r="D27" s="18" t="s">
        <v>683</v>
      </c>
      <c r="E27" s="18" t="s">
        <v>684</v>
      </c>
      <c r="F27" s="7" t="s">
        <v>53</v>
      </c>
      <c r="G27" s="7" t="s">
        <v>53</v>
      </c>
      <c r="H27" s="7" t="s">
        <v>53</v>
      </c>
      <c r="I27" s="7" t="s">
        <v>53</v>
      </c>
      <c r="J27" s="11" t="s">
        <v>9</v>
      </c>
      <c r="K27" s="11" t="s">
        <v>9</v>
      </c>
      <c r="L27" s="7" t="s">
        <v>9</v>
      </c>
      <c r="M27" s="11" t="s">
        <v>9</v>
      </c>
      <c r="N27" s="11" t="s">
        <v>9</v>
      </c>
      <c r="O27" s="11" t="s">
        <v>9</v>
      </c>
      <c r="P27" s="7" t="s">
        <v>9</v>
      </c>
      <c r="Q27" s="8" t="s">
        <v>7</v>
      </c>
      <c r="R27" s="7" t="s">
        <v>9</v>
      </c>
      <c r="S27" s="7" t="s">
        <v>9</v>
      </c>
      <c r="T27" s="12" t="s">
        <v>9</v>
      </c>
      <c r="U27" s="7" t="s">
        <v>53</v>
      </c>
      <c r="V27" s="7" t="s">
        <v>53</v>
      </c>
    </row>
    <row r="28" spans="1:22" x14ac:dyDescent="0.25">
      <c r="A28" s="19" t="str">
        <f t="shared" si="0"/>
        <v>COMPLETO</v>
      </c>
      <c r="B28" s="20" t="s">
        <v>345</v>
      </c>
      <c r="C28" s="17" t="s">
        <v>636</v>
      </c>
      <c r="D28" s="18" t="s">
        <v>685</v>
      </c>
      <c r="E28" s="18" t="s">
        <v>686</v>
      </c>
      <c r="F28" s="7" t="s">
        <v>53</v>
      </c>
      <c r="G28" s="7" t="s">
        <v>53</v>
      </c>
      <c r="H28" s="7" t="s">
        <v>53</v>
      </c>
      <c r="I28" s="7" t="s">
        <v>53</v>
      </c>
      <c r="J28" s="11" t="s">
        <v>9</v>
      </c>
      <c r="K28" s="11" t="s">
        <v>9</v>
      </c>
      <c r="L28" s="7" t="s">
        <v>9</v>
      </c>
      <c r="M28" s="11" t="s">
        <v>9</v>
      </c>
      <c r="N28" s="11" t="s">
        <v>9</v>
      </c>
      <c r="O28" s="11" t="s">
        <v>9</v>
      </c>
      <c r="P28" s="7" t="s">
        <v>9</v>
      </c>
      <c r="Q28" s="8" t="s">
        <v>7</v>
      </c>
      <c r="R28" s="7" t="s">
        <v>9</v>
      </c>
      <c r="S28" s="7" t="s">
        <v>9</v>
      </c>
      <c r="T28" s="12" t="s">
        <v>9</v>
      </c>
      <c r="U28" s="7" t="s">
        <v>53</v>
      </c>
      <c r="V28" s="7" t="s">
        <v>53</v>
      </c>
    </row>
    <row r="29" spans="1:22" x14ac:dyDescent="0.25">
      <c r="A29" s="19" t="str">
        <f t="shared" si="0"/>
        <v>COMPLETO</v>
      </c>
      <c r="B29" s="20" t="s">
        <v>347</v>
      </c>
      <c r="C29" s="17" t="s">
        <v>637</v>
      </c>
      <c r="D29" s="18" t="s">
        <v>687</v>
      </c>
      <c r="E29" s="18" t="s">
        <v>688</v>
      </c>
      <c r="F29" s="7" t="s">
        <v>53</v>
      </c>
      <c r="G29" s="7" t="s">
        <v>53</v>
      </c>
      <c r="H29" s="7" t="s">
        <v>53</v>
      </c>
      <c r="I29" s="7" t="s">
        <v>9</v>
      </c>
      <c r="J29" s="11" t="s">
        <v>9</v>
      </c>
      <c r="K29" s="11" t="s">
        <v>9</v>
      </c>
      <c r="L29" s="7" t="s">
        <v>9</v>
      </c>
      <c r="M29" s="11" t="s">
        <v>9</v>
      </c>
      <c r="N29" s="11" t="s">
        <v>9</v>
      </c>
      <c r="O29" s="11" t="s">
        <v>9</v>
      </c>
      <c r="P29" s="7" t="s">
        <v>9</v>
      </c>
      <c r="Q29" s="8" t="s">
        <v>7</v>
      </c>
      <c r="R29" s="7" t="s">
        <v>9</v>
      </c>
      <c r="S29" s="7" t="s">
        <v>9</v>
      </c>
      <c r="T29" s="12" t="s">
        <v>9</v>
      </c>
      <c r="U29" s="7" t="s">
        <v>53</v>
      </c>
      <c r="V29" s="7" t="s">
        <v>53</v>
      </c>
    </row>
    <row r="30" spans="1:22" x14ac:dyDescent="0.25">
      <c r="A30" s="19" t="str">
        <f t="shared" si="0"/>
        <v>COMPLETO</v>
      </c>
      <c r="B30" s="20" t="s">
        <v>349</v>
      </c>
      <c r="C30" s="17" t="s">
        <v>638</v>
      </c>
      <c r="D30" s="18" t="s">
        <v>689</v>
      </c>
      <c r="E30" s="18" t="s">
        <v>690</v>
      </c>
      <c r="F30" s="7" t="s">
        <v>53</v>
      </c>
      <c r="G30" s="7" t="s">
        <v>53</v>
      </c>
      <c r="H30" s="7" t="s">
        <v>53</v>
      </c>
      <c r="I30" s="7" t="s">
        <v>53</v>
      </c>
      <c r="J30" s="11" t="s">
        <v>9</v>
      </c>
      <c r="K30" s="11" t="s">
        <v>9</v>
      </c>
      <c r="L30" s="7" t="s">
        <v>9</v>
      </c>
      <c r="M30" s="11" t="s">
        <v>9</v>
      </c>
      <c r="N30" s="11" t="s">
        <v>9</v>
      </c>
      <c r="O30" s="11" t="s">
        <v>9</v>
      </c>
      <c r="P30" s="7">
        <v>12</v>
      </c>
      <c r="Q30" s="8" t="s">
        <v>53</v>
      </c>
      <c r="R30" s="7" t="s">
        <v>53</v>
      </c>
      <c r="S30" s="7" t="s">
        <v>53</v>
      </c>
      <c r="T30" s="12" t="s">
        <v>9</v>
      </c>
      <c r="U30" s="7" t="s">
        <v>53</v>
      </c>
      <c r="V30" s="7">
        <v>12</v>
      </c>
    </row>
    <row r="31" spans="1:22" x14ac:dyDescent="0.25">
      <c r="A31" s="19" t="str">
        <f t="shared" si="0"/>
        <v>COMPLETO</v>
      </c>
      <c r="B31" s="20" t="s">
        <v>351</v>
      </c>
      <c r="C31" s="17" t="s">
        <v>639</v>
      </c>
      <c r="D31" s="18" t="s">
        <v>691</v>
      </c>
      <c r="E31" s="18" t="s">
        <v>692</v>
      </c>
      <c r="F31" s="7" t="s">
        <v>53</v>
      </c>
      <c r="G31" s="7" t="s">
        <v>53</v>
      </c>
      <c r="H31" s="7" t="s">
        <v>53</v>
      </c>
      <c r="I31" s="7" t="s">
        <v>53</v>
      </c>
      <c r="J31" s="11" t="s">
        <v>9</v>
      </c>
      <c r="K31" s="11" t="s">
        <v>9</v>
      </c>
      <c r="L31" s="7" t="s">
        <v>9</v>
      </c>
      <c r="M31" s="11" t="s">
        <v>9</v>
      </c>
      <c r="N31" s="11" t="s">
        <v>9</v>
      </c>
      <c r="O31" s="11" t="s">
        <v>9</v>
      </c>
      <c r="P31" s="7" t="s">
        <v>9</v>
      </c>
      <c r="Q31" s="8" t="s">
        <v>7</v>
      </c>
      <c r="R31" s="7" t="s">
        <v>9</v>
      </c>
      <c r="S31" s="7" t="s">
        <v>9</v>
      </c>
      <c r="T31" s="12" t="s">
        <v>9</v>
      </c>
      <c r="U31" s="7" t="s">
        <v>53</v>
      </c>
      <c r="V31" s="7" t="s">
        <v>53</v>
      </c>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507" priority="35" operator="equal">
      <formula>"F"</formula>
    </cfRule>
    <cfRule type="cellIs" dxfId="506" priority="36" operator="equal">
      <formula>"OK"</formula>
    </cfRule>
    <cfRule type="cellIs" dxfId="505" priority="37" operator="between">
      <formula>6</formula>
      <formula>18</formula>
    </cfRule>
  </conditionalFormatting>
  <conditionalFormatting sqref="C1:E1 A2:E2 C3:C4 E3:E4 A5:E1048576">
    <cfRule type="expression" dxfId="504" priority="33">
      <formula>$A1="FALTA"</formula>
    </cfRule>
    <cfRule type="expression" dxfId="503" priority="34">
      <formula>$A1="COMPLETO"</formula>
    </cfRule>
  </conditionalFormatting>
  <conditionalFormatting sqref="B3">
    <cfRule type="expression" dxfId="502" priority="19">
      <formula>$A3="FALTA"</formula>
    </cfRule>
    <cfRule type="expression" dxfId="501" priority="20">
      <formula>$A3="COMPLETO"</formula>
    </cfRule>
  </conditionalFormatting>
  <conditionalFormatting sqref="D3:D4">
    <cfRule type="expression" dxfId="500" priority="17">
      <formula>$A3="FALTA"</formula>
    </cfRule>
    <cfRule type="expression" dxfId="499" priority="18">
      <formula>$A3="COMPLETO"</formula>
    </cfRule>
  </conditionalFormatting>
  <conditionalFormatting sqref="F4">
    <cfRule type="cellIs" dxfId="498" priority="14" operator="equal">
      <formula>"F"</formula>
    </cfRule>
    <cfRule type="cellIs" dxfId="497" priority="15" operator="equal">
      <formula>"OK"</formula>
    </cfRule>
    <cfRule type="cellIs" dxfId="496" priority="16" operator="between">
      <formula>6</formula>
      <formula>18</formula>
    </cfRule>
  </conditionalFormatting>
  <conditionalFormatting sqref="A1:B1">
    <cfRule type="expression" dxfId="495" priority="12">
      <formula>$A1="FALTA"</formula>
    </cfRule>
    <cfRule type="expression" dxfId="494" priority="13">
      <formula>$A1="COMPLETO"</formula>
    </cfRule>
  </conditionalFormatting>
  <conditionalFormatting sqref="U3:V3">
    <cfRule type="cellIs" dxfId="493" priority="6" operator="equal">
      <formula>"F"</formula>
    </cfRule>
    <cfRule type="cellIs" dxfId="492" priority="7" operator="equal">
      <formula>"OK"</formula>
    </cfRule>
    <cfRule type="cellIs" dxfId="491" priority="8" operator="between">
      <formula>6</formula>
      <formula>18</formula>
    </cfRule>
  </conditionalFormatting>
  <conditionalFormatting sqref="F3">
    <cfRule type="cellIs" dxfId="490" priority="3" operator="equal">
      <formula>"F"</formula>
    </cfRule>
    <cfRule type="cellIs" dxfId="489" priority="4" operator="equal">
      <formula>"OK"</formula>
    </cfRule>
    <cfRule type="cellIs" dxfId="488" priority="5" operator="between">
      <formula>6</formula>
      <formula>18</formula>
    </cfRule>
  </conditionalFormatting>
  <conditionalFormatting sqref="A3">
    <cfRule type="expression" dxfId="487" priority="1">
      <formula>$A3="FALTA"</formula>
    </cfRule>
    <cfRule type="expression" dxfId="486"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0">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ZJorge de Montemayor 34</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COMPLETO</v>
      </c>
      <c r="B3" s="385" t="s">
        <v>116</v>
      </c>
      <c r="C3" s="23" t="s">
        <v>693</v>
      </c>
      <c r="D3" s="29" t="s">
        <v>5</v>
      </c>
      <c r="E3" s="10" t="s">
        <v>694</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1"/>
      <c r="V3" s="381"/>
    </row>
    <row r="4" spans="1:22" x14ac:dyDescent="0.25">
      <c r="A4" s="384"/>
      <c r="B4" s="386"/>
      <c r="C4" s="23" t="s">
        <v>693</v>
      </c>
      <c r="D4" s="29" t="s">
        <v>6</v>
      </c>
      <c r="E4" s="10" t="s">
        <v>694</v>
      </c>
      <c r="F4" s="30">
        <f>COUNTIF(A5:A44,"*COMPLETO*")/COUNTA(A5:A44)</f>
        <v>1</v>
      </c>
      <c r="G4" s="24"/>
      <c r="H4" s="24" t="s">
        <v>18</v>
      </c>
      <c r="I4" s="11" t="s">
        <v>7</v>
      </c>
      <c r="J4" s="24"/>
      <c r="K4" s="24"/>
      <c r="L4" s="24" t="s">
        <v>23</v>
      </c>
      <c r="M4" s="11" t="s">
        <v>7</v>
      </c>
      <c r="N4" s="24"/>
      <c r="O4" s="24"/>
      <c r="P4" s="11"/>
      <c r="Q4" s="24" t="s">
        <v>26</v>
      </c>
      <c r="R4" s="11" t="s">
        <v>53</v>
      </c>
      <c r="S4" s="24" t="s">
        <v>19</v>
      </c>
      <c r="T4" s="11" t="s">
        <v>53</v>
      </c>
      <c r="U4" s="382"/>
      <c r="V4" s="382"/>
    </row>
    <row r="5" spans="1:22" ht="15" customHeight="1" x14ac:dyDescent="0.25">
      <c r="A5" s="19" t="str">
        <f>IF(COUNTIF(F5:V5,"F")&gt;0,"FALTA","COMPLETO")</f>
        <v>COMPLETO</v>
      </c>
      <c r="B5" s="20" t="s">
        <v>2410</v>
      </c>
      <c r="C5" s="17" t="s">
        <v>693</v>
      </c>
      <c r="D5" s="18" t="s">
        <v>694</v>
      </c>
      <c r="E5" s="18" t="s">
        <v>695</v>
      </c>
      <c r="F5" s="7" t="s">
        <v>53</v>
      </c>
      <c r="G5" s="7" t="s">
        <v>53</v>
      </c>
      <c r="H5" s="7" t="s">
        <v>53</v>
      </c>
      <c r="I5" s="7" t="s">
        <v>9</v>
      </c>
      <c r="J5" s="11" t="s">
        <v>9</v>
      </c>
      <c r="K5" s="11" t="s">
        <v>9</v>
      </c>
      <c r="L5" s="7" t="s">
        <v>9</v>
      </c>
      <c r="M5" s="11" t="s">
        <v>9</v>
      </c>
      <c r="N5" s="11" t="s">
        <v>9</v>
      </c>
      <c r="O5" s="11" t="s">
        <v>9</v>
      </c>
      <c r="P5" s="7" t="s">
        <v>9</v>
      </c>
      <c r="Q5" s="8" t="s">
        <v>7</v>
      </c>
      <c r="R5" s="7" t="s">
        <v>9</v>
      </c>
      <c r="S5" s="7" t="s">
        <v>9</v>
      </c>
      <c r="T5" s="12" t="s">
        <v>9</v>
      </c>
      <c r="U5" s="7"/>
      <c r="V5" s="7"/>
    </row>
    <row r="6" spans="1:22" ht="15" customHeight="1" x14ac:dyDescent="0.25">
      <c r="A6" s="19" t="str">
        <f>IF(COUNTIF(F6:V6,"F")&gt;0,"FALTA","COMPLETO")</f>
        <v>COMPLETO</v>
      </c>
      <c r="B6" s="20">
        <v>1</v>
      </c>
      <c r="C6" s="17" t="s">
        <v>693</v>
      </c>
      <c r="D6" s="18" t="s">
        <v>694</v>
      </c>
      <c r="E6" s="18" t="s">
        <v>695</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IF(COUNTIF(F7:V7,"F")&gt;0,"FALTA","COMPLETO")</f>
        <v>COMPLETO</v>
      </c>
      <c r="B7" s="20">
        <v>2</v>
      </c>
      <c r="C7" s="17" t="s">
        <v>693</v>
      </c>
      <c r="D7" s="18" t="s">
        <v>694</v>
      </c>
      <c r="E7" s="18" t="s">
        <v>695</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IF(COUNTIF(F8:V8,"F")&gt;0,"FALTA","COMPLETO")</f>
        <v>COMPLETO</v>
      </c>
      <c r="B8" s="20">
        <v>3</v>
      </c>
      <c r="C8" s="17" t="s">
        <v>693</v>
      </c>
      <c r="D8" s="18" t="s">
        <v>694</v>
      </c>
      <c r="E8" s="18" t="s">
        <v>695</v>
      </c>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c r="V8" s="7"/>
    </row>
    <row r="9" spans="1:22" x14ac:dyDescent="0.25">
      <c r="A9" s="19" t="str">
        <f>IF(COUNTIF(F9:V9,"F")&gt;0,"FALTA","COMPLETO")</f>
        <v>COMPLETO</v>
      </c>
      <c r="B9" s="20">
        <v>4</v>
      </c>
      <c r="C9" s="17" t="s">
        <v>693</v>
      </c>
      <c r="D9" s="18" t="s">
        <v>694</v>
      </c>
      <c r="E9" s="18" t="s">
        <v>695</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c r="V9" s="7"/>
    </row>
    <row r="10" spans="1:22" x14ac:dyDescent="0.25">
      <c r="A10" s="19"/>
      <c r="B10" s="20"/>
      <c r="C10" s="17"/>
      <c r="D10" s="18"/>
      <c r="E10" s="18"/>
      <c r="F10" s="7"/>
      <c r="G10" s="7"/>
      <c r="H10" s="7"/>
      <c r="I10" s="7"/>
      <c r="J10" s="11"/>
      <c r="K10" s="11"/>
      <c r="L10" s="7"/>
      <c r="M10" s="11"/>
      <c r="N10" s="11"/>
      <c r="O10" s="11"/>
      <c r="P10" s="7"/>
      <c r="Q10" s="8"/>
      <c r="R10" s="7"/>
      <c r="S10" s="7"/>
      <c r="T10" s="12"/>
      <c r="U10" s="7"/>
      <c r="V10" s="7"/>
    </row>
    <row r="11" spans="1:22" x14ac:dyDescent="0.25">
      <c r="A11" s="19"/>
      <c r="B11" s="20"/>
      <c r="C11" s="17"/>
      <c r="D11" s="18"/>
      <c r="E11" s="18"/>
      <c r="F11" s="7"/>
      <c r="G11" s="7"/>
      <c r="H11" s="7"/>
      <c r="I11" s="7"/>
      <c r="J11" s="11"/>
      <c r="K11" s="11"/>
      <c r="L11" s="7"/>
      <c r="M11" s="11"/>
      <c r="N11" s="11"/>
      <c r="O11" s="11"/>
      <c r="P11" s="7"/>
      <c r="Q11" s="8"/>
      <c r="R11" s="7"/>
      <c r="S11" s="7"/>
      <c r="T11" s="12"/>
      <c r="U11" s="7"/>
      <c r="V11" s="7"/>
    </row>
    <row r="12" spans="1:22" x14ac:dyDescent="0.25">
      <c r="A12" s="19"/>
      <c r="B12" s="20"/>
      <c r="C12" s="17"/>
      <c r="D12" s="18"/>
      <c r="E12" s="18"/>
      <c r="F12" s="7"/>
      <c r="G12" s="7"/>
      <c r="H12" s="7"/>
      <c r="I12" s="7"/>
      <c r="J12" s="11"/>
      <c r="K12" s="11"/>
      <c r="L12" s="7"/>
      <c r="M12" s="11"/>
      <c r="N12" s="11"/>
      <c r="O12" s="11"/>
      <c r="P12" s="7"/>
      <c r="Q12" s="8"/>
      <c r="R12" s="7"/>
      <c r="S12" s="7"/>
      <c r="T12" s="12"/>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485" priority="29" operator="equal">
      <formula>"F"</formula>
    </cfRule>
    <cfRule type="cellIs" dxfId="484" priority="30" operator="equal">
      <formula>"OK"</formula>
    </cfRule>
    <cfRule type="cellIs" dxfId="483" priority="31" operator="between">
      <formula>6</formula>
      <formula>18</formula>
    </cfRule>
  </conditionalFormatting>
  <conditionalFormatting sqref="C1:E1 A2:E2 C3:C4 E3:E4 A5:E1048576">
    <cfRule type="expression" dxfId="482" priority="27">
      <formula>$A1="FALTA"</formula>
    </cfRule>
    <cfRule type="expression" dxfId="481" priority="28">
      <formula>$A1="COMPLETO"</formula>
    </cfRule>
  </conditionalFormatting>
  <conditionalFormatting sqref="B3">
    <cfRule type="expression" dxfId="480" priority="19">
      <formula>$A3="FALTA"</formula>
    </cfRule>
    <cfRule type="expression" dxfId="479" priority="20">
      <formula>$A3="COMPLETO"</formula>
    </cfRule>
  </conditionalFormatting>
  <conditionalFormatting sqref="D3:D4">
    <cfRule type="expression" dxfId="478" priority="17">
      <formula>$A3="FALTA"</formula>
    </cfRule>
    <cfRule type="expression" dxfId="477" priority="18">
      <formula>$A3="COMPLETO"</formula>
    </cfRule>
  </conditionalFormatting>
  <conditionalFormatting sqref="F4">
    <cfRule type="cellIs" dxfId="476" priority="14" operator="equal">
      <formula>"F"</formula>
    </cfRule>
    <cfRule type="cellIs" dxfId="475" priority="15" operator="equal">
      <formula>"OK"</formula>
    </cfRule>
    <cfRule type="cellIs" dxfId="474" priority="16" operator="between">
      <formula>6</formula>
      <formula>18</formula>
    </cfRule>
  </conditionalFormatting>
  <conditionalFormatting sqref="A1:B1">
    <cfRule type="expression" dxfId="473" priority="12">
      <formula>$A1="FALTA"</formula>
    </cfRule>
    <cfRule type="expression" dxfId="472" priority="13">
      <formula>$A1="COMPLETO"</formula>
    </cfRule>
  </conditionalFormatting>
  <conditionalFormatting sqref="U3:V3">
    <cfRule type="cellIs" dxfId="471" priority="6" operator="equal">
      <formula>"F"</formula>
    </cfRule>
    <cfRule type="cellIs" dxfId="470" priority="7" operator="equal">
      <formula>"OK"</formula>
    </cfRule>
    <cfRule type="cellIs" dxfId="469" priority="8" operator="between">
      <formula>6</formula>
      <formula>18</formula>
    </cfRule>
  </conditionalFormatting>
  <conditionalFormatting sqref="F3">
    <cfRule type="cellIs" dxfId="468" priority="3" operator="equal">
      <formula>"F"</formula>
    </cfRule>
    <cfRule type="cellIs" dxfId="467" priority="4" operator="equal">
      <formula>"OK"</formula>
    </cfRule>
    <cfRule type="cellIs" dxfId="466" priority="5" operator="between">
      <formula>6</formula>
      <formula>18</formula>
    </cfRule>
  </conditionalFormatting>
  <conditionalFormatting sqref="A3">
    <cfRule type="expression" dxfId="465" priority="1">
      <formula>$A3="FALTA"</formula>
    </cfRule>
    <cfRule type="expression" dxfId="464"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2">
    <tabColor rgb="FF004079"/>
    <outlinePr summaryBelow="0" summaryRight="0"/>
  </sheetPr>
  <dimension ref="A1:V44"/>
  <sheetViews>
    <sheetView zoomScaleNormal="100" workbookViewId="0">
      <pane ySplit="2" topLeftCell="A3" activePane="bottomLeft" state="frozen"/>
      <selection pane="bottomLeft" activeCell="P5" sqref="P5:S11"/>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ZJuan Pablos 17</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COMPLETO</v>
      </c>
      <c r="B3" s="385" t="s">
        <v>116</v>
      </c>
      <c r="C3" s="23" t="s">
        <v>705</v>
      </c>
      <c r="D3" s="29" t="s">
        <v>5</v>
      </c>
      <c r="E3" s="10" t="s">
        <v>1358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1" t="s">
        <v>53</v>
      </c>
      <c r="V3" s="381" t="s">
        <v>53</v>
      </c>
    </row>
    <row r="4" spans="1:22" x14ac:dyDescent="0.25">
      <c r="A4" s="384"/>
      <c r="B4" s="386"/>
      <c r="C4" s="23" t="s">
        <v>697</v>
      </c>
      <c r="D4" s="29" t="s">
        <v>6</v>
      </c>
      <c r="E4" s="10" t="s">
        <v>711</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2"/>
      <c r="V4" s="382"/>
    </row>
    <row r="5" spans="1:22" ht="15" customHeight="1" x14ac:dyDescent="0.25">
      <c r="A5" s="19" t="str">
        <f>IF(COUNTIF(F5:V5,"F")&gt;0,"FALTA","COMPLETO")</f>
        <v>COMPLETO</v>
      </c>
      <c r="B5" s="20" t="s">
        <v>696</v>
      </c>
      <c r="C5" s="17" t="s">
        <v>697</v>
      </c>
      <c r="D5" s="18" t="s">
        <v>712</v>
      </c>
      <c r="E5" s="18" t="s">
        <v>713</v>
      </c>
      <c r="F5" s="7" t="s">
        <v>53</v>
      </c>
      <c r="G5" s="7" t="s">
        <v>53</v>
      </c>
      <c r="H5" s="7" t="s">
        <v>53</v>
      </c>
      <c r="I5" s="7" t="s">
        <v>53</v>
      </c>
      <c r="J5" s="11" t="s">
        <v>9</v>
      </c>
      <c r="K5" s="11" t="s">
        <v>9</v>
      </c>
      <c r="L5" s="7" t="s">
        <v>9</v>
      </c>
      <c r="M5" s="11" t="s">
        <v>9</v>
      </c>
      <c r="N5" s="11" t="s">
        <v>9</v>
      </c>
      <c r="O5" s="11" t="s">
        <v>9</v>
      </c>
      <c r="P5" s="7" t="s">
        <v>9</v>
      </c>
      <c r="Q5" s="8" t="s">
        <v>9</v>
      </c>
      <c r="R5" s="7" t="s">
        <v>9</v>
      </c>
      <c r="S5" s="7" t="s">
        <v>9</v>
      </c>
      <c r="T5" s="12" t="s">
        <v>9</v>
      </c>
      <c r="U5" s="7" t="s">
        <v>53</v>
      </c>
      <c r="V5" s="7" t="s">
        <v>116</v>
      </c>
    </row>
    <row r="6" spans="1:22" ht="15" customHeight="1" x14ac:dyDescent="0.25">
      <c r="A6" s="19" t="str">
        <f t="shared" ref="A6:A12" si="0">IF(COUNTIF(F6:V6,"F")&gt;0,"FALTA","COMPLETO")</f>
        <v>COMPLETO</v>
      </c>
      <c r="B6" s="20" t="s">
        <v>698</v>
      </c>
      <c r="C6" s="17" t="s">
        <v>699</v>
      </c>
      <c r="D6" s="18" t="s">
        <v>714</v>
      </c>
      <c r="E6" s="18" t="s">
        <v>715</v>
      </c>
      <c r="F6" s="7" t="s">
        <v>53</v>
      </c>
      <c r="G6" s="7" t="s">
        <v>53</v>
      </c>
      <c r="H6" s="7" t="s">
        <v>53</v>
      </c>
      <c r="I6" s="7" t="s">
        <v>53</v>
      </c>
      <c r="J6" s="11" t="s">
        <v>9</v>
      </c>
      <c r="K6" s="11" t="s">
        <v>9</v>
      </c>
      <c r="L6" s="7" t="s">
        <v>9</v>
      </c>
      <c r="M6" s="11" t="s">
        <v>9</v>
      </c>
      <c r="N6" s="11" t="s">
        <v>9</v>
      </c>
      <c r="O6" s="11" t="s">
        <v>9</v>
      </c>
      <c r="P6" s="7" t="s">
        <v>9</v>
      </c>
      <c r="Q6" s="8" t="s">
        <v>9</v>
      </c>
      <c r="R6" s="7" t="s">
        <v>9</v>
      </c>
      <c r="S6" s="7" t="s">
        <v>9</v>
      </c>
      <c r="T6" s="12" t="s">
        <v>9</v>
      </c>
      <c r="U6" s="7" t="s">
        <v>53</v>
      </c>
      <c r="V6" s="7" t="s">
        <v>116</v>
      </c>
    </row>
    <row r="7" spans="1:22" ht="15" customHeight="1" x14ac:dyDescent="0.25">
      <c r="A7" s="19" t="str">
        <f t="shared" si="0"/>
        <v>COMPLETO</v>
      </c>
      <c r="B7" s="20" t="s">
        <v>700</v>
      </c>
      <c r="C7" s="17" t="s">
        <v>701</v>
      </c>
      <c r="D7" s="18" t="s">
        <v>716</v>
      </c>
      <c r="E7" s="18" t="s">
        <v>717</v>
      </c>
      <c r="F7" s="7" t="s">
        <v>53</v>
      </c>
      <c r="G7" s="7" t="s">
        <v>53</v>
      </c>
      <c r="H7" s="7" t="s">
        <v>53</v>
      </c>
      <c r="I7" s="7" t="s">
        <v>9</v>
      </c>
      <c r="J7" s="11" t="s">
        <v>9</v>
      </c>
      <c r="K7" s="11" t="s">
        <v>9</v>
      </c>
      <c r="L7" s="7" t="s">
        <v>9</v>
      </c>
      <c r="M7" s="11" t="s">
        <v>9</v>
      </c>
      <c r="N7" s="11" t="s">
        <v>9</v>
      </c>
      <c r="O7" s="11" t="s">
        <v>9</v>
      </c>
      <c r="P7" s="7" t="s">
        <v>9</v>
      </c>
      <c r="Q7" s="8" t="s">
        <v>9</v>
      </c>
      <c r="R7" s="7" t="s">
        <v>9</v>
      </c>
      <c r="S7" s="7" t="s">
        <v>9</v>
      </c>
      <c r="T7" s="12" t="s">
        <v>9</v>
      </c>
      <c r="U7" s="7" t="s">
        <v>53</v>
      </c>
      <c r="V7" s="7" t="s">
        <v>116</v>
      </c>
    </row>
    <row r="8" spans="1:22" x14ac:dyDescent="0.25">
      <c r="A8" s="19" t="str">
        <f t="shared" si="0"/>
        <v>COMPLETO</v>
      </c>
      <c r="B8" s="20" t="s">
        <v>702</v>
      </c>
      <c r="C8" s="17" t="s">
        <v>703</v>
      </c>
      <c r="D8" s="18" t="s">
        <v>718</v>
      </c>
      <c r="E8" s="18" t="s">
        <v>719</v>
      </c>
      <c r="F8" s="7" t="s">
        <v>53</v>
      </c>
      <c r="G8" s="7" t="s">
        <v>53</v>
      </c>
      <c r="H8" s="7" t="s">
        <v>53</v>
      </c>
      <c r="I8" s="7" t="s">
        <v>53</v>
      </c>
      <c r="J8" s="11" t="s">
        <v>53</v>
      </c>
      <c r="K8" s="11" t="s">
        <v>53</v>
      </c>
      <c r="L8" s="7" t="s">
        <v>9</v>
      </c>
      <c r="M8" s="11" t="s">
        <v>9</v>
      </c>
      <c r="N8" s="11" t="s">
        <v>9</v>
      </c>
      <c r="O8" s="11" t="s">
        <v>9</v>
      </c>
      <c r="P8" s="7" t="s">
        <v>9</v>
      </c>
      <c r="Q8" s="8" t="s">
        <v>9</v>
      </c>
      <c r="R8" s="7" t="s">
        <v>9</v>
      </c>
      <c r="S8" s="7" t="s">
        <v>9</v>
      </c>
      <c r="T8" s="12" t="s">
        <v>9</v>
      </c>
      <c r="U8" s="7" t="s">
        <v>53</v>
      </c>
      <c r="V8" s="7" t="s">
        <v>116</v>
      </c>
    </row>
    <row r="9" spans="1:22" x14ac:dyDescent="0.25">
      <c r="A9" s="19" t="str">
        <f t="shared" si="0"/>
        <v>COMPLETO</v>
      </c>
      <c r="B9" s="20" t="s">
        <v>704</v>
      </c>
      <c r="C9" s="17" t="s">
        <v>705</v>
      </c>
      <c r="D9" s="18" t="s">
        <v>720</v>
      </c>
      <c r="E9" s="18" t="s">
        <v>721</v>
      </c>
      <c r="F9" s="7" t="s">
        <v>53</v>
      </c>
      <c r="G9" s="7" t="s">
        <v>53</v>
      </c>
      <c r="H9" s="7" t="s">
        <v>53</v>
      </c>
      <c r="I9" s="7" t="s">
        <v>53</v>
      </c>
      <c r="J9" s="11" t="s">
        <v>9</v>
      </c>
      <c r="K9" s="11" t="s">
        <v>9</v>
      </c>
      <c r="L9" s="7" t="s">
        <v>9</v>
      </c>
      <c r="M9" s="11" t="s">
        <v>9</v>
      </c>
      <c r="N9" s="11" t="s">
        <v>9</v>
      </c>
      <c r="O9" s="11" t="s">
        <v>9</v>
      </c>
      <c r="P9" s="7" t="s">
        <v>9</v>
      </c>
      <c r="Q9" s="8" t="s">
        <v>9</v>
      </c>
      <c r="R9" s="7" t="s">
        <v>9</v>
      </c>
      <c r="S9" s="7" t="s">
        <v>9</v>
      </c>
      <c r="T9" s="12" t="s">
        <v>9</v>
      </c>
      <c r="U9" s="7" t="s">
        <v>53</v>
      </c>
      <c r="V9" s="7" t="s">
        <v>116</v>
      </c>
    </row>
    <row r="10" spans="1:22" x14ac:dyDescent="0.25">
      <c r="A10" s="19" t="str">
        <f t="shared" si="0"/>
        <v>COMPLETO</v>
      </c>
      <c r="B10" s="20" t="s">
        <v>706</v>
      </c>
      <c r="C10" s="17" t="s">
        <v>707</v>
      </c>
      <c r="D10" s="18" t="s">
        <v>722</v>
      </c>
      <c r="E10" s="18" t="s">
        <v>723</v>
      </c>
      <c r="F10" s="7" t="s">
        <v>53</v>
      </c>
      <c r="G10" s="7" t="s">
        <v>53</v>
      </c>
      <c r="H10" s="7" t="s">
        <v>53</v>
      </c>
      <c r="I10" s="7" t="s">
        <v>9</v>
      </c>
      <c r="J10" s="11" t="s">
        <v>9</v>
      </c>
      <c r="K10" s="11" t="s">
        <v>9</v>
      </c>
      <c r="L10" s="7" t="s">
        <v>9</v>
      </c>
      <c r="M10" s="11" t="s">
        <v>9</v>
      </c>
      <c r="N10" s="11" t="s">
        <v>9</v>
      </c>
      <c r="O10" s="11" t="s">
        <v>9</v>
      </c>
      <c r="P10" s="7" t="s">
        <v>9</v>
      </c>
      <c r="Q10" s="8" t="s">
        <v>9</v>
      </c>
      <c r="R10" s="7" t="s">
        <v>9</v>
      </c>
      <c r="S10" s="7" t="s">
        <v>9</v>
      </c>
      <c r="T10" s="12" t="s">
        <v>9</v>
      </c>
      <c r="U10" s="7" t="s">
        <v>53</v>
      </c>
      <c r="V10" s="7" t="s">
        <v>53</v>
      </c>
    </row>
    <row r="11" spans="1:22" x14ac:dyDescent="0.25">
      <c r="A11" s="19" t="str">
        <f t="shared" si="0"/>
        <v>COMPLETO</v>
      </c>
      <c r="B11" s="20" t="s">
        <v>708</v>
      </c>
      <c r="C11" s="17" t="s">
        <v>709</v>
      </c>
      <c r="D11" s="18" t="s">
        <v>724</v>
      </c>
      <c r="E11" s="18" t="s">
        <v>725</v>
      </c>
      <c r="F11" s="7" t="s">
        <v>53</v>
      </c>
      <c r="G11" s="7" t="s">
        <v>53</v>
      </c>
      <c r="H11" s="7" t="s">
        <v>53</v>
      </c>
      <c r="I11" s="7" t="s">
        <v>53</v>
      </c>
      <c r="J11" s="11" t="s">
        <v>53</v>
      </c>
      <c r="K11" s="11" t="s">
        <v>9</v>
      </c>
      <c r="L11" s="7" t="s">
        <v>9</v>
      </c>
      <c r="M11" s="11" t="s">
        <v>9</v>
      </c>
      <c r="N11" s="11" t="s">
        <v>9</v>
      </c>
      <c r="O11" s="11" t="s">
        <v>9</v>
      </c>
      <c r="P11" s="7" t="s">
        <v>9</v>
      </c>
      <c r="Q11" s="8" t="s">
        <v>9</v>
      </c>
      <c r="R11" s="7" t="s">
        <v>9</v>
      </c>
      <c r="S11" s="7" t="s">
        <v>9</v>
      </c>
      <c r="T11" s="12" t="s">
        <v>9</v>
      </c>
      <c r="U11" s="7" t="s">
        <v>53</v>
      </c>
      <c r="V11" s="7" t="s">
        <v>53</v>
      </c>
    </row>
    <row r="12" spans="1:22" x14ac:dyDescent="0.25">
      <c r="A12" s="19" t="str">
        <f t="shared" si="0"/>
        <v>COMPLETO</v>
      </c>
      <c r="B12" s="20" t="s">
        <v>710</v>
      </c>
      <c r="C12" s="17"/>
      <c r="D12" s="18" t="s">
        <v>726</v>
      </c>
      <c r="E12" s="18"/>
      <c r="F12" s="7"/>
      <c r="G12" s="7"/>
      <c r="H12" s="7"/>
      <c r="I12" s="7"/>
      <c r="J12" s="11"/>
      <c r="K12" s="11"/>
      <c r="L12" s="7"/>
      <c r="M12" s="11"/>
      <c r="N12" s="11"/>
      <c r="O12" s="11"/>
      <c r="P12" s="7"/>
      <c r="Q12" s="8"/>
      <c r="R12" s="7"/>
      <c r="S12" s="7"/>
      <c r="T12" s="12"/>
      <c r="U12" s="7" t="s">
        <v>7</v>
      </c>
      <c r="V12" s="7" t="s">
        <v>53</v>
      </c>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G3:T4 F5:V44">
    <cfRule type="cellIs" dxfId="463" priority="29" operator="equal">
      <formula>"F"</formula>
    </cfRule>
    <cfRule type="cellIs" dxfId="462" priority="30" operator="equal">
      <formula>"OK"</formula>
    </cfRule>
    <cfRule type="cellIs" dxfId="461" priority="31" operator="between">
      <formula>6</formula>
      <formula>18</formula>
    </cfRule>
  </conditionalFormatting>
  <conditionalFormatting sqref="C1:E1 A2:E2 C3:C4 E3:E4 A5:E1048576">
    <cfRule type="expression" dxfId="460" priority="27">
      <formula>$A1="FALTA"</formula>
    </cfRule>
    <cfRule type="expression" dxfId="459" priority="28">
      <formula>$A1="COMPLETO"</formula>
    </cfRule>
  </conditionalFormatting>
  <conditionalFormatting sqref="B3">
    <cfRule type="expression" dxfId="458" priority="19">
      <formula>$A3="FALTA"</formula>
    </cfRule>
    <cfRule type="expression" dxfId="457" priority="20">
      <formula>$A3="COMPLETO"</formula>
    </cfRule>
  </conditionalFormatting>
  <conditionalFormatting sqref="D3:D4">
    <cfRule type="expression" dxfId="456" priority="17">
      <formula>$A3="FALTA"</formula>
    </cfRule>
    <cfRule type="expression" dxfId="455" priority="18">
      <formula>$A3="COMPLETO"</formula>
    </cfRule>
  </conditionalFormatting>
  <conditionalFormatting sqref="F4">
    <cfRule type="cellIs" dxfId="454" priority="14" operator="equal">
      <formula>"F"</formula>
    </cfRule>
    <cfRule type="cellIs" dxfId="453" priority="15" operator="equal">
      <formula>"OK"</formula>
    </cfRule>
    <cfRule type="cellIs" dxfId="452" priority="16" operator="between">
      <formula>6</formula>
      <formula>18</formula>
    </cfRule>
  </conditionalFormatting>
  <conditionalFormatting sqref="A1:B1">
    <cfRule type="expression" dxfId="451" priority="12">
      <formula>$A1="FALTA"</formula>
    </cfRule>
    <cfRule type="expression" dxfId="450" priority="13">
      <formula>$A1="COMPLETO"</formula>
    </cfRule>
  </conditionalFormatting>
  <conditionalFormatting sqref="U3:V3">
    <cfRule type="cellIs" dxfId="449" priority="6" operator="equal">
      <formula>"F"</formula>
    </cfRule>
    <cfRule type="cellIs" dxfId="448" priority="7" operator="equal">
      <formula>"OK"</formula>
    </cfRule>
    <cfRule type="cellIs" dxfId="447" priority="8" operator="between">
      <formula>6</formula>
      <formula>18</formula>
    </cfRule>
  </conditionalFormatting>
  <conditionalFormatting sqref="F3">
    <cfRule type="cellIs" dxfId="446" priority="3" operator="equal">
      <formula>"F"</formula>
    </cfRule>
    <cfRule type="cellIs" dxfId="445" priority="4" operator="equal">
      <formula>"OK"</formula>
    </cfRule>
    <cfRule type="cellIs" dxfId="444" priority="5" operator="between">
      <formula>6</formula>
      <formula>18</formula>
    </cfRule>
  </conditionalFormatting>
  <conditionalFormatting sqref="A3">
    <cfRule type="expression" dxfId="443" priority="1">
      <formula>$A3="FALTA"</formula>
    </cfRule>
    <cfRule type="expression" dxfId="442"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1">
    <tabColor rgb="FF004079"/>
    <outlinePr summaryBelow="0" summaryRight="0"/>
  </sheetPr>
  <dimension ref="A1:V44"/>
  <sheetViews>
    <sheetView zoomScaleNormal="100" workbookViewId="0">
      <pane ySplit="2" topLeftCell="A11" activePane="bottomLeft" state="frozen"/>
      <selection pane="bottomLeft" activeCell="R23" sqref="R23"/>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ZLuceros 4</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COMPLETO</v>
      </c>
      <c r="B3" s="385" t="s">
        <v>116</v>
      </c>
      <c r="C3" s="23" t="s">
        <v>766</v>
      </c>
      <c r="D3" s="29" t="s">
        <v>5</v>
      </c>
      <c r="E3" s="10" t="s">
        <v>768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1"/>
      <c r="V3" s="381"/>
    </row>
    <row r="4" spans="1:22" x14ac:dyDescent="0.25">
      <c r="A4" s="384"/>
      <c r="B4" s="386"/>
      <c r="C4" s="23" t="s">
        <v>761</v>
      </c>
      <c r="D4" s="29" t="s">
        <v>6</v>
      </c>
      <c r="E4" s="10" t="s">
        <v>767</v>
      </c>
      <c r="F4" s="30">
        <f>COUNTIF(A5:A44,"*COMPLETO*")/COUNTA(A5:A44)</f>
        <v>1</v>
      </c>
      <c r="G4" s="24"/>
      <c r="H4" s="24" t="s">
        <v>18</v>
      </c>
      <c r="I4" s="11" t="s">
        <v>53</v>
      </c>
      <c r="J4" s="24"/>
      <c r="K4" s="24"/>
      <c r="L4" s="24" t="s">
        <v>23</v>
      </c>
      <c r="M4" s="11" t="s">
        <v>53</v>
      </c>
      <c r="N4" s="24"/>
      <c r="O4" s="24"/>
      <c r="P4" s="11"/>
      <c r="Q4" s="24" t="s">
        <v>26</v>
      </c>
      <c r="R4" s="11" t="s">
        <v>7</v>
      </c>
      <c r="S4" s="24" t="s">
        <v>19</v>
      </c>
      <c r="T4" s="11" t="s">
        <v>53</v>
      </c>
      <c r="U4" s="382"/>
      <c r="V4" s="382"/>
    </row>
    <row r="5" spans="1:22" ht="15" customHeight="1" x14ac:dyDescent="0.25">
      <c r="A5" s="19" t="str">
        <f>IF(COUNTIF(F5:V5,"F")&gt;0,"FALTA","COMPLETO")</f>
        <v>COMPLETO</v>
      </c>
      <c r="B5" s="20" t="s">
        <v>54</v>
      </c>
      <c r="C5" s="17" t="s">
        <v>727</v>
      </c>
      <c r="D5" s="18" t="s">
        <v>769</v>
      </c>
      <c r="E5" s="18" t="s">
        <v>770</v>
      </c>
      <c r="F5" s="7" t="s">
        <v>53</v>
      </c>
      <c r="G5" s="7" t="s">
        <v>53</v>
      </c>
      <c r="H5" s="7" t="s">
        <v>53</v>
      </c>
      <c r="I5" s="7" t="s">
        <v>9</v>
      </c>
      <c r="J5" s="11" t="s">
        <v>53</v>
      </c>
      <c r="K5" s="11" t="s">
        <v>53</v>
      </c>
      <c r="L5" s="7" t="s">
        <v>9</v>
      </c>
      <c r="M5" s="11" t="s">
        <v>9</v>
      </c>
      <c r="N5" s="11" t="s">
        <v>9</v>
      </c>
      <c r="O5" s="11" t="s">
        <v>9</v>
      </c>
      <c r="P5" s="7" t="s">
        <v>9</v>
      </c>
      <c r="Q5" s="8" t="s">
        <v>7</v>
      </c>
      <c r="R5" s="7" t="s">
        <v>9</v>
      </c>
      <c r="S5" s="7" t="s">
        <v>9</v>
      </c>
      <c r="T5" s="12" t="s">
        <v>9</v>
      </c>
      <c r="U5" s="7"/>
      <c r="V5" s="7"/>
    </row>
    <row r="6" spans="1:22" ht="15" customHeight="1" x14ac:dyDescent="0.25">
      <c r="A6" s="19" t="str">
        <f t="shared" ref="A6:A36" si="0">IF(COUNTIF(F6:V6,"F")&gt;0,"FALTA","COMPLETO")</f>
        <v>COMPLETO</v>
      </c>
      <c r="B6" s="20" t="s">
        <v>30</v>
      </c>
      <c r="C6" s="17" t="s">
        <v>728</v>
      </c>
      <c r="D6" s="18" t="s">
        <v>771</v>
      </c>
      <c r="E6" s="18" t="s">
        <v>772</v>
      </c>
      <c r="F6" s="7" t="s">
        <v>53</v>
      </c>
      <c r="G6" s="7" t="s">
        <v>53</v>
      </c>
      <c r="H6" s="7" t="s">
        <v>53</v>
      </c>
      <c r="I6" s="7" t="s">
        <v>53</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31</v>
      </c>
      <c r="C7" s="17" t="s">
        <v>729</v>
      </c>
      <c r="D7" s="18" t="s">
        <v>773</v>
      </c>
      <c r="E7" s="18" t="s">
        <v>774</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32</v>
      </c>
      <c r="C8" s="17" t="s">
        <v>730</v>
      </c>
      <c r="D8" s="18" t="s">
        <v>775</v>
      </c>
      <c r="E8" s="18" t="s">
        <v>776</v>
      </c>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c r="V8" s="7"/>
    </row>
    <row r="9" spans="1:22" x14ac:dyDescent="0.25">
      <c r="A9" s="19" t="str">
        <f t="shared" si="0"/>
        <v>COMPLETO</v>
      </c>
      <c r="B9" s="20" t="s">
        <v>33</v>
      </c>
      <c r="C9" s="17" t="s">
        <v>731</v>
      </c>
      <c r="D9" s="18" t="s">
        <v>777</v>
      </c>
      <c r="E9" s="18" t="s">
        <v>778</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34</v>
      </c>
      <c r="C10" s="17" t="s">
        <v>732</v>
      </c>
      <c r="D10" s="18" t="s">
        <v>779</v>
      </c>
      <c r="E10" s="18" t="s">
        <v>780</v>
      </c>
      <c r="F10" s="7" t="s">
        <v>53</v>
      </c>
      <c r="G10" s="7" t="s">
        <v>53</v>
      </c>
      <c r="H10" s="7" t="s">
        <v>53</v>
      </c>
      <c r="I10" s="7" t="s">
        <v>53</v>
      </c>
      <c r="J10" s="11" t="s">
        <v>9</v>
      </c>
      <c r="K10" s="11" t="s">
        <v>9</v>
      </c>
      <c r="L10" s="7" t="s">
        <v>9</v>
      </c>
      <c r="M10" s="11" t="s">
        <v>9</v>
      </c>
      <c r="N10" s="11" t="s">
        <v>9</v>
      </c>
      <c r="O10" s="11" t="s">
        <v>9</v>
      </c>
      <c r="P10" s="7" t="s">
        <v>9</v>
      </c>
      <c r="Q10" s="8" t="s">
        <v>7</v>
      </c>
      <c r="R10" s="7" t="s">
        <v>9</v>
      </c>
      <c r="S10" s="7" t="s">
        <v>9</v>
      </c>
      <c r="T10" s="12" t="s">
        <v>9</v>
      </c>
      <c r="U10" s="7"/>
      <c r="V10" s="7"/>
    </row>
    <row r="11" spans="1:22" x14ac:dyDescent="0.25">
      <c r="A11" s="19" t="str">
        <f t="shared" si="0"/>
        <v>COMPLETO</v>
      </c>
      <c r="B11" s="20" t="s">
        <v>35</v>
      </c>
      <c r="C11" s="17" t="s">
        <v>733</v>
      </c>
      <c r="D11" s="18" t="s">
        <v>781</v>
      </c>
      <c r="E11" s="18" t="s">
        <v>782</v>
      </c>
      <c r="F11" s="7" t="s">
        <v>53</v>
      </c>
      <c r="G11" s="7" t="s">
        <v>53</v>
      </c>
      <c r="H11" s="7" t="s">
        <v>53</v>
      </c>
      <c r="I11" s="7" t="s">
        <v>53</v>
      </c>
      <c r="J11" s="11" t="s">
        <v>53</v>
      </c>
      <c r="K11" s="11" t="s">
        <v>53</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36</v>
      </c>
      <c r="C12" s="17" t="s">
        <v>734</v>
      </c>
      <c r="D12" s="18" t="s">
        <v>783</v>
      </c>
      <c r="E12" s="18" t="s">
        <v>784</v>
      </c>
      <c r="F12" s="7" t="s">
        <v>53</v>
      </c>
      <c r="G12" s="7" t="s">
        <v>53</v>
      </c>
      <c r="H12" s="7" t="s">
        <v>53</v>
      </c>
      <c r="I12" s="7" t="s">
        <v>9</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COMPLETO</v>
      </c>
      <c r="B13" s="20" t="s">
        <v>37</v>
      </c>
      <c r="C13" s="17" t="s">
        <v>735</v>
      </c>
      <c r="D13" s="18" t="s">
        <v>785</v>
      </c>
      <c r="E13" s="18" t="s">
        <v>786</v>
      </c>
      <c r="F13" s="7" t="s">
        <v>53</v>
      </c>
      <c r="G13" s="7" t="s">
        <v>53</v>
      </c>
      <c r="H13" s="7" t="s">
        <v>53</v>
      </c>
      <c r="I13" s="7" t="s">
        <v>53</v>
      </c>
      <c r="J13" s="11" t="s">
        <v>9</v>
      </c>
      <c r="K13" s="11" t="s">
        <v>9</v>
      </c>
      <c r="L13" s="7" t="s">
        <v>9</v>
      </c>
      <c r="M13" s="11" t="s">
        <v>9</v>
      </c>
      <c r="N13" s="11" t="s">
        <v>9</v>
      </c>
      <c r="O13" s="11" t="s">
        <v>9</v>
      </c>
      <c r="P13" s="7" t="s">
        <v>9</v>
      </c>
      <c r="Q13" s="8" t="s">
        <v>7</v>
      </c>
      <c r="R13" s="7" t="s">
        <v>9</v>
      </c>
      <c r="S13" s="7" t="s">
        <v>9</v>
      </c>
      <c r="T13" s="12" t="s">
        <v>9</v>
      </c>
      <c r="U13" s="7"/>
      <c r="V13" s="7"/>
    </row>
    <row r="14" spans="1:22" x14ac:dyDescent="0.25">
      <c r="A14" s="19" t="str">
        <f t="shared" si="0"/>
        <v>COMPLETO</v>
      </c>
      <c r="B14" s="20" t="s">
        <v>38</v>
      </c>
      <c r="C14" s="17" t="s">
        <v>736</v>
      </c>
      <c r="D14" s="18" t="s">
        <v>787</v>
      </c>
      <c r="E14" s="18" t="s">
        <v>788</v>
      </c>
      <c r="F14" s="7" t="s">
        <v>53</v>
      </c>
      <c r="G14" s="7" t="s">
        <v>53</v>
      </c>
      <c r="H14" s="7" t="s">
        <v>53</v>
      </c>
      <c r="I14" s="7" t="s">
        <v>53</v>
      </c>
      <c r="J14" s="11" t="s">
        <v>9</v>
      </c>
      <c r="K14" s="11" t="s">
        <v>9</v>
      </c>
      <c r="L14" s="7" t="s">
        <v>9</v>
      </c>
      <c r="M14" s="11" t="s">
        <v>9</v>
      </c>
      <c r="N14" s="11" t="s">
        <v>9</v>
      </c>
      <c r="O14" s="11" t="s">
        <v>9</v>
      </c>
      <c r="P14" s="7" t="s">
        <v>9</v>
      </c>
      <c r="Q14" s="8" t="s">
        <v>7</v>
      </c>
      <c r="R14" s="7" t="s">
        <v>9</v>
      </c>
      <c r="S14" s="7" t="s">
        <v>9</v>
      </c>
      <c r="T14" s="12" t="s">
        <v>9</v>
      </c>
      <c r="U14" s="7"/>
      <c r="V14" s="7"/>
    </row>
    <row r="15" spans="1:22" x14ac:dyDescent="0.25">
      <c r="A15" s="19" t="str">
        <f t="shared" si="0"/>
        <v>COMPLETO</v>
      </c>
      <c r="B15" s="20" t="s">
        <v>39</v>
      </c>
      <c r="C15" s="17" t="s">
        <v>737</v>
      </c>
      <c r="D15" s="18" t="s">
        <v>789</v>
      </c>
      <c r="E15" s="18" t="s">
        <v>790</v>
      </c>
      <c r="F15" s="7" t="s">
        <v>53</v>
      </c>
      <c r="G15" s="7" t="s">
        <v>53</v>
      </c>
      <c r="H15" s="7" t="s">
        <v>53</v>
      </c>
      <c r="I15" s="7" t="s">
        <v>53</v>
      </c>
      <c r="J15" s="11" t="s">
        <v>9</v>
      </c>
      <c r="K15" s="11" t="s">
        <v>9</v>
      </c>
      <c r="L15" s="7" t="s">
        <v>9</v>
      </c>
      <c r="M15" s="11" t="s">
        <v>9</v>
      </c>
      <c r="N15" s="11" t="s">
        <v>9</v>
      </c>
      <c r="O15" s="11" t="s">
        <v>9</v>
      </c>
      <c r="P15" s="7" t="s">
        <v>9</v>
      </c>
      <c r="Q15" s="8" t="s">
        <v>7</v>
      </c>
      <c r="R15" s="7" t="s">
        <v>9</v>
      </c>
      <c r="S15" s="7" t="s">
        <v>9</v>
      </c>
      <c r="T15" s="12" t="s">
        <v>9</v>
      </c>
      <c r="U15" s="7"/>
      <c r="V15" s="7"/>
    </row>
    <row r="16" spans="1:22" x14ac:dyDescent="0.25">
      <c r="A16" s="19" t="str">
        <f t="shared" si="0"/>
        <v>COMPLETO</v>
      </c>
      <c r="B16" s="20" t="s">
        <v>40</v>
      </c>
      <c r="C16" s="17" t="s">
        <v>738</v>
      </c>
      <c r="D16" s="18" t="s">
        <v>791</v>
      </c>
      <c r="E16" s="18" t="s">
        <v>792</v>
      </c>
      <c r="F16" s="7" t="s">
        <v>53</v>
      </c>
      <c r="G16" s="7" t="s">
        <v>53</v>
      </c>
      <c r="H16" s="7" t="s">
        <v>53</v>
      </c>
      <c r="I16" s="7" t="s">
        <v>53</v>
      </c>
      <c r="J16" s="11" t="s">
        <v>9</v>
      </c>
      <c r="K16" s="11" t="s">
        <v>9</v>
      </c>
      <c r="L16" s="7" t="s">
        <v>9</v>
      </c>
      <c r="M16" s="11" t="s">
        <v>9</v>
      </c>
      <c r="N16" s="11" t="s">
        <v>9</v>
      </c>
      <c r="O16" s="11" t="s">
        <v>9</v>
      </c>
      <c r="P16" s="7" t="s">
        <v>9</v>
      </c>
      <c r="Q16" s="8" t="s">
        <v>7</v>
      </c>
      <c r="R16" s="7" t="s">
        <v>9</v>
      </c>
      <c r="S16" s="7" t="s">
        <v>9</v>
      </c>
      <c r="T16" s="12" t="s">
        <v>9</v>
      </c>
      <c r="U16" s="7"/>
      <c r="V16" s="7"/>
    </row>
    <row r="17" spans="1:22" x14ac:dyDescent="0.25">
      <c r="A17" s="19" t="str">
        <f t="shared" si="0"/>
        <v>COMPLETO</v>
      </c>
      <c r="B17" s="20" t="s">
        <v>41</v>
      </c>
      <c r="C17" s="17" t="s">
        <v>739</v>
      </c>
      <c r="D17" s="18" t="s">
        <v>793</v>
      </c>
      <c r="E17" s="18" t="s">
        <v>794</v>
      </c>
      <c r="F17" s="7" t="s">
        <v>53</v>
      </c>
      <c r="G17" s="7" t="s">
        <v>53</v>
      </c>
      <c r="H17" s="7" t="s">
        <v>53</v>
      </c>
      <c r="I17" s="7" t="s">
        <v>53</v>
      </c>
      <c r="J17" s="11" t="s">
        <v>9</v>
      </c>
      <c r="K17" s="11" t="s">
        <v>9</v>
      </c>
      <c r="L17" s="7" t="s">
        <v>9</v>
      </c>
      <c r="M17" s="11" t="s">
        <v>9</v>
      </c>
      <c r="N17" s="11" t="s">
        <v>9</v>
      </c>
      <c r="O17" s="11" t="s">
        <v>9</v>
      </c>
      <c r="P17" s="7" t="s">
        <v>9</v>
      </c>
      <c r="Q17" s="8" t="s">
        <v>7</v>
      </c>
      <c r="R17" s="7" t="s">
        <v>9</v>
      </c>
      <c r="S17" s="7" t="s">
        <v>9</v>
      </c>
      <c r="T17" s="12" t="s">
        <v>9</v>
      </c>
      <c r="U17" s="7"/>
      <c r="V17" s="7"/>
    </row>
    <row r="18" spans="1:22" x14ac:dyDescent="0.25">
      <c r="A18" s="19" t="str">
        <f t="shared" si="0"/>
        <v>COMPLETO</v>
      </c>
      <c r="B18" s="20" t="s">
        <v>42</v>
      </c>
      <c r="C18" s="17" t="s">
        <v>740</v>
      </c>
      <c r="D18" s="18" t="s">
        <v>795</v>
      </c>
      <c r="E18" s="18" t="s">
        <v>796</v>
      </c>
      <c r="F18" s="7" t="s">
        <v>53</v>
      </c>
      <c r="G18" s="7" t="s">
        <v>53</v>
      </c>
      <c r="H18" s="7" t="s">
        <v>53</v>
      </c>
      <c r="I18" s="7" t="s">
        <v>53</v>
      </c>
      <c r="J18" s="11" t="s">
        <v>9</v>
      </c>
      <c r="K18" s="11" t="s">
        <v>9</v>
      </c>
      <c r="L18" s="7" t="s">
        <v>9</v>
      </c>
      <c r="M18" s="11" t="s">
        <v>9</v>
      </c>
      <c r="N18" s="11" t="s">
        <v>9</v>
      </c>
      <c r="O18" s="11" t="s">
        <v>9</v>
      </c>
      <c r="P18" s="7" t="s">
        <v>9</v>
      </c>
      <c r="Q18" s="8" t="s">
        <v>7</v>
      </c>
      <c r="R18" s="7" t="s">
        <v>9</v>
      </c>
      <c r="S18" s="7" t="s">
        <v>9</v>
      </c>
      <c r="T18" s="12" t="s">
        <v>9</v>
      </c>
      <c r="U18" s="7"/>
      <c r="V18" s="7"/>
    </row>
    <row r="19" spans="1:22" x14ac:dyDescent="0.25">
      <c r="A19" s="19" t="str">
        <f t="shared" si="0"/>
        <v>COMPLETO</v>
      </c>
      <c r="B19" s="20" t="s">
        <v>43</v>
      </c>
      <c r="C19" s="17" t="s">
        <v>741</v>
      </c>
      <c r="D19" s="18" t="s">
        <v>797</v>
      </c>
      <c r="E19" s="18" t="s">
        <v>798</v>
      </c>
      <c r="F19" s="7" t="s">
        <v>53</v>
      </c>
      <c r="G19" s="7" t="s">
        <v>53</v>
      </c>
      <c r="H19" s="7" t="s">
        <v>53</v>
      </c>
      <c r="I19" s="7" t="s">
        <v>9</v>
      </c>
      <c r="J19" s="11" t="s">
        <v>9</v>
      </c>
      <c r="K19" s="11" t="s">
        <v>9</v>
      </c>
      <c r="L19" s="7" t="s">
        <v>9</v>
      </c>
      <c r="M19" s="11" t="s">
        <v>9</v>
      </c>
      <c r="N19" s="11" t="s">
        <v>9</v>
      </c>
      <c r="O19" s="11" t="s">
        <v>9</v>
      </c>
      <c r="P19" s="7" t="s">
        <v>9</v>
      </c>
      <c r="Q19" s="8" t="s">
        <v>7</v>
      </c>
      <c r="R19" s="7" t="s">
        <v>9</v>
      </c>
      <c r="S19" s="7" t="s">
        <v>9</v>
      </c>
      <c r="T19" s="12" t="s">
        <v>9</v>
      </c>
      <c r="U19" s="7"/>
      <c r="V19" s="7"/>
    </row>
    <row r="20" spans="1:22" x14ac:dyDescent="0.25">
      <c r="A20" s="19" t="str">
        <f t="shared" si="0"/>
        <v>COMPLETO</v>
      </c>
      <c r="B20" s="20" t="s">
        <v>44</v>
      </c>
      <c r="C20" s="17" t="s">
        <v>742</v>
      </c>
      <c r="D20" s="18" t="s">
        <v>799</v>
      </c>
      <c r="E20" s="18" t="s">
        <v>800</v>
      </c>
      <c r="F20" s="7" t="s">
        <v>53</v>
      </c>
      <c r="G20" s="7" t="s">
        <v>53</v>
      </c>
      <c r="H20" s="7" t="s">
        <v>53</v>
      </c>
      <c r="I20" s="7" t="s">
        <v>53</v>
      </c>
      <c r="J20" s="11" t="s">
        <v>9</v>
      </c>
      <c r="K20" s="11" t="s">
        <v>9</v>
      </c>
      <c r="L20" s="7" t="s">
        <v>9</v>
      </c>
      <c r="M20" s="11" t="s">
        <v>9</v>
      </c>
      <c r="N20" s="11" t="s">
        <v>9</v>
      </c>
      <c r="O20" s="11" t="s">
        <v>9</v>
      </c>
      <c r="P20" s="7">
        <v>18</v>
      </c>
      <c r="Q20" s="8" t="s">
        <v>53</v>
      </c>
      <c r="R20" s="7" t="s">
        <v>53</v>
      </c>
      <c r="S20" s="7" t="s">
        <v>53</v>
      </c>
      <c r="T20" s="12" t="s">
        <v>9</v>
      </c>
      <c r="U20" s="7"/>
      <c r="V20" s="7"/>
    </row>
    <row r="21" spans="1:22" x14ac:dyDescent="0.25">
      <c r="A21" s="19" t="str">
        <f t="shared" si="0"/>
        <v>COMPLETO</v>
      </c>
      <c r="B21" s="20" t="s">
        <v>45</v>
      </c>
      <c r="C21" s="17" t="s">
        <v>743</v>
      </c>
      <c r="D21" s="18" t="s">
        <v>801</v>
      </c>
      <c r="E21" s="18" t="s">
        <v>802</v>
      </c>
      <c r="F21" s="7" t="s">
        <v>53</v>
      </c>
      <c r="G21" s="7" t="s">
        <v>53</v>
      </c>
      <c r="H21" s="7" t="s">
        <v>53</v>
      </c>
      <c r="I21" s="7" t="s">
        <v>9</v>
      </c>
      <c r="J21" s="11" t="s">
        <v>53</v>
      </c>
      <c r="K21" s="11" t="s">
        <v>53</v>
      </c>
      <c r="L21" s="7" t="s">
        <v>9</v>
      </c>
      <c r="M21" s="11" t="s">
        <v>9</v>
      </c>
      <c r="N21" s="11" t="s">
        <v>9</v>
      </c>
      <c r="O21" s="11" t="s">
        <v>9</v>
      </c>
      <c r="P21" s="7" t="s">
        <v>9</v>
      </c>
      <c r="Q21" s="8" t="s">
        <v>7</v>
      </c>
      <c r="R21" s="7" t="s">
        <v>9</v>
      </c>
      <c r="S21" s="7" t="s">
        <v>9</v>
      </c>
      <c r="T21" s="12" t="s">
        <v>9</v>
      </c>
      <c r="U21" s="7"/>
      <c r="V21" s="7"/>
    </row>
    <row r="22" spans="1:22" x14ac:dyDescent="0.25">
      <c r="A22" s="19" t="str">
        <f t="shared" si="0"/>
        <v>COMPLETO</v>
      </c>
      <c r="B22" s="20" t="s">
        <v>46</v>
      </c>
      <c r="C22" s="17" t="s">
        <v>744</v>
      </c>
      <c r="D22" s="18" t="s">
        <v>803</v>
      </c>
      <c r="E22" s="18" t="s">
        <v>804</v>
      </c>
      <c r="F22" s="7" t="s">
        <v>53</v>
      </c>
      <c r="G22" s="7" t="s">
        <v>53</v>
      </c>
      <c r="H22" s="7" t="s">
        <v>53</v>
      </c>
      <c r="I22" s="7" t="s">
        <v>53</v>
      </c>
      <c r="J22" s="11" t="s">
        <v>9</v>
      </c>
      <c r="K22" s="11" t="s">
        <v>9</v>
      </c>
      <c r="L22" s="7" t="s">
        <v>9</v>
      </c>
      <c r="M22" s="11" t="s">
        <v>9</v>
      </c>
      <c r="N22" s="11" t="s">
        <v>9</v>
      </c>
      <c r="O22" s="11" t="s">
        <v>9</v>
      </c>
      <c r="P22" s="7">
        <v>18</v>
      </c>
      <c r="Q22" s="8" t="s">
        <v>53</v>
      </c>
      <c r="R22" s="7" t="s">
        <v>53</v>
      </c>
      <c r="S22" s="7" t="s">
        <v>53</v>
      </c>
      <c r="T22" s="12" t="s">
        <v>9</v>
      </c>
      <c r="U22" s="7"/>
      <c r="V22" s="7"/>
    </row>
    <row r="23" spans="1:22" x14ac:dyDescent="0.25">
      <c r="A23" s="19" t="str">
        <f t="shared" si="0"/>
        <v>COMPLETO</v>
      </c>
      <c r="B23" s="20" t="s">
        <v>47</v>
      </c>
      <c r="C23" s="17" t="s">
        <v>745</v>
      </c>
      <c r="D23" s="18" t="s">
        <v>805</v>
      </c>
      <c r="E23" s="18" t="s">
        <v>806</v>
      </c>
      <c r="F23" s="7" t="s">
        <v>53</v>
      </c>
      <c r="G23" s="7" t="s">
        <v>53</v>
      </c>
      <c r="H23" s="7" t="s">
        <v>53</v>
      </c>
      <c r="I23" s="7" t="s">
        <v>9</v>
      </c>
      <c r="J23" s="11" t="s">
        <v>9</v>
      </c>
      <c r="K23" s="11" t="s">
        <v>9</v>
      </c>
      <c r="L23" s="7" t="s">
        <v>9</v>
      </c>
      <c r="M23" s="11" t="s">
        <v>9</v>
      </c>
      <c r="N23" s="11" t="s">
        <v>9</v>
      </c>
      <c r="O23" s="11" t="s">
        <v>9</v>
      </c>
      <c r="P23" s="7">
        <v>18</v>
      </c>
      <c r="Q23" s="8" t="s">
        <v>53</v>
      </c>
      <c r="R23" s="7"/>
      <c r="S23" s="7"/>
      <c r="T23" s="12" t="s">
        <v>9</v>
      </c>
      <c r="U23" s="7"/>
      <c r="V23" s="7"/>
    </row>
    <row r="24" spans="1:22" x14ac:dyDescent="0.25">
      <c r="A24" s="19" t="str">
        <f t="shared" si="0"/>
        <v>COMPLETO</v>
      </c>
      <c r="B24" s="20" t="s">
        <v>48</v>
      </c>
      <c r="C24" s="17" t="s">
        <v>746</v>
      </c>
      <c r="D24" s="18" t="s">
        <v>807</v>
      </c>
      <c r="E24" s="18" t="s">
        <v>808</v>
      </c>
      <c r="F24" s="7" t="s">
        <v>53</v>
      </c>
      <c r="G24" s="7" t="s">
        <v>53</v>
      </c>
      <c r="H24" s="7" t="s">
        <v>53</v>
      </c>
      <c r="I24" s="7" t="s">
        <v>53</v>
      </c>
      <c r="J24" s="11" t="s">
        <v>53</v>
      </c>
      <c r="K24" s="11" t="s">
        <v>53</v>
      </c>
      <c r="L24" s="7" t="s">
        <v>9</v>
      </c>
      <c r="M24" s="11" t="s">
        <v>9</v>
      </c>
      <c r="N24" s="11" t="s">
        <v>9</v>
      </c>
      <c r="O24" s="11" t="s">
        <v>9</v>
      </c>
      <c r="P24" s="7">
        <v>18</v>
      </c>
      <c r="Q24" s="8" t="s">
        <v>53</v>
      </c>
      <c r="R24" s="7" t="s">
        <v>53</v>
      </c>
      <c r="S24" s="7" t="s">
        <v>53</v>
      </c>
      <c r="T24" s="12" t="s">
        <v>9</v>
      </c>
      <c r="U24" s="7"/>
      <c r="V24" s="7"/>
    </row>
    <row r="25" spans="1:22" x14ac:dyDescent="0.25">
      <c r="A25" s="19" t="str">
        <f t="shared" si="0"/>
        <v>COMPLETO</v>
      </c>
      <c r="B25" s="20" t="s">
        <v>49</v>
      </c>
      <c r="C25" s="21" t="s">
        <v>4</v>
      </c>
      <c r="D25" s="18" t="s">
        <v>809</v>
      </c>
      <c r="E25" s="18" t="s">
        <v>810</v>
      </c>
      <c r="F25" s="7" t="s">
        <v>53</v>
      </c>
      <c r="G25" s="7" t="s">
        <v>53</v>
      </c>
      <c r="H25" s="7" t="s">
        <v>53</v>
      </c>
      <c r="I25" s="7" t="s">
        <v>53</v>
      </c>
      <c r="J25" s="11" t="s">
        <v>9</v>
      </c>
      <c r="K25" s="11" t="s">
        <v>9</v>
      </c>
      <c r="L25" s="7" t="s">
        <v>9</v>
      </c>
      <c r="M25" s="11" t="s">
        <v>9</v>
      </c>
      <c r="N25" s="11" t="s">
        <v>9</v>
      </c>
      <c r="O25" s="11" t="s">
        <v>9</v>
      </c>
      <c r="P25" s="7" t="s">
        <v>9</v>
      </c>
      <c r="Q25" s="8" t="s">
        <v>7</v>
      </c>
      <c r="R25" s="7" t="s">
        <v>9</v>
      </c>
      <c r="S25" s="7" t="s">
        <v>9</v>
      </c>
      <c r="T25" s="12" t="s">
        <v>9</v>
      </c>
      <c r="U25" s="7"/>
      <c r="V25" s="7"/>
    </row>
    <row r="26" spans="1:22" x14ac:dyDescent="0.25">
      <c r="A26" s="19" t="str">
        <f t="shared" si="0"/>
        <v>COMPLETO</v>
      </c>
      <c r="B26" s="20" t="s">
        <v>50</v>
      </c>
      <c r="C26" s="17" t="s">
        <v>747</v>
      </c>
      <c r="D26" s="18" t="s">
        <v>811</v>
      </c>
      <c r="E26" s="18" t="s">
        <v>812</v>
      </c>
      <c r="F26" s="7" t="s">
        <v>53</v>
      </c>
      <c r="G26" s="7" t="s">
        <v>53</v>
      </c>
      <c r="H26" s="7" t="s">
        <v>53</v>
      </c>
      <c r="I26" s="7" t="s">
        <v>53</v>
      </c>
      <c r="J26" s="11" t="s">
        <v>9</v>
      </c>
      <c r="K26" s="11" t="s">
        <v>9</v>
      </c>
      <c r="L26" s="7" t="s">
        <v>9</v>
      </c>
      <c r="M26" s="11" t="s">
        <v>9</v>
      </c>
      <c r="N26" s="11" t="s">
        <v>9</v>
      </c>
      <c r="O26" s="11" t="s">
        <v>9</v>
      </c>
      <c r="P26" s="7">
        <v>18</v>
      </c>
      <c r="Q26" s="8" t="s">
        <v>53</v>
      </c>
      <c r="R26" s="7" t="s">
        <v>53</v>
      </c>
      <c r="S26" s="7" t="s">
        <v>53</v>
      </c>
      <c r="T26" s="12" t="s">
        <v>9</v>
      </c>
      <c r="U26" s="7"/>
      <c r="V26" s="7"/>
    </row>
    <row r="27" spans="1:22" x14ac:dyDescent="0.25">
      <c r="A27" s="19" t="str">
        <f t="shared" si="0"/>
        <v>COMPLETO</v>
      </c>
      <c r="B27" s="20" t="s">
        <v>51</v>
      </c>
      <c r="C27" s="17" t="s">
        <v>748</v>
      </c>
      <c r="D27" s="18" t="s">
        <v>813</v>
      </c>
      <c r="E27" s="18" t="s">
        <v>814</v>
      </c>
      <c r="F27" s="7" t="s">
        <v>53</v>
      </c>
      <c r="G27" s="7" t="s">
        <v>53</v>
      </c>
      <c r="H27" s="7" t="s">
        <v>53</v>
      </c>
      <c r="I27" s="7" t="s">
        <v>9</v>
      </c>
      <c r="J27" s="11" t="s">
        <v>9</v>
      </c>
      <c r="K27" s="11" t="s">
        <v>9</v>
      </c>
      <c r="L27" s="7" t="s">
        <v>9</v>
      </c>
      <c r="M27" s="11" t="s">
        <v>9</v>
      </c>
      <c r="N27" s="11" t="s">
        <v>9</v>
      </c>
      <c r="O27" s="11" t="s">
        <v>9</v>
      </c>
      <c r="P27" s="7" t="s">
        <v>9</v>
      </c>
      <c r="Q27" s="8" t="s">
        <v>7</v>
      </c>
      <c r="R27" s="7" t="s">
        <v>9</v>
      </c>
      <c r="S27" s="7" t="s">
        <v>9</v>
      </c>
      <c r="T27" s="12" t="s">
        <v>9</v>
      </c>
      <c r="U27" s="7"/>
      <c r="V27" s="7"/>
    </row>
    <row r="28" spans="1:22" x14ac:dyDescent="0.25">
      <c r="A28" s="19" t="str">
        <f t="shared" si="0"/>
        <v>COMPLETO</v>
      </c>
      <c r="B28" s="20" t="s">
        <v>52</v>
      </c>
      <c r="C28" s="17" t="s">
        <v>749</v>
      </c>
      <c r="D28" s="18" t="s">
        <v>815</v>
      </c>
      <c r="E28" s="18" t="s">
        <v>816</v>
      </c>
      <c r="F28" s="7" t="s">
        <v>53</v>
      </c>
      <c r="G28" s="7" t="s">
        <v>53</v>
      </c>
      <c r="H28" s="7" t="s">
        <v>53</v>
      </c>
      <c r="I28" s="7" t="s">
        <v>53</v>
      </c>
      <c r="J28" s="11" t="s">
        <v>9</v>
      </c>
      <c r="K28" s="11" t="s">
        <v>9</v>
      </c>
      <c r="L28" s="7" t="s">
        <v>9</v>
      </c>
      <c r="M28" s="11" t="s">
        <v>9</v>
      </c>
      <c r="N28" s="11" t="s">
        <v>9</v>
      </c>
      <c r="O28" s="11" t="s">
        <v>9</v>
      </c>
      <c r="P28" s="7" t="s">
        <v>9</v>
      </c>
      <c r="Q28" s="8" t="s">
        <v>7</v>
      </c>
      <c r="R28" s="7" t="s">
        <v>9</v>
      </c>
      <c r="S28" s="7" t="s">
        <v>9</v>
      </c>
      <c r="T28" s="12" t="s">
        <v>9</v>
      </c>
      <c r="U28" s="7"/>
      <c r="V28" s="7"/>
    </row>
    <row r="29" spans="1:22" x14ac:dyDescent="0.25">
      <c r="A29" s="19" t="str">
        <f t="shared" si="0"/>
        <v>COMPLETO</v>
      </c>
      <c r="B29" s="20" t="s">
        <v>750</v>
      </c>
      <c r="C29" s="17" t="s">
        <v>751</v>
      </c>
      <c r="D29" s="18" t="s">
        <v>817</v>
      </c>
      <c r="E29" s="18" t="s">
        <v>818</v>
      </c>
      <c r="F29" s="7" t="s">
        <v>53</v>
      </c>
      <c r="G29" s="7" t="s">
        <v>53</v>
      </c>
      <c r="H29" s="7" t="s">
        <v>53</v>
      </c>
      <c r="I29" s="7" t="s">
        <v>9</v>
      </c>
      <c r="J29" s="11" t="s">
        <v>9</v>
      </c>
      <c r="K29" s="11" t="s">
        <v>9</v>
      </c>
      <c r="L29" s="7" t="s">
        <v>9</v>
      </c>
      <c r="M29" s="11" t="s">
        <v>9</v>
      </c>
      <c r="N29" s="11" t="s">
        <v>9</v>
      </c>
      <c r="O29" s="11" t="s">
        <v>9</v>
      </c>
      <c r="P29" s="7" t="s">
        <v>9</v>
      </c>
      <c r="Q29" s="8" t="s">
        <v>7</v>
      </c>
      <c r="R29" s="7" t="s">
        <v>9</v>
      </c>
      <c r="S29" s="7" t="s">
        <v>9</v>
      </c>
      <c r="T29" s="12" t="s">
        <v>9</v>
      </c>
      <c r="U29" s="7"/>
      <c r="V29" s="7"/>
    </row>
    <row r="30" spans="1:22" x14ac:dyDescent="0.25">
      <c r="A30" s="19" t="str">
        <f t="shared" si="0"/>
        <v>COMPLETO</v>
      </c>
      <c r="B30" s="20" t="s">
        <v>752</v>
      </c>
      <c r="C30" s="17" t="s">
        <v>753</v>
      </c>
      <c r="D30" s="18" t="s">
        <v>819</v>
      </c>
      <c r="E30" s="18" t="s">
        <v>820</v>
      </c>
      <c r="F30" s="7" t="s">
        <v>53</v>
      </c>
      <c r="G30" s="7" t="s">
        <v>53</v>
      </c>
      <c r="H30" s="7" t="s">
        <v>53</v>
      </c>
      <c r="I30" s="7" t="s">
        <v>53</v>
      </c>
      <c r="J30" s="11" t="s">
        <v>9</v>
      </c>
      <c r="K30" s="11" t="s">
        <v>9</v>
      </c>
      <c r="L30" s="7" t="s">
        <v>9</v>
      </c>
      <c r="M30" s="11" t="s">
        <v>9</v>
      </c>
      <c r="N30" s="11" t="s">
        <v>9</v>
      </c>
      <c r="O30" s="11" t="s">
        <v>9</v>
      </c>
      <c r="P30" s="7" t="s">
        <v>9</v>
      </c>
      <c r="Q30" s="8" t="s">
        <v>7</v>
      </c>
      <c r="R30" s="7" t="s">
        <v>9</v>
      </c>
      <c r="S30" s="7" t="s">
        <v>9</v>
      </c>
      <c r="T30" s="12" t="s">
        <v>9</v>
      </c>
      <c r="U30" s="7"/>
      <c r="V30" s="7"/>
    </row>
    <row r="31" spans="1:22" x14ac:dyDescent="0.25">
      <c r="A31" s="19" t="str">
        <f t="shared" si="0"/>
        <v>COMPLETO</v>
      </c>
      <c r="B31" s="20" t="s">
        <v>754</v>
      </c>
      <c r="C31" s="17" t="s">
        <v>755</v>
      </c>
      <c r="D31" s="18" t="s">
        <v>821</v>
      </c>
      <c r="E31" s="18" t="s">
        <v>822</v>
      </c>
      <c r="F31" s="7" t="s">
        <v>53</v>
      </c>
      <c r="G31" s="7" t="s">
        <v>53</v>
      </c>
      <c r="H31" s="7" t="s">
        <v>53</v>
      </c>
      <c r="I31" s="7" t="s">
        <v>53</v>
      </c>
      <c r="J31" s="11" t="s">
        <v>9</v>
      </c>
      <c r="K31" s="11" t="s">
        <v>9</v>
      </c>
      <c r="L31" s="7" t="s">
        <v>9</v>
      </c>
      <c r="M31" s="11" t="s">
        <v>9</v>
      </c>
      <c r="N31" s="11" t="s">
        <v>9</v>
      </c>
      <c r="O31" s="11" t="s">
        <v>9</v>
      </c>
      <c r="P31" s="7" t="s">
        <v>9</v>
      </c>
      <c r="Q31" s="8" t="s">
        <v>7</v>
      </c>
      <c r="R31" s="7" t="s">
        <v>9</v>
      </c>
      <c r="S31" s="7" t="s">
        <v>9</v>
      </c>
      <c r="T31" s="12" t="s">
        <v>9</v>
      </c>
      <c r="U31" s="7"/>
      <c r="V31" s="7"/>
    </row>
    <row r="32" spans="1:22" x14ac:dyDescent="0.25">
      <c r="A32" s="19" t="str">
        <f t="shared" si="0"/>
        <v>COMPLETO</v>
      </c>
      <c r="B32" s="20" t="s">
        <v>756</v>
      </c>
      <c r="C32" s="17" t="s">
        <v>757</v>
      </c>
      <c r="D32" s="18" t="s">
        <v>823</v>
      </c>
      <c r="E32" s="18" t="s">
        <v>824</v>
      </c>
      <c r="F32" s="7" t="s">
        <v>53</v>
      </c>
      <c r="G32" s="7" t="s">
        <v>53</v>
      </c>
      <c r="H32" s="7" t="s">
        <v>53</v>
      </c>
      <c r="I32" s="7" t="s">
        <v>9</v>
      </c>
      <c r="J32" s="11" t="s">
        <v>9</v>
      </c>
      <c r="K32" s="11" t="s">
        <v>9</v>
      </c>
      <c r="L32" s="7" t="s">
        <v>9</v>
      </c>
      <c r="M32" s="11" t="s">
        <v>9</v>
      </c>
      <c r="N32" s="11" t="s">
        <v>9</v>
      </c>
      <c r="O32" s="11" t="s">
        <v>9</v>
      </c>
      <c r="P32" s="7" t="s">
        <v>9</v>
      </c>
      <c r="Q32" s="8" t="s">
        <v>7</v>
      </c>
      <c r="R32" s="7" t="s">
        <v>9</v>
      </c>
      <c r="S32" s="7" t="s">
        <v>9</v>
      </c>
      <c r="T32" s="12" t="s">
        <v>9</v>
      </c>
      <c r="U32" s="7"/>
      <c r="V32" s="7"/>
    </row>
    <row r="33" spans="1:22" x14ac:dyDescent="0.25">
      <c r="A33" s="19" t="str">
        <f t="shared" si="0"/>
        <v>COMPLETO</v>
      </c>
      <c r="B33" s="20" t="s">
        <v>758</v>
      </c>
      <c r="C33" s="17" t="s">
        <v>759</v>
      </c>
      <c r="D33" s="18" t="s">
        <v>825</v>
      </c>
      <c r="E33" s="18" t="s">
        <v>826</v>
      </c>
      <c r="F33" s="7" t="s">
        <v>53</v>
      </c>
      <c r="G33" s="7" t="s">
        <v>53</v>
      </c>
      <c r="H33" s="7" t="s">
        <v>53</v>
      </c>
      <c r="I33" s="7" t="s">
        <v>9</v>
      </c>
      <c r="J33" s="11" t="s">
        <v>9</v>
      </c>
      <c r="K33" s="11" t="s">
        <v>9</v>
      </c>
      <c r="L33" s="7" t="s">
        <v>9</v>
      </c>
      <c r="M33" s="11" t="s">
        <v>9</v>
      </c>
      <c r="N33" s="11" t="s">
        <v>9</v>
      </c>
      <c r="O33" s="11" t="s">
        <v>9</v>
      </c>
      <c r="P33" s="7" t="s">
        <v>9</v>
      </c>
      <c r="Q33" s="8" t="s">
        <v>7</v>
      </c>
      <c r="R33" s="7" t="s">
        <v>9</v>
      </c>
      <c r="S33" s="7" t="s">
        <v>9</v>
      </c>
      <c r="T33" s="12" t="s">
        <v>9</v>
      </c>
      <c r="U33" s="7"/>
      <c r="V33" s="7"/>
    </row>
    <row r="34" spans="1:22" x14ac:dyDescent="0.25">
      <c r="A34" s="19" t="str">
        <f t="shared" si="0"/>
        <v>COMPLETO</v>
      </c>
      <c r="B34" s="20" t="s">
        <v>760</v>
      </c>
      <c r="C34" s="17" t="s">
        <v>761</v>
      </c>
      <c r="D34" s="18" t="s">
        <v>827</v>
      </c>
      <c r="E34" s="18" t="s">
        <v>828</v>
      </c>
      <c r="F34" s="7" t="s">
        <v>53</v>
      </c>
      <c r="G34" s="7" t="s">
        <v>53</v>
      </c>
      <c r="H34" s="7" t="s">
        <v>53</v>
      </c>
      <c r="I34" s="7" t="s">
        <v>9</v>
      </c>
      <c r="J34" s="11" t="s">
        <v>9</v>
      </c>
      <c r="K34" s="11" t="s">
        <v>9</v>
      </c>
      <c r="L34" s="7" t="s">
        <v>9</v>
      </c>
      <c r="M34" s="11" t="s">
        <v>9</v>
      </c>
      <c r="N34" s="11" t="s">
        <v>9</v>
      </c>
      <c r="O34" s="11" t="s">
        <v>9</v>
      </c>
      <c r="P34" s="7" t="s">
        <v>9</v>
      </c>
      <c r="Q34" s="8" t="s">
        <v>7</v>
      </c>
      <c r="R34" s="7" t="s">
        <v>9</v>
      </c>
      <c r="S34" s="7" t="s">
        <v>9</v>
      </c>
      <c r="T34" s="12" t="s">
        <v>9</v>
      </c>
      <c r="U34" s="7"/>
      <c r="V34" s="7"/>
    </row>
    <row r="35" spans="1:22" x14ac:dyDescent="0.25">
      <c r="A35" s="19" t="str">
        <f t="shared" si="0"/>
        <v>COMPLETO</v>
      </c>
      <c r="B35" s="20" t="s">
        <v>762</v>
      </c>
      <c r="C35" s="17" t="s">
        <v>763</v>
      </c>
      <c r="D35" s="18" t="s">
        <v>829</v>
      </c>
      <c r="E35" s="18" t="s">
        <v>830</v>
      </c>
      <c r="F35" s="7" t="s">
        <v>53</v>
      </c>
      <c r="G35" s="7" t="s">
        <v>53</v>
      </c>
      <c r="H35" s="7" t="s">
        <v>53</v>
      </c>
      <c r="I35" s="7" t="s">
        <v>9</v>
      </c>
      <c r="J35" s="11" t="s">
        <v>9</v>
      </c>
      <c r="K35" s="11" t="s">
        <v>9</v>
      </c>
      <c r="L35" s="7" t="s">
        <v>9</v>
      </c>
      <c r="M35" s="11" t="s">
        <v>9</v>
      </c>
      <c r="N35" s="11" t="s">
        <v>9</v>
      </c>
      <c r="O35" s="11" t="s">
        <v>9</v>
      </c>
      <c r="P35" s="7" t="s">
        <v>9</v>
      </c>
      <c r="Q35" s="8" t="s">
        <v>7</v>
      </c>
      <c r="R35" s="7" t="s">
        <v>9</v>
      </c>
      <c r="S35" s="7" t="s">
        <v>9</v>
      </c>
      <c r="T35" s="12" t="s">
        <v>9</v>
      </c>
      <c r="U35" s="7"/>
      <c r="V35" s="7"/>
    </row>
    <row r="36" spans="1:22" x14ac:dyDescent="0.25">
      <c r="A36" s="19" t="str">
        <f t="shared" si="0"/>
        <v>COMPLETO</v>
      </c>
      <c r="B36" s="20" t="s">
        <v>764</v>
      </c>
      <c r="C36" s="17" t="s">
        <v>765</v>
      </c>
      <c r="D36" s="18" t="s">
        <v>831</v>
      </c>
      <c r="E36" s="18" t="s">
        <v>832</v>
      </c>
      <c r="F36" s="7" t="s">
        <v>53</v>
      </c>
      <c r="G36" s="7" t="s">
        <v>53</v>
      </c>
      <c r="H36" s="7" t="s">
        <v>53</v>
      </c>
      <c r="I36" s="7" t="s">
        <v>53</v>
      </c>
      <c r="J36" s="11" t="s">
        <v>9</v>
      </c>
      <c r="K36" s="11" t="s">
        <v>9</v>
      </c>
      <c r="L36" s="7" t="s">
        <v>9</v>
      </c>
      <c r="M36" s="11" t="s">
        <v>9</v>
      </c>
      <c r="N36" s="11" t="s">
        <v>9</v>
      </c>
      <c r="O36" s="11" t="s">
        <v>9</v>
      </c>
      <c r="P36" s="7" t="s">
        <v>9</v>
      </c>
      <c r="Q36" s="8" t="s">
        <v>7</v>
      </c>
      <c r="R36" s="7" t="s">
        <v>9</v>
      </c>
      <c r="S36" s="7" t="s">
        <v>9</v>
      </c>
      <c r="T36" s="12" t="s">
        <v>9</v>
      </c>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441" priority="29" operator="equal">
      <formula>"F"</formula>
    </cfRule>
    <cfRule type="cellIs" dxfId="440" priority="30" operator="equal">
      <formula>"OK"</formula>
    </cfRule>
    <cfRule type="cellIs" dxfId="439" priority="31" operator="between">
      <formula>6</formula>
      <formula>18</formula>
    </cfRule>
  </conditionalFormatting>
  <conditionalFormatting sqref="C1:E1 A2:E2 C3:C4 E3:E4 A5:E1048576">
    <cfRule type="expression" dxfId="438" priority="27">
      <formula>$A1="FALTA"</formula>
    </cfRule>
    <cfRule type="expression" dxfId="437" priority="28">
      <formula>$A1="COMPLETO"</formula>
    </cfRule>
  </conditionalFormatting>
  <conditionalFormatting sqref="B3">
    <cfRule type="expression" dxfId="436" priority="19">
      <formula>$A3="FALTA"</formula>
    </cfRule>
    <cfRule type="expression" dxfId="435" priority="20">
      <formula>$A3="COMPLETO"</formula>
    </cfRule>
  </conditionalFormatting>
  <conditionalFormatting sqref="D3:D4">
    <cfRule type="expression" dxfId="434" priority="17">
      <formula>$A3="FALTA"</formula>
    </cfRule>
    <cfRule type="expression" dxfId="433" priority="18">
      <formula>$A3="COMPLETO"</formula>
    </cfRule>
  </conditionalFormatting>
  <conditionalFormatting sqref="F4">
    <cfRule type="cellIs" dxfId="432" priority="14" operator="equal">
      <formula>"F"</formula>
    </cfRule>
    <cfRule type="cellIs" dxfId="431" priority="15" operator="equal">
      <formula>"OK"</formula>
    </cfRule>
    <cfRule type="cellIs" dxfId="430" priority="16" operator="between">
      <formula>6</formula>
      <formula>18</formula>
    </cfRule>
  </conditionalFormatting>
  <conditionalFormatting sqref="A1:B1">
    <cfRule type="expression" dxfId="429" priority="12">
      <formula>$A1="FALTA"</formula>
    </cfRule>
    <cfRule type="expression" dxfId="428" priority="13">
      <formula>$A1="COMPLETO"</formula>
    </cfRule>
  </conditionalFormatting>
  <conditionalFormatting sqref="U3:V3">
    <cfRule type="cellIs" dxfId="427" priority="6" operator="equal">
      <formula>"F"</formula>
    </cfRule>
    <cfRule type="cellIs" dxfId="426" priority="7" operator="equal">
      <formula>"OK"</formula>
    </cfRule>
    <cfRule type="cellIs" dxfId="425" priority="8" operator="between">
      <formula>6</formula>
      <formula>18</formula>
    </cfRule>
  </conditionalFormatting>
  <conditionalFormatting sqref="F3">
    <cfRule type="cellIs" dxfId="424" priority="3" operator="equal">
      <formula>"F"</formula>
    </cfRule>
    <cfRule type="cellIs" dxfId="423" priority="4" operator="equal">
      <formula>"OK"</formula>
    </cfRule>
    <cfRule type="cellIs" dxfId="422" priority="5" operator="between">
      <formula>6</formula>
      <formula>18</formula>
    </cfRule>
  </conditionalFormatting>
  <conditionalFormatting sqref="A3">
    <cfRule type="expression" dxfId="421" priority="1">
      <formula>$A3="FALTA"</formula>
    </cfRule>
    <cfRule type="expression" dxfId="420"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3">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ZMandarinas 2</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FALTA</v>
      </c>
      <c r="B3" s="385" t="s">
        <v>116</v>
      </c>
      <c r="C3" s="23" t="s">
        <v>833</v>
      </c>
      <c r="D3" s="29" t="s">
        <v>5</v>
      </c>
      <c r="E3" s="10" t="s">
        <v>835</v>
      </c>
      <c r="F3" s="30">
        <f>IF(AND(ISBLANK(U3),ISBLANK(V3)),1-(COUNTIF(G3:V4,"F")/7),1-(COUNTIF(U3:V3,"F")/2))</f>
        <v>0</v>
      </c>
      <c r="G3" s="24"/>
      <c r="H3" s="24"/>
      <c r="I3" s="24"/>
      <c r="J3" s="24"/>
      <c r="K3" s="24"/>
      <c r="L3" s="24" t="s">
        <v>28</v>
      </c>
      <c r="M3" s="11" t="s">
        <v>53</v>
      </c>
      <c r="N3" s="24"/>
      <c r="O3" s="24"/>
      <c r="P3" s="25"/>
      <c r="Q3" s="24" t="s">
        <v>24</v>
      </c>
      <c r="R3" s="11" t="s">
        <v>53</v>
      </c>
      <c r="S3" s="24" t="s">
        <v>12</v>
      </c>
      <c r="T3" s="11" t="s">
        <v>53</v>
      </c>
      <c r="U3" s="381" t="s">
        <v>8</v>
      </c>
      <c r="V3" s="381" t="s">
        <v>8</v>
      </c>
    </row>
    <row r="4" spans="1:22" x14ac:dyDescent="0.25">
      <c r="A4" s="384"/>
      <c r="B4" s="386"/>
      <c r="C4" s="23" t="s">
        <v>834</v>
      </c>
      <c r="D4" s="29" t="s">
        <v>6</v>
      </c>
      <c r="E4" s="10" t="s">
        <v>836</v>
      </c>
      <c r="F4" s="30">
        <f>COUNTIF(A5:A44,"*COMPLETO*")/COUNTA(A5:A44)</f>
        <v>0</v>
      </c>
      <c r="G4" s="24"/>
      <c r="H4" s="24" t="s">
        <v>18</v>
      </c>
      <c r="I4" s="11" t="s">
        <v>7</v>
      </c>
      <c r="J4" s="24"/>
      <c r="K4" s="24"/>
      <c r="L4" s="24" t="s">
        <v>23</v>
      </c>
      <c r="M4" s="11" t="s">
        <v>53</v>
      </c>
      <c r="N4" s="24"/>
      <c r="O4" s="24"/>
      <c r="P4" s="11"/>
      <c r="Q4" s="24" t="s">
        <v>26</v>
      </c>
      <c r="R4" s="11" t="s">
        <v>7</v>
      </c>
      <c r="S4" s="24" t="s">
        <v>19</v>
      </c>
      <c r="T4" s="11" t="s">
        <v>53</v>
      </c>
      <c r="U4" s="382"/>
      <c r="V4" s="382"/>
    </row>
    <row r="5" spans="1:22" ht="15" customHeight="1" x14ac:dyDescent="0.25">
      <c r="A5" s="19" t="str">
        <f>IF(COUNTIF(F5:V5,"F")&gt;0,"FALTA","COMPLETO")</f>
        <v>FALTA</v>
      </c>
      <c r="B5" s="20" t="s">
        <v>158</v>
      </c>
      <c r="C5" s="17" t="s">
        <v>837</v>
      </c>
      <c r="D5" s="18" t="s">
        <v>859</v>
      </c>
      <c r="E5" s="18" t="s">
        <v>860</v>
      </c>
      <c r="F5" s="7" t="s">
        <v>53</v>
      </c>
      <c r="G5" s="7" t="s">
        <v>53</v>
      </c>
      <c r="H5" s="7" t="s">
        <v>53</v>
      </c>
      <c r="I5" s="7" t="s">
        <v>53</v>
      </c>
      <c r="J5" s="11" t="s">
        <v>9</v>
      </c>
      <c r="K5" s="11" t="s">
        <v>9</v>
      </c>
      <c r="L5" s="7" t="s">
        <v>9</v>
      </c>
      <c r="M5" s="11" t="s">
        <v>9</v>
      </c>
      <c r="N5" s="11" t="s">
        <v>9</v>
      </c>
      <c r="O5" s="11" t="s">
        <v>9</v>
      </c>
      <c r="P5" s="7">
        <v>18</v>
      </c>
      <c r="Q5" s="8" t="s">
        <v>53</v>
      </c>
      <c r="R5" s="7" t="s">
        <v>53</v>
      </c>
      <c r="S5" s="7" t="s">
        <v>53</v>
      </c>
      <c r="T5" s="12" t="s">
        <v>9</v>
      </c>
      <c r="U5" s="7" t="s">
        <v>8</v>
      </c>
      <c r="V5" s="7" t="s">
        <v>8</v>
      </c>
    </row>
    <row r="6" spans="1:22" ht="15" customHeight="1" x14ac:dyDescent="0.25">
      <c r="A6" s="19" t="str">
        <f t="shared" ref="A6:A26" si="0">IF(COUNTIF(F6:V6,"F")&gt;0,"FALTA","COMPLETO")</f>
        <v>FALTA</v>
      </c>
      <c r="B6" s="20" t="s">
        <v>160</v>
      </c>
      <c r="C6" s="17" t="s">
        <v>838</v>
      </c>
      <c r="D6" s="18" t="s">
        <v>861</v>
      </c>
      <c r="E6" s="18" t="s">
        <v>862</v>
      </c>
      <c r="F6" s="7" t="s">
        <v>53</v>
      </c>
      <c r="G6" s="7" t="s">
        <v>53</v>
      </c>
      <c r="H6" s="7" t="s">
        <v>53</v>
      </c>
      <c r="I6" s="7" t="s">
        <v>53</v>
      </c>
      <c r="J6" s="11" t="s">
        <v>9</v>
      </c>
      <c r="K6" s="11" t="s">
        <v>9</v>
      </c>
      <c r="L6" s="7" t="s">
        <v>9</v>
      </c>
      <c r="M6" s="11" t="s">
        <v>9</v>
      </c>
      <c r="N6" s="11" t="s">
        <v>9</v>
      </c>
      <c r="O6" s="11" t="s">
        <v>9</v>
      </c>
      <c r="P6" s="7">
        <v>6</v>
      </c>
      <c r="Q6" s="8" t="s">
        <v>53</v>
      </c>
      <c r="R6" s="7" t="s">
        <v>53</v>
      </c>
      <c r="S6" s="7" t="s">
        <v>53</v>
      </c>
      <c r="T6" s="12" t="s">
        <v>9</v>
      </c>
      <c r="U6" s="7" t="s">
        <v>8</v>
      </c>
      <c r="V6" s="7" t="s">
        <v>8</v>
      </c>
    </row>
    <row r="7" spans="1:22" ht="15" customHeight="1" x14ac:dyDescent="0.25">
      <c r="A7" s="19" t="str">
        <f t="shared" si="0"/>
        <v>FALTA</v>
      </c>
      <c r="B7" s="20" t="s">
        <v>166</v>
      </c>
      <c r="C7" s="17" t="s">
        <v>839</v>
      </c>
      <c r="D7" s="18" t="s">
        <v>863</v>
      </c>
      <c r="E7" s="18" t="s">
        <v>864</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8</v>
      </c>
      <c r="V7" s="7" t="s">
        <v>8</v>
      </c>
    </row>
    <row r="8" spans="1:22" x14ac:dyDescent="0.25">
      <c r="A8" s="19" t="str">
        <f t="shared" si="0"/>
        <v>FALTA</v>
      </c>
      <c r="B8" s="20" t="s">
        <v>168</v>
      </c>
      <c r="C8" s="17" t="s">
        <v>840</v>
      </c>
      <c r="D8" s="18" t="s">
        <v>865</v>
      </c>
      <c r="E8" s="18" t="s">
        <v>866</v>
      </c>
      <c r="F8" s="7" t="s">
        <v>53</v>
      </c>
      <c r="G8" s="7" t="s">
        <v>53</v>
      </c>
      <c r="H8" s="7" t="s">
        <v>53</v>
      </c>
      <c r="I8" s="7" t="s">
        <v>53</v>
      </c>
      <c r="J8" s="11" t="s">
        <v>9</v>
      </c>
      <c r="K8" s="11" t="s">
        <v>9</v>
      </c>
      <c r="L8" s="7" t="s">
        <v>9</v>
      </c>
      <c r="M8" s="11" t="s">
        <v>9</v>
      </c>
      <c r="N8" s="11" t="s">
        <v>9</v>
      </c>
      <c r="O8" s="11" t="s">
        <v>9</v>
      </c>
      <c r="P8" s="7" t="s">
        <v>9</v>
      </c>
      <c r="Q8" s="8" t="s">
        <v>7</v>
      </c>
      <c r="R8" s="7" t="s">
        <v>9</v>
      </c>
      <c r="S8" s="7" t="s">
        <v>9</v>
      </c>
      <c r="T8" s="12" t="s">
        <v>9</v>
      </c>
      <c r="U8" s="7" t="s">
        <v>8</v>
      </c>
      <c r="V8" s="7" t="s">
        <v>8</v>
      </c>
    </row>
    <row r="9" spans="1:22" x14ac:dyDescent="0.25">
      <c r="A9" s="19" t="str">
        <f t="shared" si="0"/>
        <v>FALTA</v>
      </c>
      <c r="B9" s="20" t="s">
        <v>174</v>
      </c>
      <c r="C9" s="17" t="s">
        <v>841</v>
      </c>
      <c r="D9" s="18" t="s">
        <v>867</v>
      </c>
      <c r="E9" s="18" t="s">
        <v>868</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t="s">
        <v>8</v>
      </c>
      <c r="V9" s="7" t="s">
        <v>8</v>
      </c>
    </row>
    <row r="10" spans="1:22" x14ac:dyDescent="0.25">
      <c r="A10" s="19" t="str">
        <f t="shared" si="0"/>
        <v>FALTA</v>
      </c>
      <c r="B10" s="20" t="s">
        <v>175</v>
      </c>
      <c r="C10" s="17" t="s">
        <v>842</v>
      </c>
      <c r="D10" s="18" t="s">
        <v>869</v>
      </c>
      <c r="E10" s="18" t="s">
        <v>870</v>
      </c>
      <c r="F10" s="7" t="s">
        <v>53</v>
      </c>
      <c r="G10" s="7" t="s">
        <v>53</v>
      </c>
      <c r="H10" s="7" t="s">
        <v>53</v>
      </c>
      <c r="I10" s="7" t="s">
        <v>53</v>
      </c>
      <c r="J10" s="11" t="s">
        <v>9</v>
      </c>
      <c r="K10" s="11" t="s">
        <v>9</v>
      </c>
      <c r="L10" s="7" t="s">
        <v>9</v>
      </c>
      <c r="M10" s="11" t="s">
        <v>9</v>
      </c>
      <c r="N10" s="11" t="s">
        <v>9</v>
      </c>
      <c r="O10" s="11" t="s">
        <v>9</v>
      </c>
      <c r="P10" s="7" t="s">
        <v>9</v>
      </c>
      <c r="Q10" s="8" t="s">
        <v>7</v>
      </c>
      <c r="R10" s="7" t="s">
        <v>9</v>
      </c>
      <c r="S10" s="7" t="s">
        <v>9</v>
      </c>
      <c r="T10" s="12" t="s">
        <v>9</v>
      </c>
      <c r="U10" s="7" t="s">
        <v>8</v>
      </c>
      <c r="V10" s="7" t="s">
        <v>8</v>
      </c>
    </row>
    <row r="11" spans="1:22" x14ac:dyDescent="0.25">
      <c r="A11" s="19" t="str">
        <f t="shared" si="0"/>
        <v>FALTA</v>
      </c>
      <c r="B11" s="20" t="s">
        <v>181</v>
      </c>
      <c r="C11" s="17" t="s">
        <v>843</v>
      </c>
      <c r="D11" s="18" t="s">
        <v>871</v>
      </c>
      <c r="E11" s="18" t="s">
        <v>872</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8</v>
      </c>
      <c r="V11" s="7" t="s">
        <v>8</v>
      </c>
    </row>
    <row r="12" spans="1:22" x14ac:dyDescent="0.25">
      <c r="A12" s="19" t="str">
        <f t="shared" si="0"/>
        <v>FALTA</v>
      </c>
      <c r="B12" s="20" t="s">
        <v>183</v>
      </c>
      <c r="C12" s="17" t="s">
        <v>844</v>
      </c>
      <c r="D12" s="18" t="s">
        <v>873</v>
      </c>
      <c r="E12" s="18" t="s">
        <v>874</v>
      </c>
      <c r="F12" s="7" t="s">
        <v>53</v>
      </c>
      <c r="G12" s="7" t="s">
        <v>53</v>
      </c>
      <c r="H12" s="7" t="s">
        <v>53</v>
      </c>
      <c r="I12" s="7" t="s">
        <v>53</v>
      </c>
      <c r="J12" s="11" t="s">
        <v>53</v>
      </c>
      <c r="K12" s="11" t="s">
        <v>53</v>
      </c>
      <c r="L12" s="7" t="s">
        <v>9</v>
      </c>
      <c r="M12" s="11" t="s">
        <v>9</v>
      </c>
      <c r="N12" s="11" t="s">
        <v>9</v>
      </c>
      <c r="O12" s="11" t="s">
        <v>9</v>
      </c>
      <c r="P12" s="7" t="s">
        <v>9</v>
      </c>
      <c r="Q12" s="8" t="s">
        <v>7</v>
      </c>
      <c r="R12" s="7" t="s">
        <v>9</v>
      </c>
      <c r="S12" s="7" t="s">
        <v>9</v>
      </c>
      <c r="T12" s="12" t="s">
        <v>9</v>
      </c>
      <c r="U12" s="7" t="s">
        <v>8</v>
      </c>
      <c r="V12" s="7" t="s">
        <v>8</v>
      </c>
    </row>
    <row r="13" spans="1:22" x14ac:dyDescent="0.25">
      <c r="A13" s="19" t="str">
        <f t="shared" si="0"/>
        <v>FALTA</v>
      </c>
      <c r="B13" s="20" t="s">
        <v>337</v>
      </c>
      <c r="C13" s="17" t="s">
        <v>845</v>
      </c>
      <c r="D13" s="18" t="s">
        <v>875</v>
      </c>
      <c r="E13" s="18" t="s">
        <v>876</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t="s">
        <v>8</v>
      </c>
      <c r="V13" s="7" t="s">
        <v>8</v>
      </c>
    </row>
    <row r="14" spans="1:22" x14ac:dyDescent="0.25">
      <c r="A14" s="19" t="str">
        <f t="shared" si="0"/>
        <v>FALTA</v>
      </c>
      <c r="B14" s="20" t="s">
        <v>339</v>
      </c>
      <c r="C14" s="17" t="s">
        <v>846</v>
      </c>
      <c r="D14" s="18" t="s">
        <v>877</v>
      </c>
      <c r="E14" s="18" t="s">
        <v>878</v>
      </c>
      <c r="F14" s="7" t="s">
        <v>53</v>
      </c>
      <c r="G14" s="7" t="s">
        <v>53</v>
      </c>
      <c r="H14" s="7" t="s">
        <v>53</v>
      </c>
      <c r="I14" s="7" t="s">
        <v>53</v>
      </c>
      <c r="J14" s="11" t="s">
        <v>9</v>
      </c>
      <c r="K14" s="11" t="s">
        <v>9</v>
      </c>
      <c r="L14" s="7" t="s">
        <v>9</v>
      </c>
      <c r="M14" s="11" t="s">
        <v>9</v>
      </c>
      <c r="N14" s="11" t="s">
        <v>9</v>
      </c>
      <c r="O14" s="11" t="s">
        <v>9</v>
      </c>
      <c r="P14" s="7">
        <v>6</v>
      </c>
      <c r="Q14" s="8" t="s">
        <v>53</v>
      </c>
      <c r="R14" s="7" t="s">
        <v>53</v>
      </c>
      <c r="S14" s="7" t="s">
        <v>53</v>
      </c>
      <c r="T14" s="12" t="s">
        <v>9</v>
      </c>
      <c r="U14" s="7" t="s">
        <v>8</v>
      </c>
      <c r="V14" s="7" t="s">
        <v>8</v>
      </c>
    </row>
    <row r="15" spans="1:22" x14ac:dyDescent="0.25">
      <c r="A15" s="19" t="str">
        <f t="shared" si="0"/>
        <v>FALTA</v>
      </c>
      <c r="B15" s="20" t="s">
        <v>345</v>
      </c>
      <c r="C15" s="17" t="s">
        <v>847</v>
      </c>
      <c r="D15" s="18" t="s">
        <v>879</v>
      </c>
      <c r="E15" s="18" t="s">
        <v>880</v>
      </c>
      <c r="F15" s="7" t="s">
        <v>53</v>
      </c>
      <c r="G15" s="7" t="s">
        <v>53</v>
      </c>
      <c r="H15" s="7" t="s">
        <v>53</v>
      </c>
      <c r="I15" s="7" t="s">
        <v>53</v>
      </c>
      <c r="J15" s="11" t="s">
        <v>9</v>
      </c>
      <c r="K15" s="11" t="s">
        <v>9</v>
      </c>
      <c r="L15" s="7" t="s">
        <v>9</v>
      </c>
      <c r="M15" s="11" t="s">
        <v>9</v>
      </c>
      <c r="N15" s="11" t="s">
        <v>9</v>
      </c>
      <c r="O15" s="11" t="s">
        <v>9</v>
      </c>
      <c r="P15" s="7" t="s">
        <v>9</v>
      </c>
      <c r="Q15" s="8" t="s">
        <v>7</v>
      </c>
      <c r="R15" s="7" t="s">
        <v>9</v>
      </c>
      <c r="S15" s="7" t="s">
        <v>9</v>
      </c>
      <c r="T15" s="12" t="s">
        <v>9</v>
      </c>
      <c r="U15" s="7" t="s">
        <v>8</v>
      </c>
      <c r="V15" s="7" t="s">
        <v>8</v>
      </c>
    </row>
    <row r="16" spans="1:22" x14ac:dyDescent="0.25">
      <c r="A16" s="19" t="str">
        <f t="shared" si="0"/>
        <v>FALTA</v>
      </c>
      <c r="B16" s="20" t="s">
        <v>347</v>
      </c>
      <c r="C16" s="17" t="s">
        <v>848</v>
      </c>
      <c r="D16" s="18" t="s">
        <v>881</v>
      </c>
      <c r="E16" s="18" t="s">
        <v>882</v>
      </c>
      <c r="F16" s="7" t="s">
        <v>53</v>
      </c>
      <c r="G16" s="7" t="s">
        <v>53</v>
      </c>
      <c r="H16" s="7" t="s">
        <v>53</v>
      </c>
      <c r="I16" s="7" t="s">
        <v>53</v>
      </c>
      <c r="J16" s="11" t="s">
        <v>53</v>
      </c>
      <c r="K16" s="11" t="s">
        <v>53</v>
      </c>
      <c r="L16" s="7" t="s">
        <v>9</v>
      </c>
      <c r="M16" s="11" t="s">
        <v>9</v>
      </c>
      <c r="N16" s="11" t="s">
        <v>9</v>
      </c>
      <c r="O16" s="11" t="s">
        <v>9</v>
      </c>
      <c r="P16" s="7" t="s">
        <v>9</v>
      </c>
      <c r="Q16" s="8" t="s">
        <v>7</v>
      </c>
      <c r="R16" s="7" t="s">
        <v>9</v>
      </c>
      <c r="S16" s="7" t="s">
        <v>9</v>
      </c>
      <c r="T16" s="12" t="s">
        <v>9</v>
      </c>
      <c r="U16" s="7" t="s">
        <v>8</v>
      </c>
      <c r="V16" s="7" t="s">
        <v>8</v>
      </c>
    </row>
    <row r="17" spans="1:22" x14ac:dyDescent="0.25">
      <c r="A17" s="19" t="str">
        <f t="shared" si="0"/>
        <v>FALTA</v>
      </c>
      <c r="B17" s="20" t="s">
        <v>353</v>
      </c>
      <c r="C17" s="17" t="s">
        <v>849</v>
      </c>
      <c r="D17" s="18" t="s">
        <v>883</v>
      </c>
      <c r="E17" s="18" t="s">
        <v>884</v>
      </c>
      <c r="F17" s="7" t="s">
        <v>53</v>
      </c>
      <c r="G17" s="7" t="s">
        <v>53</v>
      </c>
      <c r="H17" s="7" t="s">
        <v>53</v>
      </c>
      <c r="I17" s="7" t="s">
        <v>53</v>
      </c>
      <c r="J17" s="11" t="s">
        <v>53</v>
      </c>
      <c r="K17" s="11" t="s">
        <v>53</v>
      </c>
      <c r="L17" s="7" t="s">
        <v>9</v>
      </c>
      <c r="M17" s="11" t="s">
        <v>9</v>
      </c>
      <c r="N17" s="11" t="s">
        <v>9</v>
      </c>
      <c r="O17" s="11" t="s">
        <v>9</v>
      </c>
      <c r="P17" s="7" t="s">
        <v>9</v>
      </c>
      <c r="Q17" s="8" t="s">
        <v>7</v>
      </c>
      <c r="R17" s="7" t="s">
        <v>9</v>
      </c>
      <c r="S17" s="7" t="s">
        <v>9</v>
      </c>
      <c r="T17" s="12" t="s">
        <v>9</v>
      </c>
      <c r="U17" s="7" t="s">
        <v>8</v>
      </c>
      <c r="V17" s="7" t="s">
        <v>8</v>
      </c>
    </row>
    <row r="18" spans="1:22" x14ac:dyDescent="0.25">
      <c r="A18" s="19" t="str">
        <f t="shared" si="0"/>
        <v>FALTA</v>
      </c>
      <c r="B18" s="20" t="s">
        <v>354</v>
      </c>
      <c r="C18" s="17" t="s">
        <v>850</v>
      </c>
      <c r="D18" s="18" t="s">
        <v>885</v>
      </c>
      <c r="E18" s="18" t="s">
        <v>1251</v>
      </c>
      <c r="F18" s="7" t="s">
        <v>7</v>
      </c>
      <c r="G18" s="7" t="s">
        <v>7</v>
      </c>
      <c r="H18" s="7" t="s">
        <v>53</v>
      </c>
      <c r="I18" s="7" t="s">
        <v>9</v>
      </c>
      <c r="J18" s="11" t="s">
        <v>9</v>
      </c>
      <c r="K18" s="11" t="s">
        <v>9</v>
      </c>
      <c r="L18" s="7" t="s">
        <v>9</v>
      </c>
      <c r="M18" s="11" t="s">
        <v>9</v>
      </c>
      <c r="N18" s="11" t="s">
        <v>9</v>
      </c>
      <c r="O18" s="11" t="s">
        <v>9</v>
      </c>
      <c r="P18" s="7" t="s">
        <v>9</v>
      </c>
      <c r="Q18" s="8" t="s">
        <v>7</v>
      </c>
      <c r="R18" s="7" t="s">
        <v>9</v>
      </c>
      <c r="S18" s="7" t="s">
        <v>9</v>
      </c>
      <c r="T18" s="12" t="s">
        <v>53</v>
      </c>
      <c r="U18" s="7" t="s">
        <v>8</v>
      </c>
      <c r="V18" s="7" t="s">
        <v>8</v>
      </c>
    </row>
    <row r="19" spans="1:22" x14ac:dyDescent="0.25">
      <c r="A19" s="19" t="str">
        <f t="shared" si="0"/>
        <v>FALTA</v>
      </c>
      <c r="B19" s="20" t="s">
        <v>505</v>
      </c>
      <c r="C19" s="17" t="s">
        <v>851</v>
      </c>
      <c r="D19" s="18" t="s">
        <v>886</v>
      </c>
      <c r="E19" s="18" t="s">
        <v>887</v>
      </c>
      <c r="F19" s="7" t="s">
        <v>53</v>
      </c>
      <c r="G19" s="7" t="s">
        <v>53</v>
      </c>
      <c r="H19" s="7" t="s">
        <v>53</v>
      </c>
      <c r="I19" s="7" t="s">
        <v>9</v>
      </c>
      <c r="J19" s="11" t="s">
        <v>9</v>
      </c>
      <c r="K19" s="11" t="s">
        <v>9</v>
      </c>
      <c r="L19" s="7" t="s">
        <v>9</v>
      </c>
      <c r="M19" s="11" t="s">
        <v>9</v>
      </c>
      <c r="N19" s="11" t="s">
        <v>9</v>
      </c>
      <c r="O19" s="11" t="s">
        <v>9</v>
      </c>
      <c r="P19" s="7" t="s">
        <v>9</v>
      </c>
      <c r="Q19" s="8" t="s">
        <v>7</v>
      </c>
      <c r="R19" s="7" t="s">
        <v>9</v>
      </c>
      <c r="S19" s="7" t="s">
        <v>9</v>
      </c>
      <c r="T19" s="12" t="s">
        <v>9</v>
      </c>
      <c r="U19" s="7" t="s">
        <v>8</v>
      </c>
      <c r="V19" s="7" t="s">
        <v>8</v>
      </c>
    </row>
    <row r="20" spans="1:22" x14ac:dyDescent="0.25">
      <c r="A20" s="19" t="str">
        <f t="shared" si="0"/>
        <v>FALTA</v>
      </c>
      <c r="B20" s="20" t="s">
        <v>507</v>
      </c>
      <c r="C20" s="17" t="s">
        <v>849</v>
      </c>
      <c r="D20" s="18" t="s">
        <v>883</v>
      </c>
      <c r="E20" s="18" t="s">
        <v>888</v>
      </c>
      <c r="F20" s="7" t="s">
        <v>53</v>
      </c>
      <c r="G20" s="7" t="s">
        <v>53</v>
      </c>
      <c r="H20" s="7" t="s">
        <v>53</v>
      </c>
      <c r="I20" s="7" t="s">
        <v>53</v>
      </c>
      <c r="J20" s="11" t="s">
        <v>9</v>
      </c>
      <c r="K20" s="11" t="s">
        <v>9</v>
      </c>
      <c r="L20" s="7" t="s">
        <v>9</v>
      </c>
      <c r="M20" s="11" t="s">
        <v>9</v>
      </c>
      <c r="N20" s="11" t="s">
        <v>9</v>
      </c>
      <c r="O20" s="11" t="s">
        <v>9</v>
      </c>
      <c r="P20" s="7" t="s">
        <v>9</v>
      </c>
      <c r="Q20" s="8" t="s">
        <v>7</v>
      </c>
      <c r="R20" s="7" t="s">
        <v>9</v>
      </c>
      <c r="S20" s="7" t="s">
        <v>9</v>
      </c>
      <c r="T20" s="12" t="s">
        <v>9</v>
      </c>
      <c r="U20" s="7" t="s">
        <v>8</v>
      </c>
      <c r="V20" s="7" t="s">
        <v>8</v>
      </c>
    </row>
    <row r="21" spans="1:22" x14ac:dyDescent="0.25">
      <c r="A21" s="19" t="str">
        <f t="shared" si="0"/>
        <v>FALTA</v>
      </c>
      <c r="B21" s="20" t="s">
        <v>513</v>
      </c>
      <c r="C21" s="17" t="s">
        <v>852</v>
      </c>
      <c r="D21" s="18" t="s">
        <v>889</v>
      </c>
      <c r="E21" s="18" t="s">
        <v>890</v>
      </c>
      <c r="F21" s="7" t="s">
        <v>53</v>
      </c>
      <c r="G21" s="7" t="s">
        <v>53</v>
      </c>
      <c r="H21" s="7" t="s">
        <v>53</v>
      </c>
      <c r="I21" s="7" t="s">
        <v>53</v>
      </c>
      <c r="J21" s="11" t="s">
        <v>9</v>
      </c>
      <c r="K21" s="11" t="s">
        <v>9</v>
      </c>
      <c r="L21" s="7" t="s">
        <v>9</v>
      </c>
      <c r="M21" s="11" t="s">
        <v>9</v>
      </c>
      <c r="N21" s="11" t="s">
        <v>9</v>
      </c>
      <c r="O21" s="11" t="s">
        <v>9</v>
      </c>
      <c r="P21" s="7" t="s">
        <v>9</v>
      </c>
      <c r="Q21" s="8" t="s">
        <v>7</v>
      </c>
      <c r="R21" s="7" t="s">
        <v>9</v>
      </c>
      <c r="S21" s="7" t="s">
        <v>9</v>
      </c>
      <c r="T21" s="12" t="s">
        <v>9</v>
      </c>
      <c r="U21" s="7" t="s">
        <v>8</v>
      </c>
      <c r="V21" s="7" t="s">
        <v>8</v>
      </c>
    </row>
    <row r="22" spans="1:22" x14ac:dyDescent="0.25">
      <c r="A22" s="19" t="str">
        <f t="shared" si="0"/>
        <v>FALTA</v>
      </c>
      <c r="B22" s="20" t="s">
        <v>515</v>
      </c>
      <c r="C22" s="17" t="s">
        <v>853</v>
      </c>
      <c r="D22" s="18" t="s">
        <v>891</v>
      </c>
      <c r="E22" s="18" t="s">
        <v>892</v>
      </c>
      <c r="F22" s="7" t="s">
        <v>53</v>
      </c>
      <c r="G22" s="7" t="s">
        <v>53</v>
      </c>
      <c r="H22" s="7" t="s">
        <v>53</v>
      </c>
      <c r="I22" s="7" t="s">
        <v>9</v>
      </c>
      <c r="J22" s="11" t="s">
        <v>9</v>
      </c>
      <c r="K22" s="11" t="s">
        <v>9</v>
      </c>
      <c r="L22" s="7" t="s">
        <v>9</v>
      </c>
      <c r="M22" s="11" t="s">
        <v>9</v>
      </c>
      <c r="N22" s="11" t="s">
        <v>9</v>
      </c>
      <c r="O22" s="11" t="s">
        <v>9</v>
      </c>
      <c r="P22" s="7" t="s">
        <v>9</v>
      </c>
      <c r="Q22" s="8" t="s">
        <v>7</v>
      </c>
      <c r="R22" s="7" t="s">
        <v>9</v>
      </c>
      <c r="S22" s="7" t="s">
        <v>9</v>
      </c>
      <c r="T22" s="12" t="s">
        <v>9</v>
      </c>
      <c r="U22" s="7" t="s">
        <v>8</v>
      </c>
      <c r="V22" s="7" t="s">
        <v>8</v>
      </c>
    </row>
    <row r="23" spans="1:22" x14ac:dyDescent="0.25">
      <c r="A23" s="19" t="str">
        <f t="shared" si="0"/>
        <v>FALTA</v>
      </c>
      <c r="B23" s="20" t="s">
        <v>521</v>
      </c>
      <c r="C23" s="17" t="s">
        <v>834</v>
      </c>
      <c r="D23" s="18" t="s">
        <v>893</v>
      </c>
      <c r="E23" s="18" t="s">
        <v>894</v>
      </c>
      <c r="F23" s="7" t="s">
        <v>53</v>
      </c>
      <c r="G23" s="7" t="s">
        <v>53</v>
      </c>
      <c r="H23" s="7" t="s">
        <v>53</v>
      </c>
      <c r="I23" s="7" t="s">
        <v>9</v>
      </c>
      <c r="J23" s="11" t="s">
        <v>9</v>
      </c>
      <c r="K23" s="11" t="s">
        <v>9</v>
      </c>
      <c r="L23" s="7" t="s">
        <v>9</v>
      </c>
      <c r="M23" s="11" t="s">
        <v>9</v>
      </c>
      <c r="N23" s="11" t="s">
        <v>9</v>
      </c>
      <c r="O23" s="11" t="s">
        <v>9</v>
      </c>
      <c r="P23" s="7" t="s">
        <v>9</v>
      </c>
      <c r="Q23" s="8" t="s">
        <v>7</v>
      </c>
      <c r="R23" s="7" t="s">
        <v>9</v>
      </c>
      <c r="S23" s="7" t="s">
        <v>9</v>
      </c>
      <c r="T23" s="12" t="s">
        <v>9</v>
      </c>
      <c r="U23" s="7" t="s">
        <v>8</v>
      </c>
      <c r="V23" s="7" t="s">
        <v>8</v>
      </c>
    </row>
    <row r="24" spans="1:22" x14ac:dyDescent="0.25">
      <c r="A24" s="19" t="str">
        <f t="shared" si="0"/>
        <v>FALTA</v>
      </c>
      <c r="B24" s="20" t="s">
        <v>523</v>
      </c>
      <c r="C24" s="17" t="s">
        <v>854</v>
      </c>
      <c r="D24" s="18" t="s">
        <v>895</v>
      </c>
      <c r="E24" s="18" t="s">
        <v>896</v>
      </c>
      <c r="F24" s="7" t="s">
        <v>53</v>
      </c>
      <c r="G24" s="7" t="s">
        <v>53</v>
      </c>
      <c r="H24" s="7" t="s">
        <v>53</v>
      </c>
      <c r="I24" s="7" t="s">
        <v>9</v>
      </c>
      <c r="J24" s="11" t="s">
        <v>9</v>
      </c>
      <c r="K24" s="11" t="s">
        <v>9</v>
      </c>
      <c r="L24" s="7" t="s">
        <v>9</v>
      </c>
      <c r="M24" s="11" t="s">
        <v>9</v>
      </c>
      <c r="N24" s="11" t="s">
        <v>9</v>
      </c>
      <c r="O24" s="11" t="s">
        <v>9</v>
      </c>
      <c r="P24" s="7" t="s">
        <v>9</v>
      </c>
      <c r="Q24" s="8" t="s">
        <v>7</v>
      </c>
      <c r="R24" s="7" t="s">
        <v>9</v>
      </c>
      <c r="S24" s="7" t="s">
        <v>9</v>
      </c>
      <c r="T24" s="12" t="s">
        <v>9</v>
      </c>
      <c r="U24" s="7" t="s">
        <v>8</v>
      </c>
      <c r="V24" s="7" t="s">
        <v>8</v>
      </c>
    </row>
    <row r="25" spans="1:22" x14ac:dyDescent="0.25">
      <c r="A25" s="19" t="str">
        <f t="shared" si="0"/>
        <v>FALTA</v>
      </c>
      <c r="B25" s="20" t="s">
        <v>855</v>
      </c>
      <c r="C25" s="17" t="s">
        <v>856</v>
      </c>
      <c r="D25" s="18" t="s">
        <v>897</v>
      </c>
      <c r="E25" s="18" t="s">
        <v>898</v>
      </c>
      <c r="F25" s="7" t="s">
        <v>53</v>
      </c>
      <c r="G25" s="7" t="s">
        <v>53</v>
      </c>
      <c r="H25" s="7" t="s">
        <v>53</v>
      </c>
      <c r="I25" s="7" t="s">
        <v>9</v>
      </c>
      <c r="J25" s="11" t="s">
        <v>9</v>
      </c>
      <c r="K25" s="11" t="s">
        <v>9</v>
      </c>
      <c r="L25" s="7" t="s">
        <v>9</v>
      </c>
      <c r="M25" s="11" t="s">
        <v>9</v>
      </c>
      <c r="N25" s="11" t="s">
        <v>9</v>
      </c>
      <c r="O25" s="11" t="s">
        <v>9</v>
      </c>
      <c r="P25" s="7" t="s">
        <v>9</v>
      </c>
      <c r="Q25" s="8" t="s">
        <v>7</v>
      </c>
      <c r="R25" s="7" t="s">
        <v>9</v>
      </c>
      <c r="S25" s="7" t="s">
        <v>9</v>
      </c>
      <c r="T25" s="12" t="s">
        <v>9</v>
      </c>
      <c r="U25" s="7" t="s">
        <v>8</v>
      </c>
      <c r="V25" s="7" t="s">
        <v>8</v>
      </c>
    </row>
    <row r="26" spans="1:22" x14ac:dyDescent="0.25">
      <c r="A26" s="19" t="str">
        <f t="shared" si="0"/>
        <v>FALTA</v>
      </c>
      <c r="B26" s="20" t="s">
        <v>857</v>
      </c>
      <c r="C26" s="17" t="s">
        <v>858</v>
      </c>
      <c r="D26" s="18" t="s">
        <v>899</v>
      </c>
      <c r="E26" s="18" t="s">
        <v>900</v>
      </c>
      <c r="F26" s="7" t="s">
        <v>53</v>
      </c>
      <c r="G26" s="7" t="s">
        <v>53</v>
      </c>
      <c r="H26" s="7" t="s">
        <v>53</v>
      </c>
      <c r="I26" s="7" t="s">
        <v>9</v>
      </c>
      <c r="J26" s="11" t="s">
        <v>9</v>
      </c>
      <c r="K26" s="11" t="s">
        <v>9</v>
      </c>
      <c r="L26" s="7" t="s">
        <v>9</v>
      </c>
      <c r="M26" s="11" t="s">
        <v>9</v>
      </c>
      <c r="N26" s="11" t="s">
        <v>9</v>
      </c>
      <c r="O26" s="11" t="s">
        <v>9</v>
      </c>
      <c r="P26" s="7" t="s">
        <v>9</v>
      </c>
      <c r="Q26" s="8" t="s">
        <v>7</v>
      </c>
      <c r="R26" s="7" t="s">
        <v>9</v>
      </c>
      <c r="S26" s="7" t="s">
        <v>9</v>
      </c>
      <c r="T26" s="12" t="s">
        <v>9</v>
      </c>
      <c r="U26" s="7" t="s">
        <v>8</v>
      </c>
      <c r="V26" s="7" t="s">
        <v>8</v>
      </c>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419" priority="29" operator="equal">
      <formula>"F"</formula>
    </cfRule>
    <cfRule type="cellIs" dxfId="418" priority="30" operator="equal">
      <formula>"OK"</formula>
    </cfRule>
    <cfRule type="cellIs" dxfId="417" priority="31" operator="between">
      <formula>6</formula>
      <formula>18</formula>
    </cfRule>
  </conditionalFormatting>
  <conditionalFormatting sqref="C1:E1 A2:E2 C3:C4 E3:E4 A5:E1048576">
    <cfRule type="expression" dxfId="416" priority="27">
      <formula>$A1="FALTA"</formula>
    </cfRule>
    <cfRule type="expression" dxfId="415" priority="28">
      <formula>$A1="COMPLETO"</formula>
    </cfRule>
  </conditionalFormatting>
  <conditionalFormatting sqref="B3">
    <cfRule type="expression" dxfId="414" priority="19">
      <formula>$A3="FALTA"</formula>
    </cfRule>
    <cfRule type="expression" dxfId="413" priority="20">
      <formula>$A3="COMPLETO"</formula>
    </cfRule>
  </conditionalFormatting>
  <conditionalFormatting sqref="D3:D4">
    <cfRule type="expression" dxfId="412" priority="17">
      <formula>$A3="FALTA"</formula>
    </cfRule>
    <cfRule type="expression" dxfId="411" priority="18">
      <formula>$A3="COMPLETO"</formula>
    </cfRule>
  </conditionalFormatting>
  <conditionalFormatting sqref="F4">
    <cfRule type="cellIs" dxfId="410" priority="14" operator="equal">
      <formula>"F"</formula>
    </cfRule>
    <cfRule type="cellIs" dxfId="409" priority="15" operator="equal">
      <formula>"OK"</formula>
    </cfRule>
    <cfRule type="cellIs" dxfId="408" priority="16" operator="between">
      <formula>6</formula>
      <formula>18</formula>
    </cfRule>
  </conditionalFormatting>
  <conditionalFormatting sqref="A1:B1">
    <cfRule type="expression" dxfId="407" priority="12">
      <formula>$A1="FALTA"</formula>
    </cfRule>
    <cfRule type="expression" dxfId="406" priority="13">
      <formula>$A1="COMPLETO"</formula>
    </cfRule>
  </conditionalFormatting>
  <conditionalFormatting sqref="U3:V3">
    <cfRule type="cellIs" dxfId="405" priority="6" operator="equal">
      <formula>"F"</formula>
    </cfRule>
    <cfRule type="cellIs" dxfId="404" priority="7" operator="equal">
      <formula>"OK"</formula>
    </cfRule>
    <cfRule type="cellIs" dxfId="403" priority="8" operator="between">
      <formula>6</formula>
      <formula>18</formula>
    </cfRule>
  </conditionalFormatting>
  <conditionalFormatting sqref="F3">
    <cfRule type="cellIs" dxfId="402" priority="3" operator="equal">
      <formula>"F"</formula>
    </cfRule>
    <cfRule type="cellIs" dxfId="401" priority="4" operator="equal">
      <formula>"OK"</formula>
    </cfRule>
    <cfRule type="cellIs" dxfId="400" priority="5" operator="between">
      <formula>6</formula>
      <formula>18</formula>
    </cfRule>
  </conditionalFormatting>
  <conditionalFormatting sqref="A3">
    <cfRule type="expression" dxfId="399" priority="1">
      <formula>$A3="FALTA"</formula>
    </cfRule>
    <cfRule type="expression" dxfId="398"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1">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ZMar de Alborán 14</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FALTA</v>
      </c>
      <c r="B3" s="385" t="s">
        <v>116</v>
      </c>
      <c r="C3" s="23" t="s">
        <v>1333</v>
      </c>
      <c r="D3" s="29" t="s">
        <v>5</v>
      </c>
      <c r="E3" s="10"/>
      <c r="F3" s="30">
        <f>IF(AND(ISBLANK(U3),ISBLANK(V3)),1-(COUNTIF(G3:V4,"F")/7),1-(COUNTIF(U3:V3,"F")/2))</f>
        <v>0.85714285714285721</v>
      </c>
      <c r="G3" s="24"/>
      <c r="H3" s="24"/>
      <c r="I3" s="24"/>
      <c r="J3" s="24"/>
      <c r="K3" s="24"/>
      <c r="L3" s="24" t="s">
        <v>28</v>
      </c>
      <c r="M3" s="11" t="s">
        <v>8</v>
      </c>
      <c r="N3" s="24"/>
      <c r="O3" s="24"/>
      <c r="P3" s="25"/>
      <c r="Q3" s="24" t="s">
        <v>24</v>
      </c>
      <c r="R3" s="11" t="s">
        <v>7</v>
      </c>
      <c r="S3" s="24" t="s">
        <v>12</v>
      </c>
      <c r="T3" s="11" t="s">
        <v>7</v>
      </c>
      <c r="U3" s="381"/>
      <c r="V3" s="381"/>
    </row>
    <row r="4" spans="1:22" x14ac:dyDescent="0.25">
      <c r="A4" s="384"/>
      <c r="B4" s="386"/>
      <c r="C4" s="23" t="s">
        <v>1333</v>
      </c>
      <c r="D4" s="29" t="s">
        <v>6</v>
      </c>
      <c r="E4" s="10"/>
      <c r="F4" s="30">
        <f>COUNTIF(A5:A44,"*COMPLETO*")/COUNTA(A5:A44)</f>
        <v>0</v>
      </c>
      <c r="G4" s="24"/>
      <c r="H4" s="24" t="s">
        <v>18</v>
      </c>
      <c r="I4" s="11" t="s">
        <v>7</v>
      </c>
      <c r="J4" s="24"/>
      <c r="K4" s="24"/>
      <c r="L4" s="24" t="s">
        <v>23</v>
      </c>
      <c r="M4" s="11" t="s">
        <v>7</v>
      </c>
      <c r="N4" s="24"/>
      <c r="O4" s="24"/>
      <c r="P4" s="11"/>
      <c r="Q4" s="24" t="s">
        <v>26</v>
      </c>
      <c r="R4" s="11" t="s">
        <v>7</v>
      </c>
      <c r="S4" s="24" t="s">
        <v>19</v>
      </c>
      <c r="T4" s="11" t="s">
        <v>7</v>
      </c>
      <c r="U4" s="382"/>
      <c r="V4" s="382"/>
    </row>
    <row r="5" spans="1:22" ht="15" customHeight="1" x14ac:dyDescent="0.25">
      <c r="A5" s="19" t="str">
        <f>IF(COUNTIF(F5:V5,"F")&gt;0,"FALTA","COMPLETO")</f>
        <v>FALTA</v>
      </c>
      <c r="B5" s="20" t="s">
        <v>3</v>
      </c>
      <c r="C5" s="17" t="s">
        <v>1333</v>
      </c>
      <c r="D5" s="18"/>
      <c r="E5" s="18"/>
      <c r="F5" s="7" t="s">
        <v>8</v>
      </c>
      <c r="G5" s="7" t="s">
        <v>8</v>
      </c>
      <c r="H5" s="7" t="s">
        <v>8</v>
      </c>
      <c r="I5" s="7" t="s">
        <v>9</v>
      </c>
      <c r="J5" s="11" t="s">
        <v>9</v>
      </c>
      <c r="K5" s="11" t="s">
        <v>9</v>
      </c>
      <c r="L5" s="7" t="s">
        <v>9</v>
      </c>
      <c r="M5" s="11" t="s">
        <v>9</v>
      </c>
      <c r="N5" s="11" t="s">
        <v>9</v>
      </c>
      <c r="O5" s="11" t="s">
        <v>9</v>
      </c>
      <c r="P5" s="7" t="s">
        <v>9</v>
      </c>
      <c r="Q5" s="8" t="s">
        <v>9</v>
      </c>
      <c r="R5" s="7" t="s">
        <v>9</v>
      </c>
      <c r="S5" s="7" t="s">
        <v>9</v>
      </c>
      <c r="T5" s="12" t="s">
        <v>9</v>
      </c>
      <c r="U5" s="7"/>
      <c r="V5" s="7"/>
    </row>
    <row r="6" spans="1:22" ht="15" customHeight="1" x14ac:dyDescent="0.25">
      <c r="A6" s="19" t="str">
        <f t="shared" ref="A6:A44" si="0">IF(COUNTIF(F6:V6,"F")&gt;0,"FALTA","COMPLETO")</f>
        <v>FALTA</v>
      </c>
      <c r="B6" s="20" t="s">
        <v>3</v>
      </c>
      <c r="C6" s="17" t="s">
        <v>1333</v>
      </c>
      <c r="D6" s="18"/>
      <c r="E6" s="18"/>
      <c r="F6" s="7" t="s">
        <v>8</v>
      </c>
      <c r="G6" s="7" t="s">
        <v>8</v>
      </c>
      <c r="H6" s="7" t="s">
        <v>8</v>
      </c>
      <c r="I6" s="7" t="s">
        <v>9</v>
      </c>
      <c r="J6" s="11" t="s">
        <v>9</v>
      </c>
      <c r="K6" s="11" t="s">
        <v>9</v>
      </c>
      <c r="L6" s="7" t="s">
        <v>9</v>
      </c>
      <c r="M6" s="11" t="s">
        <v>9</v>
      </c>
      <c r="N6" s="11" t="s">
        <v>9</v>
      </c>
      <c r="O6" s="11" t="s">
        <v>9</v>
      </c>
      <c r="P6" s="7" t="s">
        <v>9</v>
      </c>
      <c r="Q6" s="8" t="s">
        <v>9</v>
      </c>
      <c r="R6" s="7" t="s">
        <v>9</v>
      </c>
      <c r="S6" s="7" t="s">
        <v>9</v>
      </c>
      <c r="T6" s="12" t="s">
        <v>9</v>
      </c>
      <c r="U6" s="7"/>
      <c r="V6" s="7"/>
    </row>
    <row r="7" spans="1:22" ht="15" customHeight="1" x14ac:dyDescent="0.25">
      <c r="A7" s="19" t="str">
        <f t="shared" si="0"/>
        <v>FALTA</v>
      </c>
      <c r="B7" s="20" t="s">
        <v>3</v>
      </c>
      <c r="C7" s="17" t="s">
        <v>1333</v>
      </c>
      <c r="D7" s="18"/>
      <c r="E7" s="18"/>
      <c r="F7" s="7" t="s">
        <v>8</v>
      </c>
      <c r="G7" s="7" t="s">
        <v>8</v>
      </c>
      <c r="H7" s="7" t="s">
        <v>8</v>
      </c>
      <c r="I7" s="7" t="s">
        <v>9</v>
      </c>
      <c r="J7" s="11" t="s">
        <v>9</v>
      </c>
      <c r="K7" s="11" t="s">
        <v>9</v>
      </c>
      <c r="L7" s="7" t="s">
        <v>9</v>
      </c>
      <c r="M7" s="11" t="s">
        <v>9</v>
      </c>
      <c r="N7" s="11" t="s">
        <v>9</v>
      </c>
      <c r="O7" s="11" t="s">
        <v>9</v>
      </c>
      <c r="P7" s="7" t="s">
        <v>9</v>
      </c>
      <c r="Q7" s="8" t="s">
        <v>9</v>
      </c>
      <c r="R7" s="7" t="s">
        <v>9</v>
      </c>
      <c r="S7" s="7" t="s">
        <v>9</v>
      </c>
      <c r="T7" s="12" t="s">
        <v>9</v>
      </c>
      <c r="U7" s="7"/>
      <c r="V7" s="7"/>
    </row>
    <row r="8" spans="1:22" x14ac:dyDescent="0.25">
      <c r="A8" s="19" t="str">
        <f t="shared" si="0"/>
        <v>FALTA</v>
      </c>
      <c r="B8" s="20" t="s">
        <v>3</v>
      </c>
      <c r="C8" s="17" t="s">
        <v>1333</v>
      </c>
      <c r="D8" s="18"/>
      <c r="E8" s="18"/>
      <c r="F8" s="7" t="s">
        <v>8</v>
      </c>
      <c r="G8" s="7" t="s">
        <v>8</v>
      </c>
      <c r="H8" s="7" t="s">
        <v>8</v>
      </c>
      <c r="I8" s="7" t="s">
        <v>9</v>
      </c>
      <c r="J8" s="11" t="s">
        <v>9</v>
      </c>
      <c r="K8" s="11" t="s">
        <v>9</v>
      </c>
      <c r="L8" s="7" t="s">
        <v>9</v>
      </c>
      <c r="M8" s="11" t="s">
        <v>9</v>
      </c>
      <c r="N8" s="11" t="s">
        <v>9</v>
      </c>
      <c r="O8" s="11" t="s">
        <v>9</v>
      </c>
      <c r="P8" s="7" t="s">
        <v>9</v>
      </c>
      <c r="Q8" s="8" t="s">
        <v>9</v>
      </c>
      <c r="R8" s="7" t="s">
        <v>9</v>
      </c>
      <c r="S8" s="7" t="s">
        <v>9</v>
      </c>
      <c r="T8" s="12" t="s">
        <v>9</v>
      </c>
      <c r="U8" s="7"/>
      <c r="V8" s="7"/>
    </row>
    <row r="9" spans="1:22" x14ac:dyDescent="0.25">
      <c r="A9" s="19" t="str">
        <f t="shared" si="0"/>
        <v>FALTA</v>
      </c>
      <c r="B9" s="20" t="s">
        <v>3</v>
      </c>
      <c r="C9" s="17" t="s">
        <v>1333</v>
      </c>
      <c r="D9" s="18"/>
      <c r="E9" s="18"/>
      <c r="F9" s="7" t="s">
        <v>8</v>
      </c>
      <c r="G9" s="7" t="s">
        <v>8</v>
      </c>
      <c r="H9" s="7" t="s">
        <v>8</v>
      </c>
      <c r="I9" s="7" t="s">
        <v>9</v>
      </c>
      <c r="J9" s="11" t="s">
        <v>9</v>
      </c>
      <c r="K9" s="11" t="s">
        <v>9</v>
      </c>
      <c r="L9" s="7" t="s">
        <v>9</v>
      </c>
      <c r="M9" s="11" t="s">
        <v>9</v>
      </c>
      <c r="N9" s="11" t="s">
        <v>9</v>
      </c>
      <c r="O9" s="11" t="s">
        <v>9</v>
      </c>
      <c r="P9" s="7" t="s">
        <v>9</v>
      </c>
      <c r="Q9" s="8" t="s">
        <v>9</v>
      </c>
      <c r="R9" s="7" t="s">
        <v>9</v>
      </c>
      <c r="S9" s="7" t="s">
        <v>9</v>
      </c>
      <c r="T9" s="12" t="s">
        <v>9</v>
      </c>
      <c r="U9" s="7"/>
      <c r="V9" s="7"/>
    </row>
    <row r="10" spans="1:22" x14ac:dyDescent="0.25">
      <c r="A10" s="19" t="str">
        <f t="shared" si="0"/>
        <v>FALTA</v>
      </c>
      <c r="B10" s="20" t="s">
        <v>3</v>
      </c>
      <c r="C10" s="17" t="s">
        <v>1333</v>
      </c>
      <c r="D10" s="18"/>
      <c r="E10" s="18"/>
      <c r="F10" s="7" t="s">
        <v>8</v>
      </c>
      <c r="G10" s="7" t="s">
        <v>8</v>
      </c>
      <c r="H10" s="7" t="s">
        <v>8</v>
      </c>
      <c r="I10" s="7" t="s">
        <v>9</v>
      </c>
      <c r="J10" s="11" t="s">
        <v>9</v>
      </c>
      <c r="K10" s="11" t="s">
        <v>9</v>
      </c>
      <c r="L10" s="7" t="s">
        <v>9</v>
      </c>
      <c r="M10" s="11" t="s">
        <v>9</v>
      </c>
      <c r="N10" s="11" t="s">
        <v>9</v>
      </c>
      <c r="O10" s="11" t="s">
        <v>9</v>
      </c>
      <c r="P10" s="7" t="s">
        <v>9</v>
      </c>
      <c r="Q10" s="8" t="s">
        <v>9</v>
      </c>
      <c r="R10" s="7" t="s">
        <v>9</v>
      </c>
      <c r="S10" s="7" t="s">
        <v>9</v>
      </c>
      <c r="T10" s="12" t="s">
        <v>9</v>
      </c>
      <c r="U10" s="7"/>
      <c r="V10" s="7"/>
    </row>
    <row r="11" spans="1:22" x14ac:dyDescent="0.25">
      <c r="A11" s="19" t="str">
        <f t="shared" si="0"/>
        <v>FALTA</v>
      </c>
      <c r="B11" s="20" t="s">
        <v>3</v>
      </c>
      <c r="C11" s="17" t="s">
        <v>1333</v>
      </c>
      <c r="D11" s="18"/>
      <c r="E11" s="18"/>
      <c r="F11" s="7" t="s">
        <v>8</v>
      </c>
      <c r="G11" s="7" t="s">
        <v>8</v>
      </c>
      <c r="H11" s="7" t="s">
        <v>8</v>
      </c>
      <c r="I11" s="7" t="s">
        <v>9</v>
      </c>
      <c r="J11" s="11" t="s">
        <v>9</v>
      </c>
      <c r="K11" s="11" t="s">
        <v>9</v>
      </c>
      <c r="L11" s="7" t="s">
        <v>9</v>
      </c>
      <c r="M11" s="11" t="s">
        <v>9</v>
      </c>
      <c r="N11" s="11" t="s">
        <v>9</v>
      </c>
      <c r="O11" s="11" t="s">
        <v>9</v>
      </c>
      <c r="P11" s="7" t="s">
        <v>9</v>
      </c>
      <c r="Q11" s="8" t="s">
        <v>9</v>
      </c>
      <c r="R11" s="7" t="s">
        <v>9</v>
      </c>
      <c r="S11" s="7" t="s">
        <v>9</v>
      </c>
      <c r="T11" s="12" t="s">
        <v>9</v>
      </c>
      <c r="U11" s="7"/>
      <c r="V11" s="7"/>
    </row>
    <row r="12" spans="1:22" x14ac:dyDescent="0.25">
      <c r="A12" s="19" t="str">
        <f t="shared" si="0"/>
        <v>FALTA</v>
      </c>
      <c r="B12" s="20" t="s">
        <v>3</v>
      </c>
      <c r="C12" s="17" t="s">
        <v>1333</v>
      </c>
      <c r="D12" s="18"/>
      <c r="E12" s="18"/>
      <c r="F12" s="7" t="s">
        <v>8</v>
      </c>
      <c r="G12" s="7" t="s">
        <v>8</v>
      </c>
      <c r="H12" s="7" t="s">
        <v>8</v>
      </c>
      <c r="I12" s="7" t="s">
        <v>9</v>
      </c>
      <c r="J12" s="11" t="s">
        <v>9</v>
      </c>
      <c r="K12" s="11" t="s">
        <v>9</v>
      </c>
      <c r="L12" s="7" t="s">
        <v>9</v>
      </c>
      <c r="M12" s="11" t="s">
        <v>9</v>
      </c>
      <c r="N12" s="11" t="s">
        <v>9</v>
      </c>
      <c r="O12" s="11" t="s">
        <v>9</v>
      </c>
      <c r="P12" s="7" t="s">
        <v>9</v>
      </c>
      <c r="Q12" s="8" t="s">
        <v>9</v>
      </c>
      <c r="R12" s="7" t="s">
        <v>9</v>
      </c>
      <c r="S12" s="7" t="s">
        <v>9</v>
      </c>
      <c r="T12" s="12" t="s">
        <v>9</v>
      </c>
      <c r="U12" s="7"/>
      <c r="V12" s="7"/>
    </row>
    <row r="13" spans="1:22" x14ac:dyDescent="0.25">
      <c r="A13" s="19" t="str">
        <f t="shared" si="0"/>
        <v>FALTA</v>
      </c>
      <c r="B13" s="20" t="s">
        <v>3</v>
      </c>
      <c r="C13" s="17" t="s">
        <v>1333</v>
      </c>
      <c r="D13" s="18"/>
      <c r="E13" s="18"/>
      <c r="F13" s="7" t="s">
        <v>8</v>
      </c>
      <c r="G13" s="7" t="s">
        <v>8</v>
      </c>
      <c r="H13" s="7" t="s">
        <v>8</v>
      </c>
      <c r="I13" s="7" t="s">
        <v>9</v>
      </c>
      <c r="J13" s="11" t="s">
        <v>9</v>
      </c>
      <c r="K13" s="11" t="s">
        <v>9</v>
      </c>
      <c r="L13" s="7" t="s">
        <v>9</v>
      </c>
      <c r="M13" s="11" t="s">
        <v>9</v>
      </c>
      <c r="N13" s="11" t="s">
        <v>9</v>
      </c>
      <c r="O13" s="11" t="s">
        <v>9</v>
      </c>
      <c r="P13" s="7" t="s">
        <v>9</v>
      </c>
      <c r="Q13" s="8" t="s">
        <v>9</v>
      </c>
      <c r="R13" s="7" t="s">
        <v>9</v>
      </c>
      <c r="S13" s="7" t="s">
        <v>9</v>
      </c>
      <c r="T13" s="12" t="s">
        <v>9</v>
      </c>
      <c r="U13" s="7"/>
      <c r="V13" s="7"/>
    </row>
    <row r="14" spans="1:22" x14ac:dyDescent="0.25">
      <c r="A14" s="19" t="str">
        <f t="shared" si="0"/>
        <v>FALTA</v>
      </c>
      <c r="B14" s="20" t="s">
        <v>3</v>
      </c>
      <c r="C14" s="17" t="s">
        <v>1333</v>
      </c>
      <c r="D14" s="18"/>
      <c r="E14" s="18"/>
      <c r="F14" s="7" t="s">
        <v>8</v>
      </c>
      <c r="G14" s="7" t="s">
        <v>8</v>
      </c>
      <c r="H14" s="7" t="s">
        <v>8</v>
      </c>
      <c r="I14" s="7" t="s">
        <v>9</v>
      </c>
      <c r="J14" s="11" t="s">
        <v>9</v>
      </c>
      <c r="K14" s="11" t="s">
        <v>9</v>
      </c>
      <c r="L14" s="7" t="s">
        <v>9</v>
      </c>
      <c r="M14" s="11" t="s">
        <v>9</v>
      </c>
      <c r="N14" s="11" t="s">
        <v>9</v>
      </c>
      <c r="O14" s="11" t="s">
        <v>9</v>
      </c>
      <c r="P14" s="7" t="s">
        <v>9</v>
      </c>
      <c r="Q14" s="8" t="s">
        <v>9</v>
      </c>
      <c r="R14" s="7" t="s">
        <v>9</v>
      </c>
      <c r="S14" s="7" t="s">
        <v>9</v>
      </c>
      <c r="T14" s="12" t="s">
        <v>9</v>
      </c>
      <c r="U14" s="7"/>
      <c r="V14" s="7"/>
    </row>
    <row r="15" spans="1:22" x14ac:dyDescent="0.25">
      <c r="A15" s="19" t="str">
        <f t="shared" si="0"/>
        <v>FALTA</v>
      </c>
      <c r="B15" s="20" t="s">
        <v>3</v>
      </c>
      <c r="C15" s="17" t="s">
        <v>1333</v>
      </c>
      <c r="D15" s="18"/>
      <c r="E15" s="18"/>
      <c r="F15" s="7" t="s">
        <v>8</v>
      </c>
      <c r="G15" s="7" t="s">
        <v>8</v>
      </c>
      <c r="H15" s="7" t="s">
        <v>8</v>
      </c>
      <c r="I15" s="7" t="s">
        <v>9</v>
      </c>
      <c r="J15" s="11" t="s">
        <v>9</v>
      </c>
      <c r="K15" s="11" t="s">
        <v>9</v>
      </c>
      <c r="L15" s="7" t="s">
        <v>9</v>
      </c>
      <c r="M15" s="11" t="s">
        <v>9</v>
      </c>
      <c r="N15" s="11" t="s">
        <v>9</v>
      </c>
      <c r="O15" s="11" t="s">
        <v>9</v>
      </c>
      <c r="P15" s="7" t="s">
        <v>9</v>
      </c>
      <c r="Q15" s="8" t="s">
        <v>9</v>
      </c>
      <c r="R15" s="7" t="s">
        <v>9</v>
      </c>
      <c r="S15" s="7" t="s">
        <v>9</v>
      </c>
      <c r="T15" s="12" t="s">
        <v>9</v>
      </c>
      <c r="U15" s="7"/>
      <c r="V15" s="7"/>
    </row>
    <row r="16" spans="1:22" x14ac:dyDescent="0.25">
      <c r="A16" s="19" t="str">
        <f t="shared" si="0"/>
        <v>FALTA</v>
      </c>
      <c r="B16" s="20" t="s">
        <v>3</v>
      </c>
      <c r="C16" s="17" t="s">
        <v>1333</v>
      </c>
      <c r="D16" s="18"/>
      <c r="E16" s="18"/>
      <c r="F16" s="7" t="s">
        <v>8</v>
      </c>
      <c r="G16" s="7" t="s">
        <v>8</v>
      </c>
      <c r="H16" s="7" t="s">
        <v>8</v>
      </c>
      <c r="I16" s="7" t="s">
        <v>9</v>
      </c>
      <c r="J16" s="11" t="s">
        <v>9</v>
      </c>
      <c r="K16" s="11" t="s">
        <v>9</v>
      </c>
      <c r="L16" s="7" t="s">
        <v>9</v>
      </c>
      <c r="M16" s="11" t="s">
        <v>9</v>
      </c>
      <c r="N16" s="11" t="s">
        <v>9</v>
      </c>
      <c r="O16" s="11" t="s">
        <v>9</v>
      </c>
      <c r="P16" s="7" t="s">
        <v>9</v>
      </c>
      <c r="Q16" s="8" t="s">
        <v>9</v>
      </c>
      <c r="R16" s="7" t="s">
        <v>9</v>
      </c>
      <c r="S16" s="7" t="s">
        <v>9</v>
      </c>
      <c r="T16" s="12" t="s">
        <v>9</v>
      </c>
      <c r="U16" s="7"/>
      <c r="V16" s="7"/>
    </row>
    <row r="17" spans="1:22" x14ac:dyDescent="0.25">
      <c r="A17" s="19" t="str">
        <f t="shared" si="0"/>
        <v>FALTA</v>
      </c>
      <c r="B17" s="20" t="s">
        <v>3</v>
      </c>
      <c r="C17" s="17" t="s">
        <v>1333</v>
      </c>
      <c r="D17" s="18"/>
      <c r="E17" s="18"/>
      <c r="F17" s="7" t="s">
        <v>8</v>
      </c>
      <c r="G17" s="7" t="s">
        <v>8</v>
      </c>
      <c r="H17" s="7" t="s">
        <v>8</v>
      </c>
      <c r="I17" s="7" t="s">
        <v>9</v>
      </c>
      <c r="J17" s="11" t="s">
        <v>9</v>
      </c>
      <c r="K17" s="11" t="s">
        <v>9</v>
      </c>
      <c r="L17" s="7" t="s">
        <v>9</v>
      </c>
      <c r="M17" s="11" t="s">
        <v>9</v>
      </c>
      <c r="N17" s="11" t="s">
        <v>9</v>
      </c>
      <c r="O17" s="11" t="s">
        <v>9</v>
      </c>
      <c r="P17" s="7" t="s">
        <v>9</v>
      </c>
      <c r="Q17" s="8" t="s">
        <v>9</v>
      </c>
      <c r="R17" s="7" t="s">
        <v>9</v>
      </c>
      <c r="S17" s="7" t="s">
        <v>9</v>
      </c>
      <c r="T17" s="12" t="s">
        <v>9</v>
      </c>
      <c r="U17" s="7"/>
      <c r="V17" s="7"/>
    </row>
    <row r="18" spans="1:22" x14ac:dyDescent="0.25">
      <c r="A18" s="19" t="str">
        <f t="shared" si="0"/>
        <v>FALTA</v>
      </c>
      <c r="B18" s="20" t="s">
        <v>3</v>
      </c>
      <c r="C18" s="17" t="s">
        <v>1333</v>
      </c>
      <c r="D18" s="18"/>
      <c r="E18" s="18"/>
      <c r="F18" s="7" t="s">
        <v>8</v>
      </c>
      <c r="G18" s="7" t="s">
        <v>8</v>
      </c>
      <c r="H18" s="7" t="s">
        <v>8</v>
      </c>
      <c r="I18" s="7" t="s">
        <v>9</v>
      </c>
      <c r="J18" s="11" t="s">
        <v>9</v>
      </c>
      <c r="K18" s="11" t="s">
        <v>9</v>
      </c>
      <c r="L18" s="7" t="s">
        <v>9</v>
      </c>
      <c r="M18" s="11" t="s">
        <v>9</v>
      </c>
      <c r="N18" s="11" t="s">
        <v>9</v>
      </c>
      <c r="O18" s="11" t="s">
        <v>9</v>
      </c>
      <c r="P18" s="7" t="s">
        <v>9</v>
      </c>
      <c r="Q18" s="8" t="s">
        <v>9</v>
      </c>
      <c r="R18" s="7" t="s">
        <v>9</v>
      </c>
      <c r="S18" s="7" t="s">
        <v>9</v>
      </c>
      <c r="T18" s="12" t="s">
        <v>9</v>
      </c>
      <c r="U18" s="7"/>
      <c r="V18" s="7"/>
    </row>
    <row r="19" spans="1:22" x14ac:dyDescent="0.25">
      <c r="A19" s="19" t="str">
        <f t="shared" si="0"/>
        <v>FALTA</v>
      </c>
      <c r="B19" s="20" t="s">
        <v>3</v>
      </c>
      <c r="C19" s="17" t="s">
        <v>1333</v>
      </c>
      <c r="D19" s="18"/>
      <c r="E19" s="18"/>
      <c r="F19" s="7" t="s">
        <v>8</v>
      </c>
      <c r="G19" s="7" t="s">
        <v>8</v>
      </c>
      <c r="H19" s="7" t="s">
        <v>8</v>
      </c>
      <c r="I19" s="7" t="s">
        <v>9</v>
      </c>
      <c r="J19" s="11" t="s">
        <v>9</v>
      </c>
      <c r="K19" s="11" t="s">
        <v>9</v>
      </c>
      <c r="L19" s="7" t="s">
        <v>9</v>
      </c>
      <c r="M19" s="11" t="s">
        <v>9</v>
      </c>
      <c r="N19" s="11" t="s">
        <v>9</v>
      </c>
      <c r="O19" s="11" t="s">
        <v>9</v>
      </c>
      <c r="P19" s="7" t="s">
        <v>9</v>
      </c>
      <c r="Q19" s="8" t="s">
        <v>9</v>
      </c>
      <c r="R19" s="7" t="s">
        <v>9</v>
      </c>
      <c r="S19" s="7" t="s">
        <v>9</v>
      </c>
      <c r="T19" s="12" t="s">
        <v>9</v>
      </c>
      <c r="U19" s="7"/>
      <c r="V19" s="7"/>
    </row>
    <row r="20" spans="1:22" x14ac:dyDescent="0.25">
      <c r="A20" s="19" t="str">
        <f t="shared" si="0"/>
        <v>FALTA</v>
      </c>
      <c r="B20" s="20" t="s">
        <v>3</v>
      </c>
      <c r="C20" s="17" t="s">
        <v>1333</v>
      </c>
      <c r="D20" s="18"/>
      <c r="E20" s="18"/>
      <c r="F20" s="7" t="s">
        <v>8</v>
      </c>
      <c r="G20" s="7" t="s">
        <v>8</v>
      </c>
      <c r="H20" s="7" t="s">
        <v>8</v>
      </c>
      <c r="I20" s="7" t="s">
        <v>9</v>
      </c>
      <c r="J20" s="11" t="s">
        <v>9</v>
      </c>
      <c r="K20" s="11" t="s">
        <v>9</v>
      </c>
      <c r="L20" s="7" t="s">
        <v>9</v>
      </c>
      <c r="M20" s="11" t="s">
        <v>9</v>
      </c>
      <c r="N20" s="11" t="s">
        <v>9</v>
      </c>
      <c r="O20" s="11" t="s">
        <v>9</v>
      </c>
      <c r="P20" s="7" t="s">
        <v>9</v>
      </c>
      <c r="Q20" s="8" t="s">
        <v>9</v>
      </c>
      <c r="R20" s="7" t="s">
        <v>9</v>
      </c>
      <c r="S20" s="7" t="s">
        <v>9</v>
      </c>
      <c r="T20" s="12" t="s">
        <v>9</v>
      </c>
      <c r="U20" s="7"/>
      <c r="V20" s="7"/>
    </row>
    <row r="21" spans="1:22" x14ac:dyDescent="0.25">
      <c r="A21" s="19" t="str">
        <f t="shared" si="0"/>
        <v>FALTA</v>
      </c>
      <c r="B21" s="20" t="s">
        <v>3</v>
      </c>
      <c r="C21" s="17" t="s">
        <v>1333</v>
      </c>
      <c r="D21" s="18"/>
      <c r="E21" s="18"/>
      <c r="F21" s="7" t="s">
        <v>8</v>
      </c>
      <c r="G21" s="7" t="s">
        <v>8</v>
      </c>
      <c r="H21" s="7" t="s">
        <v>8</v>
      </c>
      <c r="I21" s="7" t="s">
        <v>9</v>
      </c>
      <c r="J21" s="11" t="s">
        <v>9</v>
      </c>
      <c r="K21" s="11" t="s">
        <v>9</v>
      </c>
      <c r="L21" s="7" t="s">
        <v>9</v>
      </c>
      <c r="M21" s="11" t="s">
        <v>9</v>
      </c>
      <c r="N21" s="11" t="s">
        <v>9</v>
      </c>
      <c r="O21" s="11" t="s">
        <v>9</v>
      </c>
      <c r="P21" s="7" t="s">
        <v>9</v>
      </c>
      <c r="Q21" s="8" t="s">
        <v>9</v>
      </c>
      <c r="R21" s="7" t="s">
        <v>9</v>
      </c>
      <c r="S21" s="7" t="s">
        <v>9</v>
      </c>
      <c r="T21" s="12" t="s">
        <v>9</v>
      </c>
      <c r="U21" s="7"/>
      <c r="V21" s="7"/>
    </row>
    <row r="22" spans="1:22" x14ac:dyDescent="0.25">
      <c r="A22" s="19" t="str">
        <f t="shared" si="0"/>
        <v>FALTA</v>
      </c>
      <c r="B22" s="20" t="s">
        <v>3</v>
      </c>
      <c r="C22" s="17" t="s">
        <v>1333</v>
      </c>
      <c r="D22" s="18"/>
      <c r="E22" s="18"/>
      <c r="F22" s="7" t="s">
        <v>8</v>
      </c>
      <c r="G22" s="7" t="s">
        <v>8</v>
      </c>
      <c r="H22" s="7" t="s">
        <v>8</v>
      </c>
      <c r="I22" s="7" t="s">
        <v>9</v>
      </c>
      <c r="J22" s="11" t="s">
        <v>9</v>
      </c>
      <c r="K22" s="11" t="s">
        <v>9</v>
      </c>
      <c r="L22" s="7" t="s">
        <v>9</v>
      </c>
      <c r="M22" s="11" t="s">
        <v>9</v>
      </c>
      <c r="N22" s="11" t="s">
        <v>9</v>
      </c>
      <c r="O22" s="11" t="s">
        <v>9</v>
      </c>
      <c r="P22" s="7" t="s">
        <v>9</v>
      </c>
      <c r="Q22" s="8" t="s">
        <v>9</v>
      </c>
      <c r="R22" s="7" t="s">
        <v>9</v>
      </c>
      <c r="S22" s="7" t="s">
        <v>9</v>
      </c>
      <c r="T22" s="12" t="s">
        <v>9</v>
      </c>
      <c r="U22" s="7"/>
      <c r="V22" s="7"/>
    </row>
    <row r="23" spans="1:22" x14ac:dyDescent="0.25">
      <c r="A23" s="19" t="str">
        <f t="shared" si="0"/>
        <v>FALTA</v>
      </c>
      <c r="B23" s="20" t="s">
        <v>3</v>
      </c>
      <c r="C23" s="17" t="s">
        <v>1333</v>
      </c>
      <c r="D23" s="18"/>
      <c r="E23" s="18"/>
      <c r="F23" s="7" t="s">
        <v>8</v>
      </c>
      <c r="G23" s="7" t="s">
        <v>8</v>
      </c>
      <c r="H23" s="7" t="s">
        <v>8</v>
      </c>
      <c r="I23" s="7" t="s">
        <v>9</v>
      </c>
      <c r="J23" s="11" t="s">
        <v>9</v>
      </c>
      <c r="K23" s="11" t="s">
        <v>9</v>
      </c>
      <c r="L23" s="7" t="s">
        <v>9</v>
      </c>
      <c r="M23" s="11" t="s">
        <v>9</v>
      </c>
      <c r="N23" s="11" t="s">
        <v>9</v>
      </c>
      <c r="O23" s="11" t="s">
        <v>9</v>
      </c>
      <c r="P23" s="7" t="s">
        <v>9</v>
      </c>
      <c r="Q23" s="8" t="s">
        <v>9</v>
      </c>
      <c r="R23" s="7" t="s">
        <v>9</v>
      </c>
      <c r="S23" s="7" t="s">
        <v>9</v>
      </c>
      <c r="T23" s="12" t="s">
        <v>9</v>
      </c>
      <c r="U23" s="7"/>
      <c r="V23" s="7"/>
    </row>
    <row r="24" spans="1:22" x14ac:dyDescent="0.25">
      <c r="A24" s="19" t="str">
        <f t="shared" si="0"/>
        <v>FALTA</v>
      </c>
      <c r="B24" s="20" t="s">
        <v>3</v>
      </c>
      <c r="C24" s="17" t="s">
        <v>1333</v>
      </c>
      <c r="D24" s="18"/>
      <c r="E24" s="18"/>
      <c r="F24" s="7" t="s">
        <v>8</v>
      </c>
      <c r="G24" s="7" t="s">
        <v>8</v>
      </c>
      <c r="H24" s="7" t="s">
        <v>8</v>
      </c>
      <c r="I24" s="7" t="s">
        <v>9</v>
      </c>
      <c r="J24" s="11" t="s">
        <v>9</v>
      </c>
      <c r="K24" s="11" t="s">
        <v>9</v>
      </c>
      <c r="L24" s="7" t="s">
        <v>9</v>
      </c>
      <c r="M24" s="11" t="s">
        <v>9</v>
      </c>
      <c r="N24" s="11" t="s">
        <v>9</v>
      </c>
      <c r="O24" s="11" t="s">
        <v>9</v>
      </c>
      <c r="P24" s="7" t="s">
        <v>9</v>
      </c>
      <c r="Q24" s="8" t="s">
        <v>9</v>
      </c>
      <c r="R24" s="7" t="s">
        <v>9</v>
      </c>
      <c r="S24" s="7" t="s">
        <v>9</v>
      </c>
      <c r="T24" s="12" t="s">
        <v>9</v>
      </c>
      <c r="U24" s="7"/>
      <c r="V24" s="7"/>
    </row>
    <row r="25" spans="1:22" x14ac:dyDescent="0.25">
      <c r="A25" s="19" t="str">
        <f t="shared" si="0"/>
        <v>FALTA</v>
      </c>
      <c r="B25" s="20" t="s">
        <v>3</v>
      </c>
      <c r="C25" s="17" t="s">
        <v>1333</v>
      </c>
      <c r="D25" s="18"/>
      <c r="E25" s="18"/>
      <c r="F25" s="7" t="s">
        <v>8</v>
      </c>
      <c r="G25" s="7" t="s">
        <v>8</v>
      </c>
      <c r="H25" s="7" t="s">
        <v>8</v>
      </c>
      <c r="I25" s="7" t="s">
        <v>9</v>
      </c>
      <c r="J25" s="11" t="s">
        <v>9</v>
      </c>
      <c r="K25" s="11" t="s">
        <v>9</v>
      </c>
      <c r="L25" s="7" t="s">
        <v>9</v>
      </c>
      <c r="M25" s="11" t="s">
        <v>9</v>
      </c>
      <c r="N25" s="11" t="s">
        <v>9</v>
      </c>
      <c r="O25" s="11" t="s">
        <v>9</v>
      </c>
      <c r="P25" s="7" t="s">
        <v>9</v>
      </c>
      <c r="Q25" s="8" t="s">
        <v>9</v>
      </c>
      <c r="R25" s="7" t="s">
        <v>9</v>
      </c>
      <c r="S25" s="7" t="s">
        <v>9</v>
      </c>
      <c r="T25" s="12" t="s">
        <v>9</v>
      </c>
      <c r="U25" s="7"/>
      <c r="V25" s="7"/>
    </row>
    <row r="26" spans="1:22" x14ac:dyDescent="0.25">
      <c r="A26" s="19" t="str">
        <f t="shared" si="0"/>
        <v>FALTA</v>
      </c>
      <c r="B26" s="20" t="s">
        <v>3</v>
      </c>
      <c r="C26" s="17" t="s">
        <v>1333</v>
      </c>
      <c r="D26" s="18"/>
      <c r="E26" s="18"/>
      <c r="F26" s="7" t="s">
        <v>8</v>
      </c>
      <c r="G26" s="7" t="s">
        <v>8</v>
      </c>
      <c r="H26" s="7" t="s">
        <v>8</v>
      </c>
      <c r="I26" s="7" t="s">
        <v>9</v>
      </c>
      <c r="J26" s="11" t="s">
        <v>9</v>
      </c>
      <c r="K26" s="11" t="s">
        <v>9</v>
      </c>
      <c r="L26" s="7" t="s">
        <v>9</v>
      </c>
      <c r="M26" s="11" t="s">
        <v>9</v>
      </c>
      <c r="N26" s="11" t="s">
        <v>9</v>
      </c>
      <c r="O26" s="11" t="s">
        <v>9</v>
      </c>
      <c r="P26" s="7" t="s">
        <v>9</v>
      </c>
      <c r="Q26" s="8" t="s">
        <v>9</v>
      </c>
      <c r="R26" s="7" t="s">
        <v>9</v>
      </c>
      <c r="S26" s="7" t="s">
        <v>9</v>
      </c>
      <c r="T26" s="12" t="s">
        <v>9</v>
      </c>
      <c r="U26" s="7"/>
      <c r="V26" s="7"/>
    </row>
    <row r="27" spans="1:22" x14ac:dyDescent="0.25">
      <c r="A27" s="19" t="str">
        <f t="shared" si="0"/>
        <v>FALTA</v>
      </c>
      <c r="B27" s="20" t="s">
        <v>3</v>
      </c>
      <c r="C27" s="17" t="s">
        <v>1333</v>
      </c>
      <c r="D27" s="18"/>
      <c r="E27" s="18"/>
      <c r="F27" s="7" t="s">
        <v>8</v>
      </c>
      <c r="G27" s="7" t="s">
        <v>8</v>
      </c>
      <c r="H27" s="7" t="s">
        <v>8</v>
      </c>
      <c r="I27" s="7" t="s">
        <v>9</v>
      </c>
      <c r="J27" s="11" t="s">
        <v>9</v>
      </c>
      <c r="K27" s="11" t="s">
        <v>9</v>
      </c>
      <c r="L27" s="7" t="s">
        <v>9</v>
      </c>
      <c r="M27" s="11" t="s">
        <v>9</v>
      </c>
      <c r="N27" s="11" t="s">
        <v>9</v>
      </c>
      <c r="O27" s="11" t="s">
        <v>9</v>
      </c>
      <c r="P27" s="7" t="s">
        <v>9</v>
      </c>
      <c r="Q27" s="8" t="s">
        <v>9</v>
      </c>
      <c r="R27" s="7" t="s">
        <v>9</v>
      </c>
      <c r="S27" s="7" t="s">
        <v>9</v>
      </c>
      <c r="T27" s="12" t="s">
        <v>9</v>
      </c>
      <c r="U27" s="7"/>
      <c r="V27" s="7"/>
    </row>
    <row r="28" spans="1:22" x14ac:dyDescent="0.25">
      <c r="A28" s="19" t="str">
        <f t="shared" si="0"/>
        <v>FALTA</v>
      </c>
      <c r="B28" s="20" t="s">
        <v>3</v>
      </c>
      <c r="C28" s="17" t="s">
        <v>1333</v>
      </c>
      <c r="D28" s="18"/>
      <c r="E28" s="18"/>
      <c r="F28" s="7" t="s">
        <v>8</v>
      </c>
      <c r="G28" s="7" t="s">
        <v>8</v>
      </c>
      <c r="H28" s="7" t="s">
        <v>8</v>
      </c>
      <c r="I28" s="7" t="s">
        <v>9</v>
      </c>
      <c r="J28" s="11" t="s">
        <v>9</v>
      </c>
      <c r="K28" s="11" t="s">
        <v>9</v>
      </c>
      <c r="L28" s="7" t="s">
        <v>9</v>
      </c>
      <c r="M28" s="11" t="s">
        <v>9</v>
      </c>
      <c r="N28" s="11" t="s">
        <v>9</v>
      </c>
      <c r="O28" s="11" t="s">
        <v>9</v>
      </c>
      <c r="P28" s="7" t="s">
        <v>9</v>
      </c>
      <c r="Q28" s="8" t="s">
        <v>9</v>
      </c>
      <c r="R28" s="7" t="s">
        <v>9</v>
      </c>
      <c r="S28" s="7" t="s">
        <v>9</v>
      </c>
      <c r="T28" s="12" t="s">
        <v>9</v>
      </c>
      <c r="U28" s="7"/>
      <c r="V28" s="7"/>
    </row>
    <row r="29" spans="1:22" x14ac:dyDescent="0.25">
      <c r="A29" s="19" t="str">
        <f t="shared" si="0"/>
        <v>FALTA</v>
      </c>
      <c r="B29" s="20" t="s">
        <v>3</v>
      </c>
      <c r="C29" s="17" t="s">
        <v>1333</v>
      </c>
      <c r="D29" s="18"/>
      <c r="E29" s="18"/>
      <c r="F29" s="7" t="s">
        <v>8</v>
      </c>
      <c r="G29" s="7" t="s">
        <v>8</v>
      </c>
      <c r="H29" s="7" t="s">
        <v>8</v>
      </c>
      <c r="I29" s="7" t="s">
        <v>9</v>
      </c>
      <c r="J29" s="11" t="s">
        <v>9</v>
      </c>
      <c r="K29" s="11" t="s">
        <v>9</v>
      </c>
      <c r="L29" s="7" t="s">
        <v>9</v>
      </c>
      <c r="M29" s="11" t="s">
        <v>9</v>
      </c>
      <c r="N29" s="11" t="s">
        <v>9</v>
      </c>
      <c r="O29" s="11" t="s">
        <v>9</v>
      </c>
      <c r="P29" s="7" t="s">
        <v>9</v>
      </c>
      <c r="Q29" s="8" t="s">
        <v>9</v>
      </c>
      <c r="R29" s="7" t="s">
        <v>9</v>
      </c>
      <c r="S29" s="7" t="s">
        <v>9</v>
      </c>
      <c r="T29" s="12" t="s">
        <v>9</v>
      </c>
      <c r="U29" s="7"/>
      <c r="V29" s="7"/>
    </row>
    <row r="30" spans="1:22" x14ac:dyDescent="0.25">
      <c r="A30" s="19" t="str">
        <f t="shared" si="0"/>
        <v>FALTA</v>
      </c>
      <c r="B30" s="20" t="s">
        <v>3</v>
      </c>
      <c r="C30" s="17" t="s">
        <v>1333</v>
      </c>
      <c r="D30" s="18"/>
      <c r="E30" s="18"/>
      <c r="F30" s="7" t="s">
        <v>8</v>
      </c>
      <c r="G30" s="7" t="s">
        <v>8</v>
      </c>
      <c r="H30" s="7" t="s">
        <v>8</v>
      </c>
      <c r="I30" s="7" t="s">
        <v>9</v>
      </c>
      <c r="J30" s="11" t="s">
        <v>9</v>
      </c>
      <c r="K30" s="11" t="s">
        <v>9</v>
      </c>
      <c r="L30" s="7" t="s">
        <v>9</v>
      </c>
      <c r="M30" s="11" t="s">
        <v>9</v>
      </c>
      <c r="N30" s="11" t="s">
        <v>9</v>
      </c>
      <c r="O30" s="11" t="s">
        <v>9</v>
      </c>
      <c r="P30" s="7" t="s">
        <v>9</v>
      </c>
      <c r="Q30" s="8" t="s">
        <v>9</v>
      </c>
      <c r="R30" s="7" t="s">
        <v>9</v>
      </c>
      <c r="S30" s="7" t="s">
        <v>9</v>
      </c>
      <c r="T30" s="12" t="s">
        <v>9</v>
      </c>
      <c r="U30" s="7"/>
      <c r="V30" s="7"/>
    </row>
    <row r="31" spans="1:22" x14ac:dyDescent="0.25">
      <c r="A31" s="19" t="str">
        <f t="shared" si="0"/>
        <v>FALTA</v>
      </c>
      <c r="B31" s="20" t="s">
        <v>3</v>
      </c>
      <c r="C31" s="17" t="s">
        <v>1333</v>
      </c>
      <c r="D31" s="18"/>
      <c r="E31" s="18"/>
      <c r="F31" s="7" t="s">
        <v>8</v>
      </c>
      <c r="G31" s="7" t="s">
        <v>8</v>
      </c>
      <c r="H31" s="7" t="s">
        <v>8</v>
      </c>
      <c r="I31" s="7" t="s">
        <v>9</v>
      </c>
      <c r="J31" s="11" t="s">
        <v>9</v>
      </c>
      <c r="K31" s="11" t="s">
        <v>9</v>
      </c>
      <c r="L31" s="7" t="s">
        <v>9</v>
      </c>
      <c r="M31" s="11" t="s">
        <v>9</v>
      </c>
      <c r="N31" s="11" t="s">
        <v>9</v>
      </c>
      <c r="O31" s="11" t="s">
        <v>9</v>
      </c>
      <c r="P31" s="7" t="s">
        <v>9</v>
      </c>
      <c r="Q31" s="8" t="s">
        <v>9</v>
      </c>
      <c r="R31" s="7" t="s">
        <v>9</v>
      </c>
      <c r="S31" s="7" t="s">
        <v>9</v>
      </c>
      <c r="T31" s="12" t="s">
        <v>9</v>
      </c>
      <c r="U31" s="7"/>
      <c r="V31" s="7"/>
    </row>
    <row r="32" spans="1:22" x14ac:dyDescent="0.25">
      <c r="A32" s="19" t="str">
        <f t="shared" si="0"/>
        <v>FALTA</v>
      </c>
      <c r="B32" s="20" t="s">
        <v>3</v>
      </c>
      <c r="C32" s="17" t="s">
        <v>1333</v>
      </c>
      <c r="D32" s="18"/>
      <c r="E32" s="18"/>
      <c r="F32" s="7" t="s">
        <v>8</v>
      </c>
      <c r="G32" s="7" t="s">
        <v>8</v>
      </c>
      <c r="H32" s="7" t="s">
        <v>8</v>
      </c>
      <c r="I32" s="7" t="s">
        <v>9</v>
      </c>
      <c r="J32" s="11" t="s">
        <v>9</v>
      </c>
      <c r="K32" s="11" t="s">
        <v>9</v>
      </c>
      <c r="L32" s="7" t="s">
        <v>9</v>
      </c>
      <c r="M32" s="11" t="s">
        <v>9</v>
      </c>
      <c r="N32" s="11" t="s">
        <v>9</v>
      </c>
      <c r="O32" s="11" t="s">
        <v>9</v>
      </c>
      <c r="P32" s="7" t="s">
        <v>9</v>
      </c>
      <c r="Q32" s="8" t="s">
        <v>9</v>
      </c>
      <c r="R32" s="7" t="s">
        <v>9</v>
      </c>
      <c r="S32" s="7" t="s">
        <v>9</v>
      </c>
      <c r="T32" s="12" t="s">
        <v>9</v>
      </c>
      <c r="U32" s="7"/>
      <c r="V32" s="7"/>
    </row>
    <row r="33" spans="1:22" x14ac:dyDescent="0.25">
      <c r="A33" s="19" t="str">
        <f t="shared" si="0"/>
        <v>FALTA</v>
      </c>
      <c r="B33" s="20" t="s">
        <v>3</v>
      </c>
      <c r="C33" s="17" t="s">
        <v>1333</v>
      </c>
      <c r="D33" s="18"/>
      <c r="E33" s="18"/>
      <c r="F33" s="7" t="s">
        <v>8</v>
      </c>
      <c r="G33" s="7" t="s">
        <v>8</v>
      </c>
      <c r="H33" s="7" t="s">
        <v>8</v>
      </c>
      <c r="I33" s="7" t="s">
        <v>9</v>
      </c>
      <c r="J33" s="11" t="s">
        <v>9</v>
      </c>
      <c r="K33" s="11" t="s">
        <v>9</v>
      </c>
      <c r="L33" s="7" t="s">
        <v>9</v>
      </c>
      <c r="M33" s="11" t="s">
        <v>9</v>
      </c>
      <c r="N33" s="11" t="s">
        <v>9</v>
      </c>
      <c r="O33" s="11" t="s">
        <v>9</v>
      </c>
      <c r="P33" s="7" t="s">
        <v>9</v>
      </c>
      <c r="Q33" s="8" t="s">
        <v>9</v>
      </c>
      <c r="R33" s="7" t="s">
        <v>9</v>
      </c>
      <c r="S33" s="7" t="s">
        <v>9</v>
      </c>
      <c r="T33" s="12" t="s">
        <v>9</v>
      </c>
      <c r="U33" s="7"/>
      <c r="V33" s="7"/>
    </row>
    <row r="34" spans="1:22" x14ac:dyDescent="0.25">
      <c r="A34" s="19" t="str">
        <f t="shared" si="0"/>
        <v>FALTA</v>
      </c>
      <c r="B34" s="20" t="s">
        <v>3</v>
      </c>
      <c r="C34" s="17" t="s">
        <v>1333</v>
      </c>
      <c r="D34" s="18"/>
      <c r="E34" s="18"/>
      <c r="F34" s="7" t="s">
        <v>8</v>
      </c>
      <c r="G34" s="7" t="s">
        <v>8</v>
      </c>
      <c r="H34" s="7" t="s">
        <v>8</v>
      </c>
      <c r="I34" s="7" t="s">
        <v>9</v>
      </c>
      <c r="J34" s="11" t="s">
        <v>9</v>
      </c>
      <c r="K34" s="11" t="s">
        <v>9</v>
      </c>
      <c r="L34" s="7" t="s">
        <v>9</v>
      </c>
      <c r="M34" s="11" t="s">
        <v>9</v>
      </c>
      <c r="N34" s="11" t="s">
        <v>9</v>
      </c>
      <c r="O34" s="11" t="s">
        <v>9</v>
      </c>
      <c r="P34" s="7" t="s">
        <v>9</v>
      </c>
      <c r="Q34" s="8" t="s">
        <v>9</v>
      </c>
      <c r="R34" s="7" t="s">
        <v>9</v>
      </c>
      <c r="S34" s="7" t="s">
        <v>9</v>
      </c>
      <c r="T34" s="12" t="s">
        <v>9</v>
      </c>
      <c r="U34" s="7"/>
      <c r="V34" s="7"/>
    </row>
    <row r="35" spans="1:22" x14ac:dyDescent="0.25">
      <c r="A35" s="19" t="str">
        <f t="shared" si="0"/>
        <v>FALTA</v>
      </c>
      <c r="B35" s="20" t="s">
        <v>3</v>
      </c>
      <c r="C35" s="17" t="s">
        <v>1333</v>
      </c>
      <c r="D35" s="18"/>
      <c r="E35" s="18"/>
      <c r="F35" s="7" t="s">
        <v>8</v>
      </c>
      <c r="G35" s="7" t="s">
        <v>8</v>
      </c>
      <c r="H35" s="7" t="s">
        <v>8</v>
      </c>
      <c r="I35" s="7" t="s">
        <v>9</v>
      </c>
      <c r="J35" s="11" t="s">
        <v>9</v>
      </c>
      <c r="K35" s="11" t="s">
        <v>9</v>
      </c>
      <c r="L35" s="7" t="s">
        <v>9</v>
      </c>
      <c r="M35" s="11" t="s">
        <v>9</v>
      </c>
      <c r="N35" s="11" t="s">
        <v>9</v>
      </c>
      <c r="O35" s="11" t="s">
        <v>9</v>
      </c>
      <c r="P35" s="7" t="s">
        <v>9</v>
      </c>
      <c r="Q35" s="8" t="s">
        <v>9</v>
      </c>
      <c r="R35" s="7" t="s">
        <v>9</v>
      </c>
      <c r="S35" s="7" t="s">
        <v>9</v>
      </c>
      <c r="T35" s="12" t="s">
        <v>9</v>
      </c>
      <c r="U35" s="7"/>
      <c r="V35" s="7"/>
    </row>
    <row r="36" spans="1:22" x14ac:dyDescent="0.25">
      <c r="A36" s="19" t="str">
        <f t="shared" si="0"/>
        <v>FALTA</v>
      </c>
      <c r="B36" s="20" t="s">
        <v>3</v>
      </c>
      <c r="C36" s="17" t="s">
        <v>1333</v>
      </c>
      <c r="D36" s="18"/>
      <c r="E36" s="18"/>
      <c r="F36" s="7" t="s">
        <v>8</v>
      </c>
      <c r="G36" s="7" t="s">
        <v>8</v>
      </c>
      <c r="H36" s="7" t="s">
        <v>8</v>
      </c>
      <c r="I36" s="7" t="s">
        <v>9</v>
      </c>
      <c r="J36" s="11" t="s">
        <v>9</v>
      </c>
      <c r="K36" s="11" t="s">
        <v>9</v>
      </c>
      <c r="L36" s="7" t="s">
        <v>9</v>
      </c>
      <c r="M36" s="11" t="s">
        <v>9</v>
      </c>
      <c r="N36" s="11" t="s">
        <v>9</v>
      </c>
      <c r="O36" s="11" t="s">
        <v>9</v>
      </c>
      <c r="P36" s="7" t="s">
        <v>9</v>
      </c>
      <c r="Q36" s="8" t="s">
        <v>9</v>
      </c>
      <c r="R36" s="7" t="s">
        <v>9</v>
      </c>
      <c r="S36" s="7" t="s">
        <v>9</v>
      </c>
      <c r="T36" s="12" t="s">
        <v>9</v>
      </c>
      <c r="U36" s="7"/>
      <c r="V36" s="7"/>
    </row>
    <row r="37" spans="1:22" x14ac:dyDescent="0.25">
      <c r="A37" s="19" t="str">
        <f t="shared" si="0"/>
        <v>FALTA</v>
      </c>
      <c r="B37" s="20" t="s">
        <v>3</v>
      </c>
      <c r="C37" s="17" t="s">
        <v>1333</v>
      </c>
      <c r="D37" s="18"/>
      <c r="E37" s="18"/>
      <c r="F37" s="7" t="s">
        <v>8</v>
      </c>
      <c r="G37" s="7" t="s">
        <v>8</v>
      </c>
      <c r="H37" s="7" t="s">
        <v>8</v>
      </c>
      <c r="I37" s="7" t="s">
        <v>9</v>
      </c>
      <c r="J37" s="11" t="s">
        <v>9</v>
      </c>
      <c r="K37" s="11" t="s">
        <v>9</v>
      </c>
      <c r="L37" s="7" t="s">
        <v>9</v>
      </c>
      <c r="M37" s="11" t="s">
        <v>9</v>
      </c>
      <c r="N37" s="11" t="s">
        <v>9</v>
      </c>
      <c r="O37" s="11" t="s">
        <v>9</v>
      </c>
      <c r="P37" s="7" t="s">
        <v>9</v>
      </c>
      <c r="Q37" s="8" t="s">
        <v>9</v>
      </c>
      <c r="R37" s="7" t="s">
        <v>9</v>
      </c>
      <c r="S37" s="7" t="s">
        <v>9</v>
      </c>
      <c r="T37" s="12" t="s">
        <v>9</v>
      </c>
      <c r="U37" s="7"/>
      <c r="V37" s="7"/>
    </row>
    <row r="38" spans="1:22" x14ac:dyDescent="0.25">
      <c r="A38" s="19" t="str">
        <f t="shared" si="0"/>
        <v>FALTA</v>
      </c>
      <c r="B38" s="20" t="s">
        <v>3</v>
      </c>
      <c r="C38" s="17" t="s">
        <v>1333</v>
      </c>
      <c r="D38" s="18"/>
      <c r="E38" s="18"/>
      <c r="F38" s="7" t="s">
        <v>8</v>
      </c>
      <c r="G38" s="7" t="s">
        <v>8</v>
      </c>
      <c r="H38" s="7" t="s">
        <v>8</v>
      </c>
      <c r="I38" s="7" t="s">
        <v>9</v>
      </c>
      <c r="J38" s="11" t="s">
        <v>9</v>
      </c>
      <c r="K38" s="11" t="s">
        <v>9</v>
      </c>
      <c r="L38" s="7" t="s">
        <v>9</v>
      </c>
      <c r="M38" s="11" t="s">
        <v>9</v>
      </c>
      <c r="N38" s="11" t="s">
        <v>9</v>
      </c>
      <c r="O38" s="11" t="s">
        <v>9</v>
      </c>
      <c r="P38" s="7" t="s">
        <v>9</v>
      </c>
      <c r="Q38" s="8" t="s">
        <v>9</v>
      </c>
      <c r="R38" s="7" t="s">
        <v>9</v>
      </c>
      <c r="S38" s="7" t="s">
        <v>9</v>
      </c>
      <c r="T38" s="12" t="s">
        <v>9</v>
      </c>
      <c r="U38" s="7"/>
      <c r="V38" s="7"/>
    </row>
    <row r="39" spans="1:22" x14ac:dyDescent="0.25">
      <c r="A39" s="19" t="str">
        <f t="shared" si="0"/>
        <v>FALTA</v>
      </c>
      <c r="B39" s="20" t="s">
        <v>3</v>
      </c>
      <c r="C39" s="17" t="s">
        <v>1333</v>
      </c>
      <c r="D39" s="18"/>
      <c r="E39" s="18"/>
      <c r="F39" s="7" t="s">
        <v>8</v>
      </c>
      <c r="G39" s="7" t="s">
        <v>8</v>
      </c>
      <c r="H39" s="7" t="s">
        <v>8</v>
      </c>
      <c r="I39" s="7" t="s">
        <v>9</v>
      </c>
      <c r="J39" s="11" t="s">
        <v>9</v>
      </c>
      <c r="K39" s="11" t="s">
        <v>9</v>
      </c>
      <c r="L39" s="7" t="s">
        <v>9</v>
      </c>
      <c r="M39" s="11" t="s">
        <v>9</v>
      </c>
      <c r="N39" s="11" t="s">
        <v>9</v>
      </c>
      <c r="O39" s="11" t="s">
        <v>9</v>
      </c>
      <c r="P39" s="7" t="s">
        <v>9</v>
      </c>
      <c r="Q39" s="8" t="s">
        <v>9</v>
      </c>
      <c r="R39" s="7" t="s">
        <v>9</v>
      </c>
      <c r="S39" s="7" t="s">
        <v>9</v>
      </c>
      <c r="T39" s="12" t="s">
        <v>9</v>
      </c>
      <c r="U39" s="7"/>
      <c r="V39" s="7"/>
    </row>
    <row r="40" spans="1:22" x14ac:dyDescent="0.25">
      <c r="A40" s="19" t="str">
        <f t="shared" si="0"/>
        <v>FALTA</v>
      </c>
      <c r="B40" s="20" t="s">
        <v>3</v>
      </c>
      <c r="C40" s="17" t="s">
        <v>1333</v>
      </c>
      <c r="D40" s="18"/>
      <c r="E40" s="18"/>
      <c r="F40" s="7" t="s">
        <v>8</v>
      </c>
      <c r="G40" s="7" t="s">
        <v>8</v>
      </c>
      <c r="H40" s="7" t="s">
        <v>8</v>
      </c>
      <c r="I40" s="7" t="s">
        <v>9</v>
      </c>
      <c r="J40" s="11" t="s">
        <v>9</v>
      </c>
      <c r="K40" s="11" t="s">
        <v>9</v>
      </c>
      <c r="L40" s="7" t="s">
        <v>9</v>
      </c>
      <c r="M40" s="11" t="s">
        <v>9</v>
      </c>
      <c r="N40" s="11" t="s">
        <v>9</v>
      </c>
      <c r="O40" s="11" t="s">
        <v>9</v>
      </c>
      <c r="P40" s="7" t="s">
        <v>9</v>
      </c>
      <c r="Q40" s="8" t="s">
        <v>9</v>
      </c>
      <c r="R40" s="7" t="s">
        <v>9</v>
      </c>
      <c r="S40" s="7" t="s">
        <v>9</v>
      </c>
      <c r="T40" s="12" t="s">
        <v>9</v>
      </c>
      <c r="U40" s="7"/>
      <c r="V40" s="7"/>
    </row>
    <row r="41" spans="1:22" x14ac:dyDescent="0.25">
      <c r="A41" s="19" t="str">
        <f t="shared" si="0"/>
        <v>FALTA</v>
      </c>
      <c r="B41" s="20" t="s">
        <v>3</v>
      </c>
      <c r="C41" s="17" t="s">
        <v>1333</v>
      </c>
      <c r="D41" s="18"/>
      <c r="E41" s="18"/>
      <c r="F41" s="7" t="s">
        <v>8</v>
      </c>
      <c r="G41" s="7" t="s">
        <v>8</v>
      </c>
      <c r="H41" s="7" t="s">
        <v>8</v>
      </c>
      <c r="I41" s="7" t="s">
        <v>9</v>
      </c>
      <c r="J41" s="11" t="s">
        <v>9</v>
      </c>
      <c r="K41" s="11" t="s">
        <v>9</v>
      </c>
      <c r="L41" s="7" t="s">
        <v>9</v>
      </c>
      <c r="M41" s="11" t="s">
        <v>9</v>
      </c>
      <c r="N41" s="11" t="s">
        <v>9</v>
      </c>
      <c r="O41" s="11" t="s">
        <v>9</v>
      </c>
      <c r="P41" s="7" t="s">
        <v>9</v>
      </c>
      <c r="Q41" s="8" t="s">
        <v>9</v>
      </c>
      <c r="R41" s="7" t="s">
        <v>9</v>
      </c>
      <c r="S41" s="7" t="s">
        <v>9</v>
      </c>
      <c r="T41" s="12" t="s">
        <v>9</v>
      </c>
      <c r="U41" s="7"/>
      <c r="V41" s="7"/>
    </row>
    <row r="42" spans="1:22" x14ac:dyDescent="0.25">
      <c r="A42" s="19" t="str">
        <f t="shared" si="0"/>
        <v>FALTA</v>
      </c>
      <c r="B42" s="20" t="s">
        <v>3</v>
      </c>
      <c r="C42" s="17" t="s">
        <v>1333</v>
      </c>
      <c r="D42" s="18"/>
      <c r="E42" s="18"/>
      <c r="F42" s="7" t="s">
        <v>8</v>
      </c>
      <c r="G42" s="7" t="s">
        <v>8</v>
      </c>
      <c r="H42" s="7" t="s">
        <v>8</v>
      </c>
      <c r="I42" s="7" t="s">
        <v>9</v>
      </c>
      <c r="J42" s="11" t="s">
        <v>9</v>
      </c>
      <c r="K42" s="11" t="s">
        <v>9</v>
      </c>
      <c r="L42" s="7" t="s">
        <v>9</v>
      </c>
      <c r="M42" s="11" t="s">
        <v>9</v>
      </c>
      <c r="N42" s="11" t="s">
        <v>9</v>
      </c>
      <c r="O42" s="11" t="s">
        <v>9</v>
      </c>
      <c r="P42" s="7" t="s">
        <v>9</v>
      </c>
      <c r="Q42" s="8" t="s">
        <v>9</v>
      </c>
      <c r="R42" s="7" t="s">
        <v>9</v>
      </c>
      <c r="S42" s="7" t="s">
        <v>9</v>
      </c>
      <c r="T42" s="12" t="s">
        <v>9</v>
      </c>
      <c r="U42" s="7"/>
      <c r="V42" s="7"/>
    </row>
    <row r="43" spans="1:22" x14ac:dyDescent="0.25">
      <c r="A43" s="19" t="str">
        <f t="shared" si="0"/>
        <v>FALTA</v>
      </c>
      <c r="B43" s="20" t="s">
        <v>3</v>
      </c>
      <c r="C43" s="17" t="s">
        <v>1333</v>
      </c>
      <c r="D43" s="18"/>
      <c r="E43" s="18"/>
      <c r="F43" s="7" t="s">
        <v>8</v>
      </c>
      <c r="G43" s="7" t="s">
        <v>8</v>
      </c>
      <c r="H43" s="7" t="s">
        <v>8</v>
      </c>
      <c r="I43" s="7" t="s">
        <v>9</v>
      </c>
      <c r="J43" s="11" t="s">
        <v>9</v>
      </c>
      <c r="K43" s="11" t="s">
        <v>9</v>
      </c>
      <c r="L43" s="7" t="s">
        <v>9</v>
      </c>
      <c r="M43" s="11" t="s">
        <v>9</v>
      </c>
      <c r="N43" s="11" t="s">
        <v>9</v>
      </c>
      <c r="O43" s="11" t="s">
        <v>9</v>
      </c>
      <c r="P43" s="7" t="s">
        <v>9</v>
      </c>
      <c r="Q43" s="8" t="s">
        <v>9</v>
      </c>
      <c r="R43" s="7" t="s">
        <v>9</v>
      </c>
      <c r="S43" s="7" t="s">
        <v>9</v>
      </c>
      <c r="T43" s="12" t="s">
        <v>9</v>
      </c>
      <c r="U43" s="7"/>
      <c r="V43" s="7"/>
    </row>
    <row r="44" spans="1:22" x14ac:dyDescent="0.25">
      <c r="A44" s="19" t="str">
        <f t="shared" si="0"/>
        <v>FALTA</v>
      </c>
      <c r="B44" s="20" t="s">
        <v>3</v>
      </c>
      <c r="C44" s="17" t="s">
        <v>1333</v>
      </c>
      <c r="D44" s="18"/>
      <c r="E44" s="18"/>
      <c r="F44" s="7" t="s">
        <v>8</v>
      </c>
      <c r="G44" s="7" t="s">
        <v>8</v>
      </c>
      <c r="H44" s="7" t="s">
        <v>8</v>
      </c>
      <c r="I44" s="7" t="s">
        <v>9</v>
      </c>
      <c r="J44" s="11" t="s">
        <v>9</v>
      </c>
      <c r="K44" s="11" t="s">
        <v>9</v>
      </c>
      <c r="L44" s="7" t="s">
        <v>9</v>
      </c>
      <c r="M44" s="11" t="s">
        <v>9</v>
      </c>
      <c r="N44" s="11" t="s">
        <v>9</v>
      </c>
      <c r="O44" s="11" t="s">
        <v>9</v>
      </c>
      <c r="P44" s="7" t="s">
        <v>9</v>
      </c>
      <c r="Q44" s="8" t="s">
        <v>9</v>
      </c>
      <c r="R44" s="7" t="s">
        <v>9</v>
      </c>
      <c r="S44" s="7" t="s">
        <v>9</v>
      </c>
      <c r="T44" s="12" t="s">
        <v>9</v>
      </c>
      <c r="U44" s="7"/>
      <c r="V44" s="7"/>
    </row>
  </sheetData>
  <sheetProtection selectLockedCells="1" autoFilter="0" selectUnlockedCells="1"/>
  <mergeCells count="21">
    <mergeCell ref="R1:R2"/>
    <mergeCell ref="S1:S2"/>
    <mergeCell ref="T1:T2"/>
    <mergeCell ref="U1:U2"/>
    <mergeCell ref="V1:V2"/>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s>
  <conditionalFormatting sqref="F5:V44 G3:T4">
    <cfRule type="cellIs" dxfId="397" priority="20" operator="equal">
      <formula>"F"</formula>
    </cfRule>
    <cfRule type="cellIs" dxfId="396" priority="21" operator="equal">
      <formula>"OK"</formula>
    </cfRule>
    <cfRule type="cellIs" dxfId="395" priority="22" operator="between">
      <formula>6</formula>
      <formula>18</formula>
    </cfRule>
  </conditionalFormatting>
  <conditionalFormatting sqref="C1:E1 A2:E2 C3:C4 E3:E4 A5:E1048576">
    <cfRule type="expression" dxfId="394" priority="18">
      <formula>$A1="FALTA"</formula>
    </cfRule>
    <cfRule type="expression" dxfId="393" priority="19">
      <formula>$A1="COMPLETO"</formula>
    </cfRule>
  </conditionalFormatting>
  <conditionalFormatting sqref="D3:D4">
    <cfRule type="expression" dxfId="392" priority="14">
      <formula>$A3="FALTA"</formula>
    </cfRule>
    <cfRule type="expression" dxfId="391" priority="15">
      <formula>$A3="COMPLETO"</formula>
    </cfRule>
  </conditionalFormatting>
  <conditionalFormatting sqref="B3">
    <cfRule type="expression" dxfId="390" priority="16">
      <formula>$A3="FALTA"</formula>
    </cfRule>
    <cfRule type="expression" dxfId="389" priority="17">
      <formula>$A3="COMPLETO"</formula>
    </cfRule>
  </conditionalFormatting>
  <conditionalFormatting sqref="F4">
    <cfRule type="cellIs" dxfId="388" priority="11" operator="equal">
      <formula>"F"</formula>
    </cfRule>
    <cfRule type="cellIs" dxfId="387" priority="12" operator="equal">
      <formula>"OK"</formula>
    </cfRule>
    <cfRule type="cellIs" dxfId="386" priority="13" operator="between">
      <formula>6</formula>
      <formula>18</formula>
    </cfRule>
  </conditionalFormatting>
  <conditionalFormatting sqref="A1:B1">
    <cfRule type="expression" dxfId="385" priority="9">
      <formula>$A1="FALTA"</formula>
    </cfRule>
    <cfRule type="expression" dxfId="384" priority="10">
      <formula>$A1="COMPLETO"</formula>
    </cfRule>
  </conditionalFormatting>
  <conditionalFormatting sqref="U3:V3">
    <cfRule type="cellIs" dxfId="383" priority="6" operator="equal">
      <formula>"F"</formula>
    </cfRule>
    <cfRule type="cellIs" dxfId="382" priority="7" operator="equal">
      <formula>"OK"</formula>
    </cfRule>
    <cfRule type="cellIs" dxfId="381" priority="8" operator="between">
      <formula>6</formula>
      <formula>18</formula>
    </cfRule>
  </conditionalFormatting>
  <conditionalFormatting sqref="F3">
    <cfRule type="cellIs" dxfId="380" priority="3" operator="equal">
      <formula>"F"</formula>
    </cfRule>
    <cfRule type="cellIs" dxfId="379" priority="4" operator="equal">
      <formula>"OK"</formula>
    </cfRule>
    <cfRule type="cellIs" dxfId="378" priority="5" operator="between">
      <formula>6</formula>
      <formula>18</formula>
    </cfRule>
  </conditionalFormatting>
  <conditionalFormatting sqref="A3">
    <cfRule type="expression" dxfId="377" priority="1">
      <formula>$A3="FALTA"</formula>
    </cfRule>
    <cfRule type="expression" dxfId="376"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4">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ZMiguel Cid 62</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COMPLETO</v>
      </c>
      <c r="B3" s="385" t="s">
        <v>116</v>
      </c>
      <c r="C3" s="23" t="s">
        <v>901</v>
      </c>
      <c r="D3" s="29" t="s">
        <v>5</v>
      </c>
      <c r="E3" s="10" t="s">
        <v>903</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1" t="s">
        <v>53</v>
      </c>
      <c r="V3" s="381" t="s">
        <v>53</v>
      </c>
    </row>
    <row r="4" spans="1:22" x14ac:dyDescent="0.25">
      <c r="A4" s="384"/>
      <c r="B4" s="386"/>
      <c r="C4" s="23" t="s">
        <v>902</v>
      </c>
      <c r="D4" s="29" t="s">
        <v>6</v>
      </c>
      <c r="E4" s="10" t="s">
        <v>904</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2"/>
      <c r="V4" s="382"/>
    </row>
    <row r="5" spans="1:22" ht="15" customHeight="1" x14ac:dyDescent="0.25">
      <c r="A5" s="19" t="str">
        <f>IF(COUNTIF(F5:V5,"F")&gt;0,"FALTA","COMPLETO")</f>
        <v>COMPLETO</v>
      </c>
      <c r="B5" s="20" t="s">
        <v>54</v>
      </c>
      <c r="C5" s="17" t="s">
        <v>902</v>
      </c>
      <c r="D5" s="18" t="s">
        <v>934</v>
      </c>
      <c r="E5" s="18" t="s">
        <v>935</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 t="shared" ref="A6:A22" si="0">IF(COUNTIF(F6:V6,"F")&gt;0,"FALTA","COMPLETO")</f>
        <v>COMPLETO</v>
      </c>
      <c r="B6" s="20" t="s">
        <v>30</v>
      </c>
      <c r="C6" s="17" t="s">
        <v>905</v>
      </c>
      <c r="D6" s="18" t="s">
        <v>936</v>
      </c>
      <c r="E6" s="18" t="s">
        <v>937</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 t="shared" si="0"/>
        <v>COMPLETO</v>
      </c>
      <c r="B7" s="20" t="s">
        <v>31</v>
      </c>
      <c r="C7" s="17" t="s">
        <v>906</v>
      </c>
      <c r="D7" s="18" t="s">
        <v>938</v>
      </c>
      <c r="E7" s="18" t="s">
        <v>939</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53</v>
      </c>
      <c r="V7" s="7" t="s">
        <v>53</v>
      </c>
    </row>
    <row r="8" spans="1:22" x14ac:dyDescent="0.25">
      <c r="A8" s="19" t="str">
        <f t="shared" si="0"/>
        <v>COMPLETO</v>
      </c>
      <c r="B8" s="20" t="s">
        <v>32</v>
      </c>
      <c r="C8" s="17" t="s">
        <v>907</v>
      </c>
      <c r="D8" s="18" t="s">
        <v>940</v>
      </c>
      <c r="E8" s="18" t="s">
        <v>941</v>
      </c>
      <c r="F8" s="7" t="s">
        <v>53</v>
      </c>
      <c r="G8" s="7" t="s">
        <v>53</v>
      </c>
      <c r="H8" s="7" t="s">
        <v>53</v>
      </c>
      <c r="I8" s="7" t="s">
        <v>53</v>
      </c>
      <c r="J8" s="11" t="s">
        <v>9</v>
      </c>
      <c r="K8" s="11" t="s">
        <v>53</v>
      </c>
      <c r="L8" s="7" t="s">
        <v>9</v>
      </c>
      <c r="M8" s="11" t="s">
        <v>9</v>
      </c>
      <c r="N8" s="11" t="s">
        <v>9</v>
      </c>
      <c r="O8" s="11" t="s">
        <v>9</v>
      </c>
      <c r="P8" s="7">
        <v>12</v>
      </c>
      <c r="Q8" s="8" t="s">
        <v>53</v>
      </c>
      <c r="R8" s="7" t="s">
        <v>53</v>
      </c>
      <c r="S8" s="7" t="s">
        <v>7</v>
      </c>
      <c r="T8" s="12" t="s">
        <v>9</v>
      </c>
      <c r="U8" s="7" t="s">
        <v>53</v>
      </c>
      <c r="V8" s="7">
        <v>12</v>
      </c>
    </row>
    <row r="9" spans="1:22" x14ac:dyDescent="0.25">
      <c r="A9" s="19" t="str">
        <f t="shared" si="0"/>
        <v>COMPLETO</v>
      </c>
      <c r="B9" s="20" t="s">
        <v>908</v>
      </c>
      <c r="C9" s="17" t="s">
        <v>909</v>
      </c>
      <c r="D9" s="18" t="s">
        <v>942</v>
      </c>
      <c r="E9" s="18" t="s">
        <v>943</v>
      </c>
      <c r="F9" s="7" t="s">
        <v>53</v>
      </c>
      <c r="G9" s="7" t="s">
        <v>53</v>
      </c>
      <c r="H9" s="7" t="s">
        <v>53</v>
      </c>
      <c r="I9" s="7" t="s">
        <v>9</v>
      </c>
      <c r="J9" s="11" t="s">
        <v>53</v>
      </c>
      <c r="K9" s="11" t="s">
        <v>53</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910</v>
      </c>
      <c r="C10" s="17" t="s">
        <v>911</v>
      </c>
      <c r="D10" s="18" t="s">
        <v>944</v>
      </c>
      <c r="E10" s="18" t="s">
        <v>943</v>
      </c>
      <c r="F10" s="7" t="s">
        <v>53</v>
      </c>
      <c r="G10" s="7" t="s">
        <v>53</v>
      </c>
      <c r="H10" s="7" t="s">
        <v>53</v>
      </c>
      <c r="I10" s="7" t="s">
        <v>9</v>
      </c>
      <c r="J10" s="11" t="s">
        <v>53</v>
      </c>
      <c r="K10" s="11" t="s">
        <v>53</v>
      </c>
      <c r="L10" s="7" t="s">
        <v>9</v>
      </c>
      <c r="M10" s="11" t="s">
        <v>9</v>
      </c>
      <c r="N10" s="11" t="s">
        <v>9</v>
      </c>
      <c r="O10" s="11" t="s">
        <v>9</v>
      </c>
      <c r="P10" s="7">
        <v>6</v>
      </c>
      <c r="Q10" s="8" t="s">
        <v>53</v>
      </c>
      <c r="R10" s="7" t="s">
        <v>53</v>
      </c>
      <c r="S10" s="7" t="s">
        <v>53</v>
      </c>
      <c r="T10" s="12" t="s">
        <v>9</v>
      </c>
      <c r="U10" s="7" t="s">
        <v>53</v>
      </c>
      <c r="V10" s="7">
        <v>6</v>
      </c>
    </row>
    <row r="11" spans="1:22" x14ac:dyDescent="0.25">
      <c r="A11" s="19" t="str">
        <f t="shared" si="0"/>
        <v>COMPLETO</v>
      </c>
      <c r="B11" s="20" t="s">
        <v>912</v>
      </c>
      <c r="C11" s="17" t="s">
        <v>913</v>
      </c>
      <c r="D11" s="18" t="s">
        <v>945</v>
      </c>
      <c r="E11" s="18" t="s">
        <v>946</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914</v>
      </c>
      <c r="C12" s="17" t="s">
        <v>915</v>
      </c>
      <c r="D12" s="18" t="s">
        <v>947</v>
      </c>
      <c r="E12" s="18" t="s">
        <v>948</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t="s">
        <v>53</v>
      </c>
      <c r="V12" s="7" t="s">
        <v>53</v>
      </c>
    </row>
    <row r="13" spans="1:22" x14ac:dyDescent="0.25">
      <c r="A13" s="19" t="str">
        <f t="shared" si="0"/>
        <v>COMPLETO</v>
      </c>
      <c r="B13" s="20" t="s">
        <v>916</v>
      </c>
      <c r="C13" s="17" t="s">
        <v>917</v>
      </c>
      <c r="D13" s="18" t="s">
        <v>949</v>
      </c>
      <c r="E13" s="18" t="s">
        <v>950</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t="s">
        <v>53</v>
      </c>
      <c r="V13" s="7" t="s">
        <v>53</v>
      </c>
    </row>
    <row r="14" spans="1:22" x14ac:dyDescent="0.25">
      <c r="A14" s="19" t="str">
        <f t="shared" si="0"/>
        <v>COMPLETO</v>
      </c>
      <c r="B14" s="20" t="s">
        <v>918</v>
      </c>
      <c r="C14" s="17" t="s">
        <v>919</v>
      </c>
      <c r="D14" s="18" t="s">
        <v>951</v>
      </c>
      <c r="E14" s="18" t="s">
        <v>952</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t="s">
        <v>53</v>
      </c>
      <c r="V14" s="7" t="s">
        <v>53</v>
      </c>
    </row>
    <row r="15" spans="1:22" x14ac:dyDescent="0.25">
      <c r="A15" s="19" t="str">
        <f t="shared" si="0"/>
        <v>COMPLETO</v>
      </c>
      <c r="B15" s="20" t="s">
        <v>33</v>
      </c>
      <c r="C15" s="17" t="s">
        <v>920</v>
      </c>
      <c r="D15" s="18" t="s">
        <v>953</v>
      </c>
      <c r="E15" s="18" t="s">
        <v>954</v>
      </c>
      <c r="F15" s="7" t="s">
        <v>53</v>
      </c>
      <c r="G15" s="7" t="s">
        <v>53</v>
      </c>
      <c r="H15" s="7" t="s">
        <v>53</v>
      </c>
      <c r="I15" s="7" t="s">
        <v>53</v>
      </c>
      <c r="J15" s="11" t="s">
        <v>9</v>
      </c>
      <c r="K15" s="11" t="s">
        <v>9</v>
      </c>
      <c r="L15" s="7" t="s">
        <v>9</v>
      </c>
      <c r="M15" s="11" t="s">
        <v>9</v>
      </c>
      <c r="N15" s="11" t="s">
        <v>9</v>
      </c>
      <c r="O15" s="11" t="s">
        <v>9</v>
      </c>
      <c r="P15" s="7" t="s">
        <v>9</v>
      </c>
      <c r="Q15" s="8" t="s">
        <v>7</v>
      </c>
      <c r="R15" s="7" t="s">
        <v>9</v>
      </c>
      <c r="S15" s="7" t="s">
        <v>9</v>
      </c>
      <c r="T15" s="12" t="s">
        <v>9</v>
      </c>
      <c r="U15" s="7" t="s">
        <v>53</v>
      </c>
      <c r="V15" s="7" t="s">
        <v>53</v>
      </c>
    </row>
    <row r="16" spans="1:22" x14ac:dyDescent="0.25">
      <c r="A16" s="19" t="str">
        <f t="shared" si="0"/>
        <v>COMPLETO</v>
      </c>
      <c r="B16" s="20" t="s">
        <v>34</v>
      </c>
      <c r="C16" s="17" t="s">
        <v>921</v>
      </c>
      <c r="D16" s="18" t="s">
        <v>955</v>
      </c>
      <c r="E16" s="18" t="s">
        <v>956</v>
      </c>
      <c r="F16" s="7" t="s">
        <v>53</v>
      </c>
      <c r="G16" s="7" t="s">
        <v>53</v>
      </c>
      <c r="H16" s="7" t="s">
        <v>53</v>
      </c>
      <c r="I16" s="7" t="s">
        <v>9</v>
      </c>
      <c r="J16" s="11" t="s">
        <v>9</v>
      </c>
      <c r="K16" s="11" t="s">
        <v>9</v>
      </c>
      <c r="L16" s="7" t="s">
        <v>9</v>
      </c>
      <c r="M16" s="11" t="s">
        <v>9</v>
      </c>
      <c r="N16" s="11" t="s">
        <v>9</v>
      </c>
      <c r="O16" s="11" t="s">
        <v>9</v>
      </c>
      <c r="P16" s="7" t="s">
        <v>9</v>
      </c>
      <c r="Q16" s="8" t="s">
        <v>7</v>
      </c>
      <c r="R16" s="7" t="s">
        <v>9</v>
      </c>
      <c r="S16" s="7" t="s">
        <v>9</v>
      </c>
      <c r="T16" s="12" t="s">
        <v>9</v>
      </c>
      <c r="U16" s="7" t="s">
        <v>53</v>
      </c>
      <c r="V16" s="7" t="s">
        <v>53</v>
      </c>
    </row>
    <row r="17" spans="1:22" x14ac:dyDescent="0.25">
      <c r="A17" s="19" t="str">
        <f t="shared" si="0"/>
        <v>COMPLETO</v>
      </c>
      <c r="B17" s="20" t="s">
        <v>922</v>
      </c>
      <c r="C17" s="17" t="s">
        <v>923</v>
      </c>
      <c r="D17" s="18" t="s">
        <v>957</v>
      </c>
      <c r="E17" s="18" t="s">
        <v>958</v>
      </c>
      <c r="F17" s="7" t="s">
        <v>53</v>
      </c>
      <c r="G17" s="7" t="s">
        <v>53</v>
      </c>
      <c r="H17" s="7" t="s">
        <v>53</v>
      </c>
      <c r="I17" s="7" t="s">
        <v>9</v>
      </c>
      <c r="J17" s="11" t="s">
        <v>9</v>
      </c>
      <c r="K17" s="11" t="s">
        <v>9</v>
      </c>
      <c r="L17" s="7" t="s">
        <v>9</v>
      </c>
      <c r="M17" s="11" t="s">
        <v>9</v>
      </c>
      <c r="N17" s="11" t="s">
        <v>9</v>
      </c>
      <c r="O17" s="11" t="s">
        <v>9</v>
      </c>
      <c r="P17" s="7" t="s">
        <v>9</v>
      </c>
      <c r="Q17" s="8" t="s">
        <v>7</v>
      </c>
      <c r="R17" s="7" t="s">
        <v>9</v>
      </c>
      <c r="S17" s="7" t="s">
        <v>9</v>
      </c>
      <c r="T17" s="12" t="s">
        <v>9</v>
      </c>
      <c r="U17" s="7" t="s">
        <v>53</v>
      </c>
      <c r="V17" s="7" t="s">
        <v>53</v>
      </c>
    </row>
    <row r="18" spans="1:22" x14ac:dyDescent="0.25">
      <c r="A18" s="19" t="str">
        <f t="shared" si="0"/>
        <v>COMPLETO</v>
      </c>
      <c r="B18" s="20" t="s">
        <v>924</v>
      </c>
      <c r="C18" s="17" t="s">
        <v>925</v>
      </c>
      <c r="D18" s="18" t="s">
        <v>959</v>
      </c>
      <c r="E18" s="18" t="s">
        <v>960</v>
      </c>
      <c r="F18" s="7" t="s">
        <v>53</v>
      </c>
      <c r="G18" s="7" t="s">
        <v>53</v>
      </c>
      <c r="H18" s="7" t="s">
        <v>53</v>
      </c>
      <c r="I18" s="7" t="s">
        <v>9</v>
      </c>
      <c r="J18" s="11" t="s">
        <v>53</v>
      </c>
      <c r="K18" s="11" t="s">
        <v>53</v>
      </c>
      <c r="L18" s="7" t="s">
        <v>9</v>
      </c>
      <c r="M18" s="11" t="s">
        <v>9</v>
      </c>
      <c r="N18" s="11" t="s">
        <v>9</v>
      </c>
      <c r="O18" s="11" t="s">
        <v>9</v>
      </c>
      <c r="P18" s="7">
        <v>12</v>
      </c>
      <c r="Q18" s="8" t="s">
        <v>53</v>
      </c>
      <c r="R18" s="7" t="s">
        <v>53</v>
      </c>
      <c r="S18" s="7" t="s">
        <v>53</v>
      </c>
      <c r="T18" s="12" t="s">
        <v>9</v>
      </c>
      <c r="U18" s="7" t="s">
        <v>53</v>
      </c>
      <c r="V18" s="7">
        <v>12</v>
      </c>
    </row>
    <row r="19" spans="1:22" x14ac:dyDescent="0.25">
      <c r="A19" s="19" t="str">
        <f t="shared" si="0"/>
        <v>COMPLETO</v>
      </c>
      <c r="B19" s="20" t="s">
        <v>926</v>
      </c>
      <c r="C19" s="17" t="s">
        <v>927</v>
      </c>
      <c r="D19" s="18" t="s">
        <v>961</v>
      </c>
      <c r="E19" s="18" t="s">
        <v>962</v>
      </c>
      <c r="F19" s="7" t="s">
        <v>53</v>
      </c>
      <c r="G19" s="7" t="s">
        <v>53</v>
      </c>
      <c r="H19" s="7" t="s">
        <v>53</v>
      </c>
      <c r="I19" s="7" t="s">
        <v>9</v>
      </c>
      <c r="J19" s="11" t="s">
        <v>9</v>
      </c>
      <c r="K19" s="11" t="s">
        <v>9</v>
      </c>
      <c r="L19" s="7" t="s">
        <v>9</v>
      </c>
      <c r="M19" s="11" t="s">
        <v>9</v>
      </c>
      <c r="N19" s="11" t="s">
        <v>9</v>
      </c>
      <c r="O19" s="11" t="s">
        <v>9</v>
      </c>
      <c r="P19" s="7" t="s">
        <v>9</v>
      </c>
      <c r="Q19" s="8" t="s">
        <v>7</v>
      </c>
      <c r="R19" s="7" t="s">
        <v>9</v>
      </c>
      <c r="S19" s="7" t="s">
        <v>9</v>
      </c>
      <c r="T19" s="12" t="s">
        <v>9</v>
      </c>
      <c r="U19" s="7" t="s">
        <v>53</v>
      </c>
      <c r="V19" s="7" t="s">
        <v>53</v>
      </c>
    </row>
    <row r="20" spans="1:22" x14ac:dyDescent="0.25">
      <c r="A20" s="19" t="str">
        <f t="shared" si="0"/>
        <v>COMPLETO</v>
      </c>
      <c r="B20" s="20" t="s">
        <v>928</v>
      </c>
      <c r="C20" s="17" t="s">
        <v>929</v>
      </c>
      <c r="D20" s="18" t="s">
        <v>963</v>
      </c>
      <c r="E20" s="18" t="s">
        <v>964</v>
      </c>
      <c r="F20" s="7" t="s">
        <v>53</v>
      </c>
      <c r="G20" s="7" t="s">
        <v>53</v>
      </c>
      <c r="H20" s="7" t="s">
        <v>53</v>
      </c>
      <c r="I20" s="7" t="s">
        <v>9</v>
      </c>
      <c r="J20" s="11" t="s">
        <v>9</v>
      </c>
      <c r="K20" s="11" t="s">
        <v>9</v>
      </c>
      <c r="L20" s="7" t="s">
        <v>9</v>
      </c>
      <c r="M20" s="11" t="s">
        <v>9</v>
      </c>
      <c r="N20" s="11" t="s">
        <v>9</v>
      </c>
      <c r="O20" s="11" t="s">
        <v>9</v>
      </c>
      <c r="P20" s="7" t="s">
        <v>9</v>
      </c>
      <c r="Q20" s="8" t="s">
        <v>7</v>
      </c>
      <c r="R20" s="7" t="s">
        <v>9</v>
      </c>
      <c r="S20" s="7" t="s">
        <v>9</v>
      </c>
      <c r="T20" s="12" t="s">
        <v>9</v>
      </c>
      <c r="U20" s="7" t="s">
        <v>53</v>
      </c>
      <c r="V20" s="7" t="s">
        <v>53</v>
      </c>
    </row>
    <row r="21" spans="1:22" x14ac:dyDescent="0.25">
      <c r="A21" s="19" t="str">
        <f t="shared" si="0"/>
        <v>COMPLETO</v>
      </c>
      <c r="B21" s="20" t="s">
        <v>930</v>
      </c>
      <c r="C21" s="17" t="s">
        <v>931</v>
      </c>
      <c r="D21" s="18" t="s">
        <v>965</v>
      </c>
      <c r="E21" s="18" t="s">
        <v>966</v>
      </c>
      <c r="F21" s="7" t="s">
        <v>53</v>
      </c>
      <c r="G21" s="7" t="s">
        <v>53</v>
      </c>
      <c r="H21" s="7" t="s">
        <v>53</v>
      </c>
      <c r="I21" s="7" t="s">
        <v>9</v>
      </c>
      <c r="J21" s="11" t="s">
        <v>9</v>
      </c>
      <c r="K21" s="11" t="s">
        <v>9</v>
      </c>
      <c r="L21" s="7" t="s">
        <v>9</v>
      </c>
      <c r="M21" s="11" t="s">
        <v>9</v>
      </c>
      <c r="N21" s="11" t="s">
        <v>9</v>
      </c>
      <c r="O21" s="11" t="s">
        <v>9</v>
      </c>
      <c r="P21" s="7" t="s">
        <v>9</v>
      </c>
      <c r="Q21" s="8" t="s">
        <v>7</v>
      </c>
      <c r="R21" s="7" t="s">
        <v>9</v>
      </c>
      <c r="S21" s="7" t="s">
        <v>9</v>
      </c>
      <c r="T21" s="12" t="s">
        <v>9</v>
      </c>
      <c r="U21" s="7" t="s">
        <v>53</v>
      </c>
      <c r="V21" s="7" t="s">
        <v>53</v>
      </c>
    </row>
    <row r="22" spans="1:22" x14ac:dyDescent="0.25">
      <c r="A22" s="19" t="str">
        <f t="shared" si="0"/>
        <v>COMPLETO</v>
      </c>
      <c r="B22" s="20" t="s">
        <v>932</v>
      </c>
      <c r="C22" s="17" t="s">
        <v>933</v>
      </c>
      <c r="D22" s="18" t="s">
        <v>967</v>
      </c>
      <c r="E22" s="18" t="s">
        <v>968</v>
      </c>
      <c r="F22" s="7" t="s">
        <v>53</v>
      </c>
      <c r="G22" s="7" t="s">
        <v>53</v>
      </c>
      <c r="H22" s="7" t="s">
        <v>53</v>
      </c>
      <c r="I22" s="7" t="s">
        <v>9</v>
      </c>
      <c r="J22" s="11" t="s">
        <v>9</v>
      </c>
      <c r="K22" s="11" t="s">
        <v>9</v>
      </c>
      <c r="L22" s="7" t="s">
        <v>9</v>
      </c>
      <c r="M22" s="11" t="s">
        <v>9</v>
      </c>
      <c r="N22" s="11" t="s">
        <v>9</v>
      </c>
      <c r="O22" s="11" t="s">
        <v>9</v>
      </c>
      <c r="P22" s="7" t="s">
        <v>9</v>
      </c>
      <c r="Q22" s="8" t="s">
        <v>7</v>
      </c>
      <c r="R22" s="7" t="s">
        <v>9</v>
      </c>
      <c r="S22" s="7" t="s">
        <v>9</v>
      </c>
      <c r="T22" s="12" t="s">
        <v>9</v>
      </c>
      <c r="U22" s="7" t="s">
        <v>53</v>
      </c>
      <c r="V22" s="7" t="s">
        <v>53</v>
      </c>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 ref="R1:R2"/>
    <mergeCell ref="S1:S2"/>
    <mergeCell ref="T1:T2"/>
    <mergeCell ref="U1:U2"/>
    <mergeCell ref="V1:V2"/>
  </mergeCells>
  <conditionalFormatting sqref="F5:V44 G3:T4">
    <cfRule type="cellIs" dxfId="375" priority="33" operator="equal">
      <formula>"F"</formula>
    </cfRule>
    <cfRule type="cellIs" dxfId="374" priority="34" operator="equal">
      <formula>"OK"</formula>
    </cfRule>
    <cfRule type="cellIs" dxfId="373" priority="35" operator="between">
      <formula>6</formula>
      <formula>18</formula>
    </cfRule>
  </conditionalFormatting>
  <conditionalFormatting sqref="C1:E1 A2:E2 C3:C4 E3:E4 A5:E1048576">
    <cfRule type="expression" dxfId="372" priority="31">
      <formula>$A1="FALTA"</formula>
    </cfRule>
    <cfRule type="expression" dxfId="371" priority="32">
      <formula>$A1="COMPLETO"</formula>
    </cfRule>
  </conditionalFormatting>
  <conditionalFormatting sqref="B3">
    <cfRule type="expression" dxfId="370" priority="19">
      <formula>$A3="FALTA"</formula>
    </cfRule>
    <cfRule type="expression" dxfId="369" priority="20">
      <formula>$A3="COMPLETO"</formula>
    </cfRule>
  </conditionalFormatting>
  <conditionalFormatting sqref="D3:D4">
    <cfRule type="expression" dxfId="368" priority="17">
      <formula>$A3="FALTA"</formula>
    </cfRule>
    <cfRule type="expression" dxfId="367" priority="18">
      <formula>$A3="COMPLETO"</formula>
    </cfRule>
  </conditionalFormatting>
  <conditionalFormatting sqref="F4">
    <cfRule type="cellIs" dxfId="366" priority="14" operator="equal">
      <formula>"F"</formula>
    </cfRule>
    <cfRule type="cellIs" dxfId="365" priority="15" operator="equal">
      <formula>"OK"</formula>
    </cfRule>
    <cfRule type="cellIs" dxfId="364" priority="16" operator="between">
      <formula>6</formula>
      <formula>18</formula>
    </cfRule>
  </conditionalFormatting>
  <conditionalFormatting sqref="A1:B1">
    <cfRule type="expression" dxfId="363" priority="12">
      <formula>$A1="FALTA"</formula>
    </cfRule>
    <cfRule type="expression" dxfId="362" priority="13">
      <formula>$A1="COMPLETO"</formula>
    </cfRule>
  </conditionalFormatting>
  <conditionalFormatting sqref="U3:V3">
    <cfRule type="cellIs" dxfId="361" priority="6" operator="equal">
      <formula>"F"</formula>
    </cfRule>
    <cfRule type="cellIs" dxfId="360" priority="7" operator="equal">
      <formula>"OK"</formula>
    </cfRule>
    <cfRule type="cellIs" dxfId="359" priority="8" operator="between">
      <formula>6</formula>
      <formula>18</formula>
    </cfRule>
  </conditionalFormatting>
  <conditionalFormatting sqref="F3">
    <cfRule type="cellIs" dxfId="358" priority="3" operator="equal">
      <formula>"F"</formula>
    </cfRule>
    <cfRule type="cellIs" dxfId="357" priority="4" operator="equal">
      <formula>"OK"</formula>
    </cfRule>
    <cfRule type="cellIs" dxfId="356" priority="5" operator="between">
      <formula>6</formula>
      <formula>18</formula>
    </cfRule>
  </conditionalFormatting>
  <conditionalFormatting sqref="A3">
    <cfRule type="expression" dxfId="355" priority="1">
      <formula>$A3="FALTA"</formula>
    </cfRule>
    <cfRule type="expression" dxfId="354"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7">
    <tabColor rgb="FF004079"/>
    <outlinePr summaryBelow="0" summaryRight="0"/>
  </sheetPr>
  <dimension ref="A1:V44"/>
  <sheetViews>
    <sheetView tabSelected="1" topLeftCell="G1" zoomScaleNormal="100" workbookViewId="0">
      <pane ySplit="2" topLeftCell="A3" activePane="bottomLeft" state="frozen"/>
      <selection pane="bottomLeft" activeCell="T4" sqref="T4"/>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ZMijares 3</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FALTA</v>
      </c>
      <c r="B3" s="385" t="s">
        <v>116</v>
      </c>
      <c r="C3" s="23" t="s">
        <v>146</v>
      </c>
      <c r="D3" s="29" t="s">
        <v>5</v>
      </c>
      <c r="E3" s="10" t="s">
        <v>612</v>
      </c>
      <c r="F3" s="30">
        <f>IF(AND(ISBLANK(U3),ISBLANK(V3)),1-(COUNTIF(G3:V4,"F")/7),1-(COUNTIF(U3:V3,"F")/2))</f>
        <v>0.7142857142857143</v>
      </c>
      <c r="G3" s="24"/>
      <c r="H3" s="24"/>
      <c r="I3" s="24"/>
      <c r="J3" s="24"/>
      <c r="K3" s="24"/>
      <c r="L3" s="24" t="s">
        <v>28</v>
      </c>
      <c r="M3" s="11" t="s">
        <v>53</v>
      </c>
      <c r="N3" s="24"/>
      <c r="O3" s="24"/>
      <c r="P3" s="25"/>
      <c r="Q3" s="24" t="s">
        <v>24</v>
      </c>
      <c r="R3" s="11" t="s">
        <v>8</v>
      </c>
      <c r="S3" s="24" t="s">
        <v>12</v>
      </c>
      <c r="T3" s="11" t="s">
        <v>53</v>
      </c>
      <c r="U3" s="381"/>
      <c r="V3" s="381"/>
    </row>
    <row r="4" spans="1:22" x14ac:dyDescent="0.25">
      <c r="A4" s="384"/>
      <c r="B4" s="386"/>
      <c r="C4" s="23" t="s">
        <v>121</v>
      </c>
      <c r="D4" s="29" t="s">
        <v>6</v>
      </c>
      <c r="E4" s="10"/>
      <c r="F4" s="30">
        <f>COUNTIF(A5:A44,"*COMPLETO*")/COUNTA(A5:A44)</f>
        <v>1</v>
      </c>
      <c r="G4" s="24"/>
      <c r="H4" s="24" t="s">
        <v>18</v>
      </c>
      <c r="I4" s="11" t="s">
        <v>53</v>
      </c>
      <c r="J4" s="24"/>
      <c r="K4" s="24"/>
      <c r="L4" s="24" t="s">
        <v>23</v>
      </c>
      <c r="M4" s="11" t="s">
        <v>53</v>
      </c>
      <c r="N4" s="24"/>
      <c r="O4" s="24"/>
      <c r="P4" s="11"/>
      <c r="Q4" s="24" t="s">
        <v>26</v>
      </c>
      <c r="R4" s="11" t="s">
        <v>8</v>
      </c>
      <c r="S4" s="24" t="s">
        <v>19</v>
      </c>
      <c r="T4" s="11"/>
      <c r="U4" s="382"/>
      <c r="V4" s="382"/>
    </row>
    <row r="5" spans="1:22" ht="15" customHeight="1" x14ac:dyDescent="0.25">
      <c r="A5" s="19" t="str">
        <f>IF(COUNTIF(F5:V5,"F")&gt;0,"FALTA","COMPLETO")</f>
        <v>COMPLETO</v>
      </c>
      <c r="B5" s="20" t="s">
        <v>231</v>
      </c>
      <c r="C5" s="17" t="s">
        <v>120</v>
      </c>
      <c r="D5" s="18" t="s">
        <v>129</v>
      </c>
      <c r="E5" s="18" t="s">
        <v>2487</v>
      </c>
      <c r="F5" s="7" t="s">
        <v>53</v>
      </c>
      <c r="G5" s="7" t="s">
        <v>53</v>
      </c>
      <c r="H5" s="7" t="s">
        <v>53</v>
      </c>
      <c r="I5" s="7" t="s">
        <v>9</v>
      </c>
      <c r="J5" s="11" t="s">
        <v>9</v>
      </c>
      <c r="K5" s="11" t="s">
        <v>9</v>
      </c>
      <c r="L5" s="7" t="s">
        <v>9</v>
      </c>
      <c r="M5" s="11" t="s">
        <v>9</v>
      </c>
      <c r="N5" s="11" t="s">
        <v>9</v>
      </c>
      <c r="O5" s="11" t="s">
        <v>9</v>
      </c>
      <c r="P5" s="7" t="s">
        <v>9</v>
      </c>
      <c r="Q5" s="8" t="s">
        <v>7</v>
      </c>
      <c r="R5" s="7" t="s">
        <v>9</v>
      </c>
      <c r="S5" s="7" t="s">
        <v>9</v>
      </c>
      <c r="T5" s="12" t="s">
        <v>9</v>
      </c>
      <c r="U5" s="7"/>
      <c r="V5" s="7"/>
    </row>
    <row r="6" spans="1:22" ht="15" customHeight="1" x14ac:dyDescent="0.25">
      <c r="A6" s="19" t="str">
        <f t="shared" ref="A6:A14" si="0">IF(COUNTIF(F6:V6,"F")&gt;0,"FALTA","COMPLETO")</f>
        <v>COMPLETO</v>
      </c>
      <c r="B6" s="20" t="s">
        <v>232</v>
      </c>
      <c r="C6" s="17" t="s">
        <v>121</v>
      </c>
      <c r="D6" s="18" t="s">
        <v>130</v>
      </c>
      <c r="E6" s="18" t="s">
        <v>2582</v>
      </c>
      <c r="F6" s="7" t="s">
        <v>53</v>
      </c>
      <c r="G6" s="7" t="s">
        <v>53</v>
      </c>
      <c r="H6" s="7" t="s">
        <v>53</v>
      </c>
      <c r="I6" s="7" t="s">
        <v>9</v>
      </c>
      <c r="J6" s="11" t="s">
        <v>53</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233</v>
      </c>
      <c r="C7" s="17" t="s">
        <v>122</v>
      </c>
      <c r="D7" s="18" t="s">
        <v>131</v>
      </c>
      <c r="E7" s="18" t="s">
        <v>132</v>
      </c>
      <c r="F7" s="7" t="s">
        <v>53</v>
      </c>
      <c r="G7" s="7" t="s">
        <v>53</v>
      </c>
      <c r="H7" s="7" t="s">
        <v>53</v>
      </c>
      <c r="I7" s="7" t="s">
        <v>7</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234</v>
      </c>
      <c r="C8" s="17" t="s">
        <v>123</v>
      </c>
      <c r="D8" s="18" t="s">
        <v>133</v>
      </c>
      <c r="E8" s="18" t="s">
        <v>134</v>
      </c>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c r="V8" s="7"/>
    </row>
    <row r="9" spans="1:22" x14ac:dyDescent="0.25">
      <c r="A9" s="19" t="str">
        <f t="shared" si="0"/>
        <v>COMPLETO</v>
      </c>
      <c r="B9" s="20" t="s">
        <v>235</v>
      </c>
      <c r="C9" s="17" t="s">
        <v>124</v>
      </c>
      <c r="D9" s="18" t="s">
        <v>135</v>
      </c>
      <c r="E9" s="18" t="s">
        <v>136</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236</v>
      </c>
      <c r="C10" s="17" t="s">
        <v>125</v>
      </c>
      <c r="D10" s="18" t="s">
        <v>137</v>
      </c>
      <c r="E10" s="18" t="s">
        <v>138</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c r="V10" s="7"/>
    </row>
    <row r="11" spans="1:22" x14ac:dyDescent="0.25">
      <c r="A11" s="19" t="str">
        <f t="shared" si="0"/>
        <v>COMPLETO</v>
      </c>
      <c r="B11" s="20" t="s">
        <v>237</v>
      </c>
      <c r="C11" s="17" t="s">
        <v>126</v>
      </c>
      <c r="D11" s="18" t="s">
        <v>139</v>
      </c>
      <c r="E11" s="18" t="s">
        <v>140</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238</v>
      </c>
      <c r="C12" s="17" t="s">
        <v>127</v>
      </c>
      <c r="D12" s="18" t="s">
        <v>141</v>
      </c>
      <c r="E12" s="18" t="s">
        <v>142</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COMPLETO</v>
      </c>
      <c r="B13" s="20" t="s">
        <v>239</v>
      </c>
      <c r="C13" s="17" t="s">
        <v>1409</v>
      </c>
      <c r="D13" s="18" t="s">
        <v>143</v>
      </c>
      <c r="E13" s="18" t="s">
        <v>1408</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c r="V13" s="7"/>
    </row>
    <row r="14" spans="1:22" x14ac:dyDescent="0.25">
      <c r="A14" s="19" t="str">
        <f t="shared" si="0"/>
        <v>COMPLETO</v>
      </c>
      <c r="B14" s="20" t="s">
        <v>240</v>
      </c>
      <c r="C14" s="17" t="s">
        <v>128</v>
      </c>
      <c r="D14" s="18" t="s">
        <v>144</v>
      </c>
      <c r="E14" s="18" t="s">
        <v>145</v>
      </c>
      <c r="F14" s="7" t="s">
        <v>53</v>
      </c>
      <c r="G14" s="7" t="s">
        <v>53</v>
      </c>
      <c r="H14" s="7" t="s">
        <v>53</v>
      </c>
      <c r="I14" s="7" t="s">
        <v>53</v>
      </c>
      <c r="J14" s="11" t="s">
        <v>9</v>
      </c>
      <c r="K14" s="11" t="s">
        <v>9</v>
      </c>
      <c r="L14" s="7" t="s">
        <v>9</v>
      </c>
      <c r="M14" s="11" t="s">
        <v>9</v>
      </c>
      <c r="N14" s="11" t="s">
        <v>9</v>
      </c>
      <c r="O14" s="11" t="s">
        <v>9</v>
      </c>
      <c r="P14" s="7" t="s">
        <v>9</v>
      </c>
      <c r="Q14" s="8" t="s">
        <v>7</v>
      </c>
      <c r="R14" s="7" t="s">
        <v>9</v>
      </c>
      <c r="S14" s="7" t="s">
        <v>9</v>
      </c>
      <c r="T14" s="12" t="s">
        <v>9</v>
      </c>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 ref="R1:R2"/>
    <mergeCell ref="S1:S2"/>
    <mergeCell ref="T1:T2"/>
    <mergeCell ref="U1:U2"/>
    <mergeCell ref="V1:V2"/>
  </mergeCells>
  <conditionalFormatting sqref="F5:V44 G3:T4">
    <cfRule type="cellIs" dxfId="353" priority="33" operator="equal">
      <formula>"F"</formula>
    </cfRule>
    <cfRule type="cellIs" dxfId="352" priority="34" operator="equal">
      <formula>"OK"</formula>
    </cfRule>
    <cfRule type="cellIs" dxfId="351" priority="35" operator="between">
      <formula>6</formula>
      <formula>18</formula>
    </cfRule>
  </conditionalFormatting>
  <conditionalFormatting sqref="C1:E1 A2:E2 C3:C4 E4 A5:E1048576">
    <cfRule type="expression" dxfId="350" priority="31">
      <formula>$A1="FALTA"</formula>
    </cfRule>
    <cfRule type="expression" dxfId="349" priority="32">
      <formula>$A1="COMPLETO"</formula>
    </cfRule>
  </conditionalFormatting>
  <conditionalFormatting sqref="B3">
    <cfRule type="expression" dxfId="348" priority="21">
      <formula>$A3="FALTA"</formula>
    </cfRule>
    <cfRule type="expression" dxfId="347" priority="22">
      <formula>$A3="COMPLETO"</formula>
    </cfRule>
  </conditionalFormatting>
  <conditionalFormatting sqref="E3">
    <cfRule type="expression" dxfId="346" priority="19">
      <formula>$A3="FALTA"</formula>
    </cfRule>
    <cfRule type="expression" dxfId="345" priority="20">
      <formula>$A3="COMPLETO"</formula>
    </cfRule>
  </conditionalFormatting>
  <conditionalFormatting sqref="D3:D4">
    <cfRule type="expression" dxfId="344" priority="17">
      <formula>$A3="FALTA"</formula>
    </cfRule>
    <cfRule type="expression" dxfId="343" priority="18">
      <formula>$A3="COMPLETO"</formula>
    </cfRule>
  </conditionalFormatting>
  <conditionalFormatting sqref="F4">
    <cfRule type="cellIs" dxfId="342" priority="14" operator="equal">
      <formula>"F"</formula>
    </cfRule>
    <cfRule type="cellIs" dxfId="341" priority="15" operator="equal">
      <formula>"OK"</formula>
    </cfRule>
    <cfRule type="cellIs" dxfId="340" priority="16" operator="between">
      <formula>6</formula>
      <formula>18</formula>
    </cfRule>
  </conditionalFormatting>
  <conditionalFormatting sqref="A1:B1">
    <cfRule type="expression" dxfId="339" priority="12">
      <formula>$A1="FALTA"</formula>
    </cfRule>
    <cfRule type="expression" dxfId="338" priority="13">
      <formula>$A1="COMPLETO"</formula>
    </cfRule>
  </conditionalFormatting>
  <conditionalFormatting sqref="U3:V3">
    <cfRule type="cellIs" dxfId="337" priority="6" operator="equal">
      <formula>"F"</formula>
    </cfRule>
    <cfRule type="cellIs" dxfId="336" priority="7" operator="equal">
      <formula>"OK"</formula>
    </cfRule>
    <cfRule type="cellIs" dxfId="335" priority="8" operator="between">
      <formula>6</formula>
      <formula>18</formula>
    </cfRule>
  </conditionalFormatting>
  <conditionalFormatting sqref="F3">
    <cfRule type="cellIs" dxfId="334" priority="3" operator="equal">
      <formula>"F"</formula>
    </cfRule>
    <cfRule type="cellIs" dxfId="333" priority="4" operator="equal">
      <formula>"OK"</formula>
    </cfRule>
    <cfRule type="cellIs" dxfId="332" priority="5" operator="between">
      <formula>6</formula>
      <formula>18</formula>
    </cfRule>
  </conditionalFormatting>
  <conditionalFormatting sqref="A3">
    <cfRule type="expression" dxfId="331" priority="1">
      <formula>$A3="FALTA"</formula>
    </cfRule>
    <cfRule type="expression" dxfId="330"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2">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ZMoncayo 6</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COMPLETO</v>
      </c>
      <c r="B3" s="385" t="s">
        <v>116</v>
      </c>
      <c r="C3" s="23" t="s">
        <v>1085</v>
      </c>
      <c r="D3" s="29" t="s">
        <v>5</v>
      </c>
      <c r="E3" s="10" t="s">
        <v>1743</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1"/>
      <c r="V3" s="381"/>
    </row>
    <row r="4" spans="1:22" x14ac:dyDescent="0.25">
      <c r="A4" s="384"/>
      <c r="B4" s="386"/>
      <c r="C4" s="23" t="s">
        <v>1333</v>
      </c>
      <c r="D4" s="29" t="s">
        <v>6</v>
      </c>
      <c r="E4" s="10"/>
      <c r="F4" s="30">
        <f>COUNTIF(A5:A44,"*COMPLETO*")/COUNTA(A5:A44)</f>
        <v>0.8</v>
      </c>
      <c r="G4" s="24"/>
      <c r="H4" s="24" t="s">
        <v>18</v>
      </c>
      <c r="I4" s="11" t="s">
        <v>53</v>
      </c>
      <c r="J4" s="24"/>
      <c r="K4" s="24"/>
      <c r="L4" s="24" t="s">
        <v>23</v>
      </c>
      <c r="M4" s="11" t="s">
        <v>53</v>
      </c>
      <c r="N4" s="24"/>
      <c r="O4" s="24"/>
      <c r="P4" s="11"/>
      <c r="Q4" s="24" t="s">
        <v>26</v>
      </c>
      <c r="R4" s="11" t="s">
        <v>53</v>
      </c>
      <c r="S4" s="24" t="s">
        <v>19</v>
      </c>
      <c r="T4" s="11" t="s">
        <v>53</v>
      </c>
      <c r="U4" s="382"/>
      <c r="V4" s="382"/>
    </row>
    <row r="5" spans="1:22" ht="15" customHeight="1" x14ac:dyDescent="0.25">
      <c r="A5" s="19" t="str">
        <f>IF(COUNTIF(F5:V5,"F")&gt;0,"FALTA","COMPLETO")</f>
        <v>COMPLETO</v>
      </c>
      <c r="B5" s="20" t="s">
        <v>231</v>
      </c>
      <c r="C5" s="17" t="s">
        <v>1753</v>
      </c>
      <c r="D5" s="18"/>
      <c r="E5" s="18" t="s">
        <v>2437</v>
      </c>
      <c r="F5" s="7" t="s">
        <v>53</v>
      </c>
      <c r="G5" s="7" t="s">
        <v>53</v>
      </c>
      <c r="H5" s="7"/>
      <c r="I5" s="7" t="s">
        <v>9</v>
      </c>
      <c r="J5" s="11" t="s">
        <v>9</v>
      </c>
      <c r="K5" s="11" t="s">
        <v>9</v>
      </c>
      <c r="L5" s="7" t="s">
        <v>9</v>
      </c>
      <c r="M5" s="11" t="s">
        <v>9</v>
      </c>
      <c r="N5" s="11" t="s">
        <v>9</v>
      </c>
      <c r="O5" s="11" t="s">
        <v>9</v>
      </c>
      <c r="P5" s="7" t="s">
        <v>9</v>
      </c>
      <c r="Q5" s="8" t="s">
        <v>9</v>
      </c>
      <c r="R5" s="7" t="s">
        <v>9</v>
      </c>
      <c r="S5" s="7" t="s">
        <v>9</v>
      </c>
      <c r="T5" s="12" t="s">
        <v>9</v>
      </c>
      <c r="U5" s="7"/>
      <c r="V5" s="7"/>
    </row>
    <row r="6" spans="1:22" ht="15" customHeight="1" x14ac:dyDescent="0.25">
      <c r="A6" s="19" t="str">
        <f t="shared" ref="A6:A14" si="0">IF(COUNTIF(F6:V6,"F")&gt;0,"FALTA","COMPLETO")</f>
        <v>FALTA</v>
      </c>
      <c r="B6" s="20" t="s">
        <v>1752</v>
      </c>
      <c r="C6" s="17" t="s">
        <v>1754</v>
      </c>
      <c r="D6" s="18"/>
      <c r="E6" s="18" t="s">
        <v>1755</v>
      </c>
      <c r="F6" s="7" t="s">
        <v>8</v>
      </c>
      <c r="G6" s="7" t="s">
        <v>8</v>
      </c>
      <c r="H6" s="7"/>
      <c r="I6" s="7" t="s">
        <v>9</v>
      </c>
      <c r="J6" s="11" t="s">
        <v>9</v>
      </c>
      <c r="K6" s="11" t="s">
        <v>9</v>
      </c>
      <c r="L6" s="7" t="s">
        <v>9</v>
      </c>
      <c r="M6" s="11" t="s">
        <v>9</v>
      </c>
      <c r="N6" s="11" t="s">
        <v>9</v>
      </c>
      <c r="O6" s="11" t="s">
        <v>9</v>
      </c>
      <c r="P6" s="7" t="s">
        <v>9</v>
      </c>
      <c r="Q6" s="8" t="s">
        <v>9</v>
      </c>
      <c r="R6" s="7" t="s">
        <v>9</v>
      </c>
      <c r="S6" s="7" t="s">
        <v>9</v>
      </c>
      <c r="T6" s="12" t="s">
        <v>9</v>
      </c>
      <c r="U6" s="7"/>
      <c r="V6" s="7"/>
    </row>
    <row r="7" spans="1:22" ht="15" customHeight="1" x14ac:dyDescent="0.25">
      <c r="A7" s="19" t="str">
        <f t="shared" si="0"/>
        <v>COMPLETO</v>
      </c>
      <c r="B7" s="20" t="s">
        <v>233</v>
      </c>
      <c r="C7" s="17" t="s">
        <v>1756</v>
      </c>
      <c r="D7" s="18"/>
      <c r="E7" s="18" t="s">
        <v>1772</v>
      </c>
      <c r="F7" s="7" t="s">
        <v>53</v>
      </c>
      <c r="G7" s="7" t="s">
        <v>53</v>
      </c>
      <c r="H7" s="7"/>
      <c r="I7" s="7" t="s">
        <v>9</v>
      </c>
      <c r="J7" s="11" t="s">
        <v>9</v>
      </c>
      <c r="K7" s="11" t="s">
        <v>9</v>
      </c>
      <c r="L7" s="7" t="s">
        <v>9</v>
      </c>
      <c r="M7" s="11" t="s">
        <v>9</v>
      </c>
      <c r="N7" s="11" t="s">
        <v>9</v>
      </c>
      <c r="O7" s="11" t="s">
        <v>9</v>
      </c>
      <c r="P7" s="7" t="s">
        <v>9</v>
      </c>
      <c r="Q7" s="8" t="s">
        <v>9</v>
      </c>
      <c r="R7" s="7" t="s">
        <v>9</v>
      </c>
      <c r="S7" s="7" t="s">
        <v>9</v>
      </c>
      <c r="T7" s="12" t="s">
        <v>9</v>
      </c>
      <c r="U7" s="7"/>
      <c r="V7" s="7"/>
    </row>
    <row r="8" spans="1:22" x14ac:dyDescent="0.25">
      <c r="A8" s="19" t="str">
        <f t="shared" si="0"/>
        <v>COMPLETO</v>
      </c>
      <c r="B8" s="20" t="s">
        <v>234</v>
      </c>
      <c r="C8" s="17" t="s">
        <v>1757</v>
      </c>
      <c r="D8" s="18"/>
      <c r="E8" s="18" t="s">
        <v>2590</v>
      </c>
      <c r="F8" s="7" t="s">
        <v>53</v>
      </c>
      <c r="G8" s="7" t="s">
        <v>53</v>
      </c>
      <c r="H8" s="7"/>
      <c r="I8" s="7" t="s">
        <v>9</v>
      </c>
      <c r="J8" s="11" t="s">
        <v>9</v>
      </c>
      <c r="K8" s="11" t="s">
        <v>9</v>
      </c>
      <c r="L8" s="7" t="s">
        <v>9</v>
      </c>
      <c r="M8" s="11" t="s">
        <v>9</v>
      </c>
      <c r="N8" s="11" t="s">
        <v>9</v>
      </c>
      <c r="O8" s="11" t="s">
        <v>9</v>
      </c>
      <c r="P8" s="7" t="s">
        <v>9</v>
      </c>
      <c r="Q8" s="8" t="s">
        <v>9</v>
      </c>
      <c r="R8" s="7" t="s">
        <v>9</v>
      </c>
      <c r="S8" s="7" t="s">
        <v>9</v>
      </c>
      <c r="T8" s="12" t="s">
        <v>9</v>
      </c>
      <c r="U8" s="7"/>
      <c r="V8" s="7"/>
    </row>
    <row r="9" spans="1:22" x14ac:dyDescent="0.25">
      <c r="A9" s="19" t="str">
        <f t="shared" si="0"/>
        <v>COMPLETO</v>
      </c>
      <c r="B9" s="20" t="s">
        <v>235</v>
      </c>
      <c r="C9" s="17" t="s">
        <v>2477</v>
      </c>
      <c r="D9" s="18"/>
      <c r="E9" s="18" t="s">
        <v>2476</v>
      </c>
      <c r="F9" s="7" t="s">
        <v>53</v>
      </c>
      <c r="G9" s="7" t="s">
        <v>53</v>
      </c>
      <c r="H9" s="7"/>
      <c r="I9" s="7" t="s">
        <v>9</v>
      </c>
      <c r="J9" s="11" t="s">
        <v>9</v>
      </c>
      <c r="K9" s="11" t="s">
        <v>9</v>
      </c>
      <c r="L9" s="7" t="s">
        <v>9</v>
      </c>
      <c r="M9" s="11" t="s">
        <v>9</v>
      </c>
      <c r="N9" s="11" t="s">
        <v>9</v>
      </c>
      <c r="O9" s="11" t="s">
        <v>9</v>
      </c>
      <c r="P9" s="7" t="s">
        <v>9</v>
      </c>
      <c r="Q9" s="8" t="s">
        <v>9</v>
      </c>
      <c r="R9" s="7" t="s">
        <v>9</v>
      </c>
      <c r="S9" s="7" t="s">
        <v>9</v>
      </c>
      <c r="T9" s="12" t="s">
        <v>9</v>
      </c>
      <c r="U9" s="7"/>
      <c r="V9" s="7"/>
    </row>
    <row r="10" spans="1:22" x14ac:dyDescent="0.25">
      <c r="A10" s="19" t="str">
        <f t="shared" si="0"/>
        <v>COMPLETO</v>
      </c>
      <c r="B10" s="20" t="s">
        <v>236</v>
      </c>
      <c r="C10" s="17" t="s">
        <v>1758</v>
      </c>
      <c r="D10" s="18"/>
      <c r="E10" s="18" t="s">
        <v>2592</v>
      </c>
      <c r="F10" s="7" t="s">
        <v>53</v>
      </c>
      <c r="G10" s="7" t="s">
        <v>53</v>
      </c>
      <c r="H10" s="7"/>
      <c r="I10" s="7" t="s">
        <v>53</v>
      </c>
      <c r="J10" s="11" t="s">
        <v>9</v>
      </c>
      <c r="K10" s="11" t="s">
        <v>9</v>
      </c>
      <c r="L10" s="7" t="s">
        <v>9</v>
      </c>
      <c r="M10" s="11" t="s">
        <v>9</v>
      </c>
      <c r="N10" s="11" t="s">
        <v>9</v>
      </c>
      <c r="O10" s="11" t="s">
        <v>9</v>
      </c>
      <c r="P10" s="7" t="s">
        <v>9</v>
      </c>
      <c r="Q10" s="8" t="s">
        <v>9</v>
      </c>
      <c r="R10" s="7" t="s">
        <v>9</v>
      </c>
      <c r="S10" s="7" t="s">
        <v>9</v>
      </c>
      <c r="T10" s="12" t="s">
        <v>9</v>
      </c>
      <c r="U10" s="7"/>
      <c r="V10" s="7"/>
    </row>
    <row r="11" spans="1:22" x14ac:dyDescent="0.25">
      <c r="A11" s="19" t="str">
        <f t="shared" si="0"/>
        <v>COMPLETO</v>
      </c>
      <c r="B11" s="20" t="s">
        <v>237</v>
      </c>
      <c r="C11" s="17" t="s">
        <v>1757</v>
      </c>
      <c r="D11" s="18"/>
      <c r="E11" s="18" t="s">
        <v>2590</v>
      </c>
      <c r="F11" s="7" t="s">
        <v>53</v>
      </c>
      <c r="G11" s="7" t="s">
        <v>53</v>
      </c>
      <c r="H11" s="7"/>
      <c r="I11" s="7" t="s">
        <v>53</v>
      </c>
      <c r="J11" s="11" t="s">
        <v>9</v>
      </c>
      <c r="K11" s="11" t="s">
        <v>9</v>
      </c>
      <c r="L11" s="7" t="s">
        <v>9</v>
      </c>
      <c r="M11" s="11" t="s">
        <v>9</v>
      </c>
      <c r="N11" s="11" t="s">
        <v>9</v>
      </c>
      <c r="O11" s="11" t="s">
        <v>9</v>
      </c>
      <c r="P11" s="7" t="s">
        <v>9</v>
      </c>
      <c r="Q11" s="8" t="s">
        <v>9</v>
      </c>
      <c r="R11" s="7" t="s">
        <v>9</v>
      </c>
      <c r="S11" s="7" t="s">
        <v>9</v>
      </c>
      <c r="T11" s="12" t="s">
        <v>9</v>
      </c>
      <c r="U11" s="7"/>
      <c r="V11" s="7"/>
    </row>
    <row r="12" spans="1:22" x14ac:dyDescent="0.25">
      <c r="A12" s="19" t="str">
        <f t="shared" si="0"/>
        <v>COMPLETO</v>
      </c>
      <c r="B12" s="20" t="s">
        <v>238</v>
      </c>
      <c r="C12" s="17" t="s">
        <v>1759</v>
      </c>
      <c r="D12" s="18"/>
      <c r="E12" s="18" t="s">
        <v>2591</v>
      </c>
      <c r="F12" s="7" t="s">
        <v>53</v>
      </c>
      <c r="G12" s="7" t="s">
        <v>53</v>
      </c>
      <c r="H12" s="7"/>
      <c r="I12" s="7" t="s">
        <v>53</v>
      </c>
      <c r="J12" s="11" t="s">
        <v>9</v>
      </c>
      <c r="K12" s="11" t="s">
        <v>9</v>
      </c>
      <c r="L12" s="7" t="s">
        <v>9</v>
      </c>
      <c r="M12" s="11" t="s">
        <v>9</v>
      </c>
      <c r="N12" s="11" t="s">
        <v>9</v>
      </c>
      <c r="O12" s="11" t="s">
        <v>9</v>
      </c>
      <c r="P12" s="7" t="s">
        <v>9</v>
      </c>
      <c r="Q12" s="8" t="s">
        <v>9</v>
      </c>
      <c r="R12" s="7" t="s">
        <v>9</v>
      </c>
      <c r="S12" s="7" t="s">
        <v>9</v>
      </c>
      <c r="T12" s="12" t="s">
        <v>9</v>
      </c>
      <c r="U12" s="7"/>
      <c r="V12" s="7"/>
    </row>
    <row r="13" spans="1:22" x14ac:dyDescent="0.25">
      <c r="A13" s="19" t="str">
        <f t="shared" si="0"/>
        <v>COMPLETO</v>
      </c>
      <c r="B13" s="20" t="s">
        <v>239</v>
      </c>
      <c r="C13" s="17" t="s">
        <v>1760</v>
      </c>
      <c r="D13" s="18"/>
      <c r="E13" s="18" t="s">
        <v>1761</v>
      </c>
      <c r="F13" s="7" t="s">
        <v>53</v>
      </c>
      <c r="G13" s="7" t="s">
        <v>53</v>
      </c>
      <c r="H13" s="7"/>
      <c r="I13" s="7" t="s">
        <v>53</v>
      </c>
      <c r="J13" s="11" t="s">
        <v>9</v>
      </c>
      <c r="K13" s="11" t="s">
        <v>9</v>
      </c>
      <c r="L13" s="7" t="s">
        <v>9</v>
      </c>
      <c r="M13" s="11" t="s">
        <v>9</v>
      </c>
      <c r="N13" s="11" t="s">
        <v>9</v>
      </c>
      <c r="O13" s="11" t="s">
        <v>9</v>
      </c>
      <c r="P13" s="7" t="s">
        <v>9</v>
      </c>
      <c r="Q13" s="8" t="s">
        <v>9</v>
      </c>
      <c r="R13" s="7" t="s">
        <v>9</v>
      </c>
      <c r="S13" s="7" t="s">
        <v>9</v>
      </c>
      <c r="T13" s="12" t="s">
        <v>9</v>
      </c>
      <c r="U13" s="7"/>
      <c r="V13" s="7"/>
    </row>
    <row r="14" spans="1:22" x14ac:dyDescent="0.25">
      <c r="A14" s="19" t="str">
        <f t="shared" si="0"/>
        <v>FALTA</v>
      </c>
      <c r="B14" s="20" t="s">
        <v>240</v>
      </c>
      <c r="C14" s="17" t="s">
        <v>1762</v>
      </c>
      <c r="D14" s="18"/>
      <c r="E14" s="18" t="s">
        <v>1763</v>
      </c>
      <c r="F14" s="7" t="s">
        <v>8</v>
      </c>
      <c r="G14" s="7" t="s">
        <v>8</v>
      </c>
      <c r="H14" s="7"/>
      <c r="I14" s="7" t="s">
        <v>9</v>
      </c>
      <c r="J14" s="11" t="s">
        <v>9</v>
      </c>
      <c r="K14" s="11" t="s">
        <v>9</v>
      </c>
      <c r="L14" s="7" t="s">
        <v>9</v>
      </c>
      <c r="M14" s="11" t="s">
        <v>9</v>
      </c>
      <c r="N14" s="11" t="s">
        <v>9</v>
      </c>
      <c r="O14" s="11" t="s">
        <v>9</v>
      </c>
      <c r="P14" s="7" t="s">
        <v>9</v>
      </c>
      <c r="Q14" s="8" t="s">
        <v>9</v>
      </c>
      <c r="R14" s="7" t="s">
        <v>9</v>
      </c>
      <c r="S14" s="7" t="s">
        <v>9</v>
      </c>
      <c r="T14" s="12" t="s">
        <v>9</v>
      </c>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s>
  <conditionalFormatting sqref="F5:V44 G3:T4">
    <cfRule type="cellIs" dxfId="329" priority="20" operator="equal">
      <formula>"F"</formula>
    </cfRule>
    <cfRule type="cellIs" dxfId="328" priority="21" operator="equal">
      <formula>"OK"</formula>
    </cfRule>
    <cfRule type="cellIs" dxfId="327" priority="22" operator="between">
      <formula>6</formula>
      <formula>18</formula>
    </cfRule>
  </conditionalFormatting>
  <conditionalFormatting sqref="C1:E1 A2:E2 C3:C4 E3:E4 A5:E1048576">
    <cfRule type="expression" dxfId="326" priority="18">
      <formula>$A1="FALTA"</formula>
    </cfRule>
    <cfRule type="expression" dxfId="325" priority="19">
      <formula>$A1="COMPLETO"</formula>
    </cfRule>
  </conditionalFormatting>
  <conditionalFormatting sqref="D3:D4">
    <cfRule type="expression" dxfId="324" priority="14">
      <formula>$A3="FALTA"</formula>
    </cfRule>
    <cfRule type="expression" dxfId="323" priority="15">
      <formula>$A3="COMPLETO"</formula>
    </cfRule>
  </conditionalFormatting>
  <conditionalFormatting sqref="B3">
    <cfRule type="expression" dxfId="322" priority="16">
      <formula>$A3="FALTA"</formula>
    </cfRule>
    <cfRule type="expression" dxfId="321" priority="17">
      <formula>$A3="COMPLETO"</formula>
    </cfRule>
  </conditionalFormatting>
  <conditionalFormatting sqref="F4">
    <cfRule type="cellIs" dxfId="320" priority="11" operator="equal">
      <formula>"F"</formula>
    </cfRule>
    <cfRule type="cellIs" dxfId="319" priority="12" operator="equal">
      <formula>"OK"</formula>
    </cfRule>
    <cfRule type="cellIs" dxfId="318" priority="13" operator="between">
      <formula>6</formula>
      <formula>18</formula>
    </cfRule>
  </conditionalFormatting>
  <conditionalFormatting sqref="A1:B1">
    <cfRule type="expression" dxfId="317" priority="9">
      <formula>$A1="FALTA"</formula>
    </cfRule>
    <cfRule type="expression" dxfId="316" priority="10">
      <formula>$A1="COMPLETO"</formula>
    </cfRule>
  </conditionalFormatting>
  <conditionalFormatting sqref="U3:V3">
    <cfRule type="cellIs" dxfId="315" priority="6" operator="equal">
      <formula>"F"</formula>
    </cfRule>
    <cfRule type="cellIs" dxfId="314" priority="7" operator="equal">
      <formula>"OK"</formula>
    </cfRule>
    <cfRule type="cellIs" dxfId="313" priority="8" operator="between">
      <formula>6</formula>
      <formula>18</formula>
    </cfRule>
  </conditionalFormatting>
  <conditionalFormatting sqref="F3">
    <cfRule type="cellIs" dxfId="312" priority="3" operator="equal">
      <formula>"F"</formula>
    </cfRule>
    <cfRule type="cellIs" dxfId="311" priority="4" operator="equal">
      <formula>"OK"</formula>
    </cfRule>
    <cfRule type="cellIs" dxfId="310" priority="5" operator="between">
      <formula>6</formula>
      <formula>18</formula>
    </cfRule>
  </conditionalFormatting>
  <conditionalFormatting sqref="A3">
    <cfRule type="expression" dxfId="309" priority="1">
      <formula>$A3="FALTA"</formula>
    </cfRule>
    <cfRule type="expression" dxfId="308"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4">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ZNuestra Señora de la Oliva 110</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COMPLETO</v>
      </c>
      <c r="B3" s="385" t="s">
        <v>116</v>
      </c>
      <c r="C3" s="23" t="s">
        <v>0</v>
      </c>
      <c r="D3" s="29" t="s">
        <v>5</v>
      </c>
      <c r="E3" s="28" t="s">
        <v>0</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1"/>
      <c r="V3" s="381"/>
    </row>
    <row r="4" spans="1:22" x14ac:dyDescent="0.25">
      <c r="A4" s="384"/>
      <c r="B4" s="386"/>
      <c r="C4" s="23" t="s">
        <v>1034</v>
      </c>
      <c r="D4" s="29" t="s">
        <v>6</v>
      </c>
      <c r="E4" s="10" t="s">
        <v>1036</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2"/>
      <c r="V4" s="382"/>
    </row>
    <row r="5" spans="1:22" ht="15" customHeight="1" x14ac:dyDescent="0.25">
      <c r="A5" s="19" t="str">
        <f>IF(COUNTIF(F5:V5,"F")&gt;0,"FALTA","COMPLETO")</f>
        <v>COMPLETO</v>
      </c>
      <c r="B5" s="20" t="s">
        <v>1026</v>
      </c>
      <c r="C5" s="21" t="s">
        <v>4</v>
      </c>
      <c r="D5" s="18" t="s">
        <v>1037</v>
      </c>
      <c r="E5" s="18" t="s">
        <v>10</v>
      </c>
      <c r="F5" s="7" t="s">
        <v>7</v>
      </c>
      <c r="G5" s="7" t="s">
        <v>7</v>
      </c>
      <c r="H5" s="7" t="s">
        <v>53</v>
      </c>
      <c r="I5" s="7" t="s">
        <v>9</v>
      </c>
      <c r="J5" s="11" t="s">
        <v>9</v>
      </c>
      <c r="K5" s="11" t="s">
        <v>9</v>
      </c>
      <c r="L5" s="7" t="s">
        <v>9</v>
      </c>
      <c r="M5" s="11" t="s">
        <v>9</v>
      </c>
      <c r="N5" s="11" t="s">
        <v>9</v>
      </c>
      <c r="O5" s="11" t="s">
        <v>9</v>
      </c>
      <c r="P5" s="7" t="s">
        <v>9</v>
      </c>
      <c r="Q5" s="8" t="s">
        <v>7</v>
      </c>
      <c r="R5" s="7" t="s">
        <v>9</v>
      </c>
      <c r="S5" s="7" t="s">
        <v>9</v>
      </c>
      <c r="T5" s="12" t="s">
        <v>53</v>
      </c>
      <c r="U5" s="7"/>
      <c r="V5" s="7"/>
    </row>
    <row r="6" spans="1:22" ht="15" customHeight="1" x14ac:dyDescent="0.25">
      <c r="A6" s="19" t="str">
        <f t="shared" ref="A6:A14" si="0">IF(COUNTIF(F6:V6,"F")&gt;0,"FALTA","COMPLETO")</f>
        <v>COMPLETO</v>
      </c>
      <c r="B6" s="20" t="s">
        <v>153</v>
      </c>
      <c r="C6" s="17" t="s">
        <v>1027</v>
      </c>
      <c r="D6" s="18" t="s">
        <v>1038</v>
      </c>
      <c r="E6" s="18" t="s">
        <v>1039</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158</v>
      </c>
      <c r="C7" s="17" t="s">
        <v>1028</v>
      </c>
      <c r="D7" s="18" t="s">
        <v>1040</v>
      </c>
      <c r="E7" s="18" t="s">
        <v>1041</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160</v>
      </c>
      <c r="C8" s="17" t="s">
        <v>1029</v>
      </c>
      <c r="D8" s="18" t="s">
        <v>1042</v>
      </c>
      <c r="E8" s="18" t="s">
        <v>1043</v>
      </c>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c r="V8" s="7"/>
    </row>
    <row r="9" spans="1:22" x14ac:dyDescent="0.25">
      <c r="A9" s="19" t="str">
        <f t="shared" si="0"/>
        <v>COMPLETO</v>
      </c>
      <c r="B9" s="20" t="s">
        <v>166</v>
      </c>
      <c r="C9" s="17" t="s">
        <v>1030</v>
      </c>
      <c r="D9" s="18" t="s">
        <v>1044</v>
      </c>
      <c r="E9" s="18" t="s">
        <v>1045</v>
      </c>
      <c r="F9" s="7" t="s">
        <v>53</v>
      </c>
      <c r="G9" s="7" t="s">
        <v>53</v>
      </c>
      <c r="H9" s="7" t="s">
        <v>53</v>
      </c>
      <c r="I9" s="7" t="s">
        <v>9</v>
      </c>
      <c r="J9" s="11" t="s">
        <v>9</v>
      </c>
      <c r="K9" s="11" t="s">
        <v>9</v>
      </c>
      <c r="L9" s="7" t="s">
        <v>9</v>
      </c>
      <c r="M9" s="11" t="s">
        <v>53</v>
      </c>
      <c r="N9" s="11" t="s">
        <v>53</v>
      </c>
      <c r="O9" s="11" t="s">
        <v>53</v>
      </c>
      <c r="P9" s="7" t="s">
        <v>9</v>
      </c>
      <c r="Q9" s="8" t="s">
        <v>7</v>
      </c>
      <c r="R9" s="7" t="s">
        <v>9</v>
      </c>
      <c r="S9" s="7" t="s">
        <v>9</v>
      </c>
      <c r="T9" s="12" t="s">
        <v>9</v>
      </c>
      <c r="U9" s="7"/>
      <c r="V9" s="7"/>
    </row>
    <row r="10" spans="1:22" x14ac:dyDescent="0.25">
      <c r="A10" s="19" t="str">
        <f t="shared" si="0"/>
        <v>COMPLETO</v>
      </c>
      <c r="B10" s="20" t="s">
        <v>168</v>
      </c>
      <c r="C10" s="17" t="s">
        <v>1031</v>
      </c>
      <c r="D10" s="18" t="s">
        <v>1046</v>
      </c>
      <c r="E10" s="18" t="s">
        <v>1047</v>
      </c>
      <c r="F10" s="7" t="s">
        <v>53</v>
      </c>
      <c r="G10" s="7" t="s">
        <v>53</v>
      </c>
      <c r="H10" s="7" t="s">
        <v>53</v>
      </c>
      <c r="I10" s="7" t="s">
        <v>9</v>
      </c>
      <c r="J10" s="11" t="s">
        <v>9</v>
      </c>
      <c r="K10" s="11" t="s">
        <v>9</v>
      </c>
      <c r="L10" s="7" t="s">
        <v>9</v>
      </c>
      <c r="M10" s="11" t="s">
        <v>9</v>
      </c>
      <c r="N10" s="11" t="s">
        <v>9</v>
      </c>
      <c r="O10" s="11" t="s">
        <v>9</v>
      </c>
      <c r="P10" s="7">
        <v>18</v>
      </c>
      <c r="Q10" s="8" t="s">
        <v>53</v>
      </c>
      <c r="R10" s="7" t="s">
        <v>53</v>
      </c>
      <c r="S10" s="7"/>
      <c r="T10" s="12" t="s">
        <v>9</v>
      </c>
      <c r="U10" s="7"/>
      <c r="V10" s="7"/>
    </row>
    <row r="11" spans="1:22" x14ac:dyDescent="0.25">
      <c r="A11" s="19" t="str">
        <f t="shared" si="0"/>
        <v>COMPLETO</v>
      </c>
      <c r="B11" s="20" t="s">
        <v>174</v>
      </c>
      <c r="C11" s="17" t="s">
        <v>1032</v>
      </c>
      <c r="D11" s="18" t="s">
        <v>1048</v>
      </c>
      <c r="E11" s="18" t="s">
        <v>1049</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175</v>
      </c>
      <c r="C12" s="17" t="s">
        <v>1033</v>
      </c>
      <c r="D12" s="18" t="s">
        <v>1050</v>
      </c>
      <c r="E12" s="18" t="s">
        <v>1051</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COMPLETO</v>
      </c>
      <c r="B13" s="20" t="s">
        <v>181</v>
      </c>
      <c r="C13" s="17" t="s">
        <v>1034</v>
      </c>
      <c r="D13" s="18" t="s">
        <v>1052</v>
      </c>
      <c r="E13" s="18" t="s">
        <v>1053</v>
      </c>
      <c r="F13" s="7" t="s">
        <v>53</v>
      </c>
      <c r="G13" s="7" t="s">
        <v>53</v>
      </c>
      <c r="H13" s="7" t="s">
        <v>53</v>
      </c>
      <c r="I13" s="7" t="s">
        <v>53</v>
      </c>
      <c r="J13" s="11" t="s">
        <v>9</v>
      </c>
      <c r="K13" s="11" t="s">
        <v>9</v>
      </c>
      <c r="L13" s="7" t="s">
        <v>9</v>
      </c>
      <c r="M13" s="11" t="s">
        <v>9</v>
      </c>
      <c r="N13" s="11" t="s">
        <v>9</v>
      </c>
      <c r="O13" s="11" t="s">
        <v>9</v>
      </c>
      <c r="P13" s="7" t="s">
        <v>9</v>
      </c>
      <c r="Q13" s="8" t="s">
        <v>7</v>
      </c>
      <c r="R13" s="7" t="s">
        <v>9</v>
      </c>
      <c r="S13" s="7" t="s">
        <v>9</v>
      </c>
      <c r="T13" s="12" t="s">
        <v>9</v>
      </c>
      <c r="U13" s="7"/>
      <c r="V13" s="7"/>
    </row>
    <row r="14" spans="1:22" x14ac:dyDescent="0.25">
      <c r="A14" s="19" t="str">
        <f t="shared" si="0"/>
        <v>COMPLETO</v>
      </c>
      <c r="B14" s="20" t="s">
        <v>183</v>
      </c>
      <c r="C14" s="17" t="s">
        <v>1035</v>
      </c>
      <c r="D14" s="18" t="s">
        <v>1054</v>
      </c>
      <c r="E14" s="18" t="s">
        <v>1055</v>
      </c>
      <c r="F14" s="7" t="s">
        <v>53</v>
      </c>
      <c r="G14" s="7" t="s">
        <v>53</v>
      </c>
      <c r="H14" s="7" t="s">
        <v>53</v>
      </c>
      <c r="I14" s="7" t="s">
        <v>9</v>
      </c>
      <c r="J14" s="11" t="s">
        <v>53</v>
      </c>
      <c r="K14" s="11" t="s">
        <v>53</v>
      </c>
      <c r="L14" s="7" t="s">
        <v>9</v>
      </c>
      <c r="M14" s="11" t="s">
        <v>9</v>
      </c>
      <c r="N14" s="11" t="s">
        <v>9</v>
      </c>
      <c r="O14" s="11" t="s">
        <v>9</v>
      </c>
      <c r="P14" s="7">
        <v>12</v>
      </c>
      <c r="Q14" s="8" t="s">
        <v>53</v>
      </c>
      <c r="R14" s="7" t="s">
        <v>53</v>
      </c>
      <c r="S14" s="7" t="s">
        <v>53</v>
      </c>
      <c r="T14" s="12" t="s">
        <v>9</v>
      </c>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307" priority="29" operator="equal">
      <formula>"F"</formula>
    </cfRule>
    <cfRule type="cellIs" dxfId="306" priority="30" operator="equal">
      <formula>"OK"</formula>
    </cfRule>
    <cfRule type="cellIs" dxfId="305" priority="31" operator="between">
      <formula>6</formula>
      <formula>18</formula>
    </cfRule>
  </conditionalFormatting>
  <conditionalFormatting sqref="C1:E1 A2:E2 C3:C4 E3:E4 A5:E1048576">
    <cfRule type="expression" dxfId="304" priority="27">
      <formula>$A1="FALTA"</formula>
    </cfRule>
    <cfRule type="expression" dxfId="303" priority="28">
      <formula>$A1="COMPLETO"</formula>
    </cfRule>
  </conditionalFormatting>
  <conditionalFormatting sqref="B3">
    <cfRule type="expression" dxfId="302" priority="19">
      <formula>$A3="FALTA"</formula>
    </cfRule>
    <cfRule type="expression" dxfId="301" priority="20">
      <formula>$A3="COMPLETO"</formula>
    </cfRule>
  </conditionalFormatting>
  <conditionalFormatting sqref="D3:D4">
    <cfRule type="expression" dxfId="300" priority="17">
      <formula>$A3="FALTA"</formula>
    </cfRule>
    <cfRule type="expression" dxfId="299" priority="18">
      <formula>$A3="COMPLETO"</formula>
    </cfRule>
  </conditionalFormatting>
  <conditionalFormatting sqref="F4">
    <cfRule type="cellIs" dxfId="298" priority="14" operator="equal">
      <formula>"F"</formula>
    </cfRule>
    <cfRule type="cellIs" dxfId="297" priority="15" operator="equal">
      <formula>"OK"</formula>
    </cfRule>
    <cfRule type="cellIs" dxfId="296" priority="16" operator="between">
      <formula>6</formula>
      <formula>18</formula>
    </cfRule>
  </conditionalFormatting>
  <conditionalFormatting sqref="A1:B1">
    <cfRule type="expression" dxfId="295" priority="12">
      <formula>$A1="FALTA"</formula>
    </cfRule>
    <cfRule type="expression" dxfId="294" priority="13">
      <formula>$A1="COMPLETO"</formula>
    </cfRule>
  </conditionalFormatting>
  <conditionalFormatting sqref="U3:V3">
    <cfRule type="cellIs" dxfId="293" priority="6" operator="equal">
      <formula>"F"</formula>
    </cfRule>
    <cfRule type="cellIs" dxfId="292" priority="7" operator="equal">
      <formula>"OK"</formula>
    </cfRule>
    <cfRule type="cellIs" dxfId="291" priority="8" operator="between">
      <formula>6</formula>
      <formula>18</formula>
    </cfRule>
  </conditionalFormatting>
  <conditionalFormatting sqref="F3">
    <cfRule type="cellIs" dxfId="290" priority="3" operator="equal">
      <formula>"F"</formula>
    </cfRule>
    <cfRule type="cellIs" dxfId="289" priority="4" operator="equal">
      <formula>"OK"</formula>
    </cfRule>
    <cfRule type="cellIs" dxfId="288" priority="5" operator="between">
      <formula>6</formula>
      <formula>18</formula>
    </cfRule>
  </conditionalFormatting>
  <conditionalFormatting sqref="A3">
    <cfRule type="expression" dxfId="287" priority="1">
      <formula>$A3="FALTA"</formula>
    </cfRule>
    <cfRule type="expression" dxfId="286"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5">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ZNuestra Señora de la Oliva 2</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COMPLETO</v>
      </c>
      <c r="B3" s="385" t="s">
        <v>116</v>
      </c>
      <c r="C3" s="23" t="s">
        <v>969</v>
      </c>
      <c r="D3" s="29" t="s">
        <v>5</v>
      </c>
      <c r="E3" s="10" t="s">
        <v>971</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1" t="s">
        <v>53</v>
      </c>
      <c r="V3" s="381" t="s">
        <v>53</v>
      </c>
    </row>
    <row r="4" spans="1:22" x14ac:dyDescent="0.25">
      <c r="A4" s="384"/>
      <c r="B4" s="386"/>
      <c r="C4" s="23" t="s">
        <v>970</v>
      </c>
      <c r="D4" s="29" t="s">
        <v>6</v>
      </c>
      <c r="E4" s="10" t="s">
        <v>1733</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2"/>
      <c r="V4" s="382"/>
    </row>
    <row r="5" spans="1:22" ht="15" customHeight="1" x14ac:dyDescent="0.25">
      <c r="A5" s="19" t="str">
        <f>IF(COUNTIF(F5:V5,"F")&gt;0,"FALTA","COMPLETO")</f>
        <v>COMPLETO</v>
      </c>
      <c r="B5" s="20" t="s">
        <v>153</v>
      </c>
      <c r="C5" s="17" t="s">
        <v>972</v>
      </c>
      <c r="D5" s="18" t="s">
        <v>980</v>
      </c>
      <c r="E5" s="18" t="s">
        <v>981</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 t="shared" ref="A6:A13" si="0">IF(COUNTIF(F6:V6,"F")&gt;0,"FALTA","COMPLETO")</f>
        <v>COMPLETO</v>
      </c>
      <c r="B6" s="20" t="s">
        <v>158</v>
      </c>
      <c r="C6" s="17" t="s">
        <v>973</v>
      </c>
      <c r="D6" s="18" t="s">
        <v>982</v>
      </c>
      <c r="E6" s="18" t="s">
        <v>983</v>
      </c>
      <c r="F6" s="7" t="s">
        <v>53</v>
      </c>
      <c r="G6" s="7" t="s">
        <v>53</v>
      </c>
      <c r="H6" s="7" t="s">
        <v>53</v>
      </c>
      <c r="I6" s="7" t="s">
        <v>53</v>
      </c>
      <c r="J6" s="11" t="s">
        <v>53</v>
      </c>
      <c r="K6" s="11" t="s">
        <v>53</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 t="shared" si="0"/>
        <v>COMPLETO</v>
      </c>
      <c r="B7" s="20" t="s">
        <v>160</v>
      </c>
      <c r="C7" s="17" t="s">
        <v>970</v>
      </c>
      <c r="D7" s="18" t="s">
        <v>984</v>
      </c>
      <c r="E7" s="18" t="s">
        <v>985</v>
      </c>
      <c r="F7" s="7" t="s">
        <v>53</v>
      </c>
      <c r="G7" s="7" t="s">
        <v>53</v>
      </c>
      <c r="H7" s="7" t="s">
        <v>53</v>
      </c>
      <c r="I7" s="7" t="s">
        <v>9</v>
      </c>
      <c r="J7" s="11" t="s">
        <v>53</v>
      </c>
      <c r="K7" s="11" t="s">
        <v>9</v>
      </c>
      <c r="L7" s="7" t="s">
        <v>9</v>
      </c>
      <c r="M7" s="11" t="s">
        <v>9</v>
      </c>
      <c r="N7" s="11" t="s">
        <v>9</v>
      </c>
      <c r="O7" s="11" t="s">
        <v>9</v>
      </c>
      <c r="P7" s="7" t="s">
        <v>9</v>
      </c>
      <c r="Q7" s="8" t="s">
        <v>7</v>
      </c>
      <c r="R7" s="7" t="s">
        <v>9</v>
      </c>
      <c r="S7" s="7" t="s">
        <v>9</v>
      </c>
      <c r="T7" s="12" t="s">
        <v>9</v>
      </c>
      <c r="U7" s="7" t="s">
        <v>53</v>
      </c>
      <c r="V7" s="7" t="s">
        <v>53</v>
      </c>
    </row>
    <row r="8" spans="1:22" x14ac:dyDescent="0.25">
      <c r="A8" s="19" t="str">
        <f t="shared" si="0"/>
        <v>COMPLETO</v>
      </c>
      <c r="B8" s="20" t="s">
        <v>166</v>
      </c>
      <c r="C8" s="17" t="s">
        <v>974</v>
      </c>
      <c r="D8" s="18" t="s">
        <v>986</v>
      </c>
      <c r="E8" s="18" t="s">
        <v>987</v>
      </c>
      <c r="F8" s="7" t="s">
        <v>53</v>
      </c>
      <c r="G8" s="7" t="s">
        <v>53</v>
      </c>
      <c r="H8" s="7" t="s">
        <v>53</v>
      </c>
      <c r="I8" s="7" t="s">
        <v>53</v>
      </c>
      <c r="J8" s="11" t="s">
        <v>9</v>
      </c>
      <c r="K8" s="11" t="s">
        <v>9</v>
      </c>
      <c r="L8" s="7" t="s">
        <v>9</v>
      </c>
      <c r="M8" s="11" t="s">
        <v>9</v>
      </c>
      <c r="N8" s="11" t="s">
        <v>9</v>
      </c>
      <c r="O8" s="11" t="s">
        <v>9</v>
      </c>
      <c r="P8" s="7" t="s">
        <v>9</v>
      </c>
      <c r="Q8" s="8" t="s">
        <v>7</v>
      </c>
      <c r="R8" s="7" t="s">
        <v>9</v>
      </c>
      <c r="S8" s="7" t="s">
        <v>9</v>
      </c>
      <c r="T8" s="12" t="s">
        <v>9</v>
      </c>
      <c r="U8" s="7" t="s">
        <v>53</v>
      </c>
      <c r="V8" s="7" t="s">
        <v>53</v>
      </c>
    </row>
    <row r="9" spans="1:22" x14ac:dyDescent="0.25">
      <c r="A9" s="19" t="str">
        <f t="shared" si="0"/>
        <v>COMPLETO</v>
      </c>
      <c r="B9" s="20" t="s">
        <v>168</v>
      </c>
      <c r="C9" s="17" t="s">
        <v>975</v>
      </c>
      <c r="D9" s="18" t="s">
        <v>988</v>
      </c>
      <c r="E9" s="18" t="s">
        <v>989</v>
      </c>
      <c r="F9" s="7" t="s">
        <v>53</v>
      </c>
      <c r="G9" s="7" t="s">
        <v>53</v>
      </c>
      <c r="H9" s="7" t="s">
        <v>53</v>
      </c>
      <c r="I9" s="7" t="s">
        <v>9</v>
      </c>
      <c r="J9" s="11" t="s">
        <v>53</v>
      </c>
      <c r="K9" s="11" t="s">
        <v>53</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174</v>
      </c>
      <c r="C10" s="17" t="s">
        <v>976</v>
      </c>
      <c r="D10" s="18" t="s">
        <v>990</v>
      </c>
      <c r="E10" s="18" t="s">
        <v>991</v>
      </c>
      <c r="F10" s="7" t="s">
        <v>53</v>
      </c>
      <c r="G10" s="7" t="s">
        <v>53</v>
      </c>
      <c r="H10" s="7" t="s">
        <v>53</v>
      </c>
      <c r="I10" s="7" t="s">
        <v>53</v>
      </c>
      <c r="J10" s="11" t="s">
        <v>9</v>
      </c>
      <c r="K10" s="11" t="s">
        <v>9</v>
      </c>
      <c r="L10" s="7" t="s">
        <v>9</v>
      </c>
      <c r="M10" s="11" t="s">
        <v>9</v>
      </c>
      <c r="N10" s="11" t="s">
        <v>9</v>
      </c>
      <c r="O10" s="11" t="s">
        <v>9</v>
      </c>
      <c r="P10" s="7" t="s">
        <v>9</v>
      </c>
      <c r="Q10" s="8" t="s">
        <v>7</v>
      </c>
      <c r="R10" s="7" t="s">
        <v>9</v>
      </c>
      <c r="S10" s="7" t="s">
        <v>9</v>
      </c>
      <c r="T10" s="12" t="s">
        <v>9</v>
      </c>
      <c r="U10" s="7" t="s">
        <v>53</v>
      </c>
      <c r="V10" s="7" t="s">
        <v>53</v>
      </c>
    </row>
    <row r="11" spans="1:22" x14ac:dyDescent="0.25">
      <c r="A11" s="19" t="str">
        <f t="shared" si="0"/>
        <v>COMPLETO</v>
      </c>
      <c r="B11" s="20" t="s">
        <v>175</v>
      </c>
      <c r="C11" s="17" t="s">
        <v>977</v>
      </c>
      <c r="D11" s="18" t="s">
        <v>992</v>
      </c>
      <c r="E11" s="18" t="s">
        <v>993</v>
      </c>
      <c r="F11" s="7" t="s">
        <v>53</v>
      </c>
      <c r="G11" s="7" t="s">
        <v>53</v>
      </c>
      <c r="H11" s="7" t="s">
        <v>53</v>
      </c>
      <c r="I11" s="7" t="s">
        <v>9</v>
      </c>
      <c r="J11" s="11" t="s">
        <v>53</v>
      </c>
      <c r="K11" s="11" t="s">
        <v>53</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181</v>
      </c>
      <c r="C12" s="17" t="s">
        <v>978</v>
      </c>
      <c r="D12" s="18" t="s">
        <v>994</v>
      </c>
      <c r="E12" s="18" t="s">
        <v>995</v>
      </c>
      <c r="F12" s="7" t="s">
        <v>53</v>
      </c>
      <c r="G12" s="7" t="s">
        <v>53</v>
      </c>
      <c r="H12" s="7" t="s">
        <v>53</v>
      </c>
      <c r="I12" s="7" t="s">
        <v>9</v>
      </c>
      <c r="J12" s="11" t="s">
        <v>9</v>
      </c>
      <c r="K12" s="11" t="s">
        <v>9</v>
      </c>
      <c r="L12" s="7" t="s">
        <v>9</v>
      </c>
      <c r="M12" s="11" t="s">
        <v>9</v>
      </c>
      <c r="N12" s="11" t="s">
        <v>9</v>
      </c>
      <c r="O12" s="11" t="s">
        <v>9</v>
      </c>
      <c r="P12" s="7" t="s">
        <v>9</v>
      </c>
      <c r="Q12" s="8" t="s">
        <v>7</v>
      </c>
      <c r="R12" s="7" t="s">
        <v>9</v>
      </c>
      <c r="S12" s="7" t="s">
        <v>9</v>
      </c>
      <c r="T12" s="12" t="s">
        <v>9</v>
      </c>
      <c r="U12" s="7" t="s">
        <v>53</v>
      </c>
      <c r="V12" s="7" t="s">
        <v>53</v>
      </c>
    </row>
    <row r="13" spans="1:22" x14ac:dyDescent="0.25">
      <c r="A13" s="19" t="str">
        <f t="shared" si="0"/>
        <v>COMPLETO</v>
      </c>
      <c r="B13" s="20" t="s">
        <v>183</v>
      </c>
      <c r="C13" s="17" t="s">
        <v>979</v>
      </c>
      <c r="D13" s="18" t="s">
        <v>996</v>
      </c>
      <c r="E13" s="18" t="s">
        <v>997</v>
      </c>
      <c r="F13" s="7" t="s">
        <v>53</v>
      </c>
      <c r="G13" s="7" t="s">
        <v>53</v>
      </c>
      <c r="H13" s="7" t="s">
        <v>53</v>
      </c>
      <c r="I13" s="7" t="s">
        <v>9</v>
      </c>
      <c r="J13" s="11" t="s">
        <v>53</v>
      </c>
      <c r="K13" s="11" t="s">
        <v>53</v>
      </c>
      <c r="L13" s="7" t="s">
        <v>9</v>
      </c>
      <c r="M13" s="11" t="s">
        <v>9</v>
      </c>
      <c r="N13" s="11" t="s">
        <v>9</v>
      </c>
      <c r="O13" s="11" t="s">
        <v>9</v>
      </c>
      <c r="P13" s="7" t="s">
        <v>9</v>
      </c>
      <c r="Q13" s="8" t="s">
        <v>7</v>
      </c>
      <c r="R13" s="7" t="s">
        <v>9</v>
      </c>
      <c r="S13" s="7" t="s">
        <v>9</v>
      </c>
      <c r="T13" s="12" t="s">
        <v>9</v>
      </c>
      <c r="U13" s="7" t="s">
        <v>53</v>
      </c>
      <c r="V13" s="7" t="s">
        <v>53</v>
      </c>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V3:V4"/>
    <mergeCell ref="U3:U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285" priority="31" operator="equal">
      <formula>"F"</formula>
    </cfRule>
    <cfRule type="cellIs" dxfId="284" priority="32" operator="equal">
      <formula>"OK"</formula>
    </cfRule>
    <cfRule type="cellIs" dxfId="283" priority="33" operator="between">
      <formula>6</formula>
      <formula>18</formula>
    </cfRule>
  </conditionalFormatting>
  <conditionalFormatting sqref="C1:E1 A2:E2 C3:C4 E3:E4 A5:E1048576">
    <cfRule type="expression" dxfId="282" priority="29">
      <formula>$A1="FALTA"</formula>
    </cfRule>
    <cfRule type="expression" dxfId="281" priority="30">
      <formula>$A1="COMPLETO"</formula>
    </cfRule>
  </conditionalFormatting>
  <conditionalFormatting sqref="B3">
    <cfRule type="expression" dxfId="280" priority="19">
      <formula>$A3="FALTA"</formula>
    </cfRule>
    <cfRule type="expression" dxfId="279" priority="20">
      <formula>$A3="COMPLETO"</formula>
    </cfRule>
  </conditionalFormatting>
  <conditionalFormatting sqref="D3:D4">
    <cfRule type="expression" dxfId="278" priority="17">
      <formula>$A3="FALTA"</formula>
    </cfRule>
    <cfRule type="expression" dxfId="277" priority="18">
      <formula>$A3="COMPLETO"</formula>
    </cfRule>
  </conditionalFormatting>
  <conditionalFormatting sqref="F4">
    <cfRule type="cellIs" dxfId="276" priority="14" operator="equal">
      <formula>"F"</formula>
    </cfRule>
    <cfRule type="cellIs" dxfId="275" priority="15" operator="equal">
      <formula>"OK"</formula>
    </cfRule>
    <cfRule type="cellIs" dxfId="274" priority="16" operator="between">
      <formula>6</formula>
      <formula>18</formula>
    </cfRule>
  </conditionalFormatting>
  <conditionalFormatting sqref="A1:B1">
    <cfRule type="expression" dxfId="273" priority="12">
      <formula>$A1="FALTA"</formula>
    </cfRule>
    <cfRule type="expression" dxfId="272" priority="13">
      <formula>$A1="COMPLETO"</formula>
    </cfRule>
  </conditionalFormatting>
  <conditionalFormatting sqref="U3:V3">
    <cfRule type="cellIs" dxfId="271" priority="6" operator="equal">
      <formula>"F"</formula>
    </cfRule>
    <cfRule type="cellIs" dxfId="270" priority="7" operator="equal">
      <formula>"OK"</formula>
    </cfRule>
    <cfRule type="cellIs" dxfId="269" priority="8" operator="between">
      <formula>6</formula>
      <formula>18</formula>
    </cfRule>
  </conditionalFormatting>
  <conditionalFormatting sqref="F3">
    <cfRule type="cellIs" dxfId="268" priority="3" operator="equal">
      <formula>"F"</formula>
    </cfRule>
    <cfRule type="cellIs" dxfId="267" priority="4" operator="equal">
      <formula>"OK"</formula>
    </cfRule>
    <cfRule type="cellIs" dxfId="266" priority="5" operator="between">
      <formula>6</formula>
      <formula>18</formula>
    </cfRule>
  </conditionalFormatting>
  <conditionalFormatting sqref="A3">
    <cfRule type="expression" dxfId="265" priority="1">
      <formula>$A3="FALTA"</formula>
    </cfRule>
    <cfRule type="expression" dxfId="264"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6">
    <tabColor rgb="FF004079"/>
    <outlinePr summaryBelow="0" summaryRight="0"/>
  </sheetPr>
  <dimension ref="A1:V44"/>
  <sheetViews>
    <sheetView zoomScaleNormal="100" workbookViewId="0">
      <pane ySplit="2" topLeftCell="A3" activePane="bottomLeft" state="frozen"/>
      <selection pane="bottomLeft" activeCell="P5" sqref="P5:S13"/>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ZNuestra Señora de la Oliva 67</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COMPLETO</v>
      </c>
      <c r="B3" s="385" t="s">
        <v>116</v>
      </c>
      <c r="C3" s="23" t="s">
        <v>0</v>
      </c>
      <c r="D3" s="29" t="s">
        <v>5</v>
      </c>
      <c r="E3" s="28" t="s">
        <v>0</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1" t="s">
        <v>53</v>
      </c>
      <c r="V3" s="381" t="s">
        <v>116</v>
      </c>
    </row>
    <row r="4" spans="1:22" x14ac:dyDescent="0.25">
      <c r="A4" s="384"/>
      <c r="B4" s="386"/>
      <c r="C4" s="23" t="s">
        <v>999</v>
      </c>
      <c r="D4" s="29" t="s">
        <v>6</v>
      </c>
      <c r="E4" s="10" t="s">
        <v>1007</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2"/>
      <c r="V4" s="382"/>
    </row>
    <row r="5" spans="1:22" ht="15" customHeight="1" x14ac:dyDescent="0.25">
      <c r="A5" s="19" t="str">
        <f>IF(COUNTIF(F5:V5,"F")&gt;0,"FALTA","COMPLETO")</f>
        <v>COMPLETO</v>
      </c>
      <c r="B5" s="20" t="s">
        <v>151</v>
      </c>
      <c r="C5" s="17" t="s">
        <v>998</v>
      </c>
      <c r="D5" s="18" t="s">
        <v>1008</v>
      </c>
      <c r="E5" s="18" t="s">
        <v>1009</v>
      </c>
      <c r="F5" s="7" t="s">
        <v>53</v>
      </c>
      <c r="G5" s="7" t="s">
        <v>53</v>
      </c>
      <c r="H5" s="7" t="s">
        <v>53</v>
      </c>
      <c r="I5" s="7" t="s">
        <v>53</v>
      </c>
      <c r="J5" s="11" t="s">
        <v>9</v>
      </c>
      <c r="K5" s="11" t="s">
        <v>9</v>
      </c>
      <c r="L5" s="7" t="s">
        <v>9</v>
      </c>
      <c r="M5" s="11" t="s">
        <v>9</v>
      </c>
      <c r="N5" s="11" t="s">
        <v>9</v>
      </c>
      <c r="O5" s="11" t="s">
        <v>9</v>
      </c>
      <c r="P5" s="7" t="s">
        <v>9</v>
      </c>
      <c r="Q5" s="8" t="s">
        <v>9</v>
      </c>
      <c r="R5" s="7" t="s">
        <v>9</v>
      </c>
      <c r="S5" s="7" t="s">
        <v>9</v>
      </c>
      <c r="T5" s="12" t="s">
        <v>7</v>
      </c>
      <c r="U5" s="7" t="s">
        <v>53</v>
      </c>
      <c r="V5" s="7" t="s">
        <v>116</v>
      </c>
    </row>
    <row r="6" spans="1:22" ht="15" customHeight="1" x14ac:dyDescent="0.25">
      <c r="A6" s="19" t="str">
        <f t="shared" ref="A6:A13" si="0">IF(COUNTIF(F6:V6,"F")&gt;0,"FALTA","COMPLETO")</f>
        <v>COMPLETO</v>
      </c>
      <c r="B6" s="20" t="s">
        <v>158</v>
      </c>
      <c r="C6" s="17" t="s">
        <v>999</v>
      </c>
      <c r="D6" s="18" t="s">
        <v>1010</v>
      </c>
      <c r="E6" s="18" t="s">
        <v>1011</v>
      </c>
      <c r="F6" s="7" t="s">
        <v>53</v>
      </c>
      <c r="G6" s="7" t="s">
        <v>53</v>
      </c>
      <c r="H6" s="7" t="s">
        <v>53</v>
      </c>
      <c r="I6" s="7" t="s">
        <v>9</v>
      </c>
      <c r="J6" s="11" t="s">
        <v>9</v>
      </c>
      <c r="K6" s="11" t="s">
        <v>9</v>
      </c>
      <c r="L6" s="7" t="s">
        <v>9</v>
      </c>
      <c r="M6" s="11" t="s">
        <v>9</v>
      </c>
      <c r="N6" s="11" t="s">
        <v>9</v>
      </c>
      <c r="O6" s="11" t="s">
        <v>9</v>
      </c>
      <c r="P6" s="7" t="s">
        <v>9</v>
      </c>
      <c r="Q6" s="8" t="s">
        <v>9</v>
      </c>
      <c r="R6" s="7" t="s">
        <v>9</v>
      </c>
      <c r="S6" s="7" t="s">
        <v>9</v>
      </c>
      <c r="T6" s="12" t="s">
        <v>7</v>
      </c>
      <c r="U6" s="7" t="s">
        <v>53</v>
      </c>
      <c r="V6" s="7" t="s">
        <v>116</v>
      </c>
    </row>
    <row r="7" spans="1:22" ht="15" customHeight="1" x14ac:dyDescent="0.25">
      <c r="A7" s="19" t="str">
        <f t="shared" si="0"/>
        <v>COMPLETO</v>
      </c>
      <c r="B7" s="20" t="s">
        <v>160</v>
      </c>
      <c r="C7" s="17" t="s">
        <v>1000</v>
      </c>
      <c r="D7" s="18" t="s">
        <v>1012</v>
      </c>
      <c r="E7" s="18" t="s">
        <v>1013</v>
      </c>
      <c r="F7" s="7" t="s">
        <v>53</v>
      </c>
      <c r="G7" s="7" t="s">
        <v>53</v>
      </c>
      <c r="H7" s="7" t="s">
        <v>53</v>
      </c>
      <c r="I7" s="7" t="s">
        <v>9</v>
      </c>
      <c r="J7" s="11" t="s">
        <v>9</v>
      </c>
      <c r="K7" s="11" t="s">
        <v>9</v>
      </c>
      <c r="L7" s="7" t="s">
        <v>9</v>
      </c>
      <c r="M7" s="11" t="s">
        <v>9</v>
      </c>
      <c r="N7" s="11" t="s">
        <v>9</v>
      </c>
      <c r="O7" s="11" t="s">
        <v>9</v>
      </c>
      <c r="P7" s="7" t="s">
        <v>9</v>
      </c>
      <c r="Q7" s="8" t="s">
        <v>9</v>
      </c>
      <c r="R7" s="7" t="s">
        <v>9</v>
      </c>
      <c r="S7" s="7" t="s">
        <v>9</v>
      </c>
      <c r="T7" s="12" t="s">
        <v>7</v>
      </c>
      <c r="U7" s="7" t="s">
        <v>53</v>
      </c>
      <c r="V7" s="7" t="s">
        <v>116</v>
      </c>
    </row>
    <row r="8" spans="1:22" x14ac:dyDescent="0.25">
      <c r="A8" s="19" t="str">
        <f t="shared" si="0"/>
        <v>COMPLETO</v>
      </c>
      <c r="B8" s="20" t="s">
        <v>166</v>
      </c>
      <c r="C8" s="17" t="s">
        <v>1001</v>
      </c>
      <c r="D8" s="18" t="s">
        <v>1014</v>
      </c>
      <c r="E8" s="18" t="s">
        <v>1015</v>
      </c>
      <c r="F8" s="7" t="s">
        <v>53</v>
      </c>
      <c r="G8" s="7" t="s">
        <v>53</v>
      </c>
      <c r="H8" s="7" t="s">
        <v>53</v>
      </c>
      <c r="I8" s="7" t="s">
        <v>53</v>
      </c>
      <c r="J8" s="11" t="s">
        <v>9</v>
      </c>
      <c r="K8" s="11" t="s">
        <v>9</v>
      </c>
      <c r="L8" s="7" t="s">
        <v>9</v>
      </c>
      <c r="M8" s="11" t="s">
        <v>9</v>
      </c>
      <c r="N8" s="11" t="s">
        <v>9</v>
      </c>
      <c r="O8" s="11" t="s">
        <v>9</v>
      </c>
      <c r="P8" s="7" t="s">
        <v>9</v>
      </c>
      <c r="Q8" s="8" t="s">
        <v>9</v>
      </c>
      <c r="R8" s="7" t="s">
        <v>9</v>
      </c>
      <c r="S8" s="7" t="s">
        <v>9</v>
      </c>
      <c r="T8" s="12" t="s">
        <v>7</v>
      </c>
      <c r="U8" s="7" t="s">
        <v>53</v>
      </c>
      <c r="V8" s="7" t="s">
        <v>116</v>
      </c>
    </row>
    <row r="9" spans="1:22" x14ac:dyDescent="0.25">
      <c r="A9" s="19" t="str">
        <f t="shared" si="0"/>
        <v>COMPLETO</v>
      </c>
      <c r="B9" s="20" t="s">
        <v>168</v>
      </c>
      <c r="C9" s="17" t="s">
        <v>1002</v>
      </c>
      <c r="D9" s="18" t="s">
        <v>1016</v>
      </c>
      <c r="E9" s="18" t="s">
        <v>1017</v>
      </c>
      <c r="F9" s="7" t="s">
        <v>53</v>
      </c>
      <c r="G9" s="7" t="s">
        <v>53</v>
      </c>
      <c r="H9" s="7" t="s">
        <v>53</v>
      </c>
      <c r="I9" s="7" t="s">
        <v>9</v>
      </c>
      <c r="J9" s="11" t="s">
        <v>9</v>
      </c>
      <c r="K9" s="11" t="s">
        <v>9</v>
      </c>
      <c r="L9" s="7" t="s">
        <v>9</v>
      </c>
      <c r="M9" s="11" t="s">
        <v>9</v>
      </c>
      <c r="N9" s="11" t="s">
        <v>9</v>
      </c>
      <c r="O9" s="11" t="s">
        <v>9</v>
      </c>
      <c r="P9" s="7" t="s">
        <v>9</v>
      </c>
      <c r="Q9" s="8" t="s">
        <v>9</v>
      </c>
      <c r="R9" s="7" t="s">
        <v>9</v>
      </c>
      <c r="S9" s="7" t="s">
        <v>9</v>
      </c>
      <c r="T9" s="12" t="s">
        <v>7</v>
      </c>
      <c r="U9" s="7" t="s">
        <v>53</v>
      </c>
      <c r="V9" s="7" t="s">
        <v>116</v>
      </c>
    </row>
    <row r="10" spans="1:22" x14ac:dyDescent="0.25">
      <c r="A10" s="19" t="str">
        <f t="shared" si="0"/>
        <v>COMPLETO</v>
      </c>
      <c r="B10" s="20" t="s">
        <v>174</v>
      </c>
      <c r="C10" s="17" t="s">
        <v>1003</v>
      </c>
      <c r="D10" s="18" t="s">
        <v>1018</v>
      </c>
      <c r="E10" s="18" t="s">
        <v>1019</v>
      </c>
      <c r="F10" s="7" t="s">
        <v>53</v>
      </c>
      <c r="G10" s="7" t="s">
        <v>53</v>
      </c>
      <c r="H10" s="7" t="s">
        <v>53</v>
      </c>
      <c r="I10" s="7" t="s">
        <v>53</v>
      </c>
      <c r="J10" s="11" t="s">
        <v>9</v>
      </c>
      <c r="K10" s="11" t="s">
        <v>9</v>
      </c>
      <c r="L10" s="7" t="s">
        <v>9</v>
      </c>
      <c r="M10" s="11" t="s">
        <v>9</v>
      </c>
      <c r="N10" s="11" t="s">
        <v>9</v>
      </c>
      <c r="O10" s="11" t="s">
        <v>9</v>
      </c>
      <c r="P10" s="7" t="s">
        <v>9</v>
      </c>
      <c r="Q10" s="8" t="s">
        <v>9</v>
      </c>
      <c r="R10" s="7" t="s">
        <v>9</v>
      </c>
      <c r="S10" s="7" t="s">
        <v>9</v>
      </c>
      <c r="T10" s="12" t="s">
        <v>7</v>
      </c>
      <c r="U10" s="7" t="s">
        <v>53</v>
      </c>
      <c r="V10" s="7" t="s">
        <v>116</v>
      </c>
    </row>
    <row r="11" spans="1:22" x14ac:dyDescent="0.25">
      <c r="A11" s="19" t="str">
        <f t="shared" si="0"/>
        <v>COMPLETO</v>
      </c>
      <c r="B11" s="20" t="s">
        <v>175</v>
      </c>
      <c r="C11" s="17" t="s">
        <v>1004</v>
      </c>
      <c r="D11" s="18" t="s">
        <v>1020</v>
      </c>
      <c r="E11" s="18" t="s">
        <v>1021</v>
      </c>
      <c r="F11" s="7" t="s">
        <v>53</v>
      </c>
      <c r="G11" s="7" t="s">
        <v>53</v>
      </c>
      <c r="H11" s="7" t="s">
        <v>53</v>
      </c>
      <c r="I11" s="7" t="s">
        <v>53</v>
      </c>
      <c r="J11" s="11" t="s">
        <v>9</v>
      </c>
      <c r="K11" s="11" t="s">
        <v>9</v>
      </c>
      <c r="L11" s="7" t="s">
        <v>9</v>
      </c>
      <c r="M11" s="11" t="s">
        <v>9</v>
      </c>
      <c r="N11" s="11" t="s">
        <v>9</v>
      </c>
      <c r="O11" s="11" t="s">
        <v>9</v>
      </c>
      <c r="P11" s="7" t="s">
        <v>9</v>
      </c>
      <c r="Q11" s="8" t="s">
        <v>9</v>
      </c>
      <c r="R11" s="7" t="s">
        <v>9</v>
      </c>
      <c r="S11" s="7" t="s">
        <v>9</v>
      </c>
      <c r="T11" s="12" t="s">
        <v>7</v>
      </c>
      <c r="U11" s="7" t="s">
        <v>53</v>
      </c>
      <c r="V11" s="7" t="s">
        <v>116</v>
      </c>
    </row>
    <row r="12" spans="1:22" x14ac:dyDescent="0.25">
      <c r="A12" s="19" t="str">
        <f t="shared" si="0"/>
        <v>COMPLETO</v>
      </c>
      <c r="B12" s="20" t="s">
        <v>181</v>
      </c>
      <c r="C12" s="17" t="s">
        <v>1005</v>
      </c>
      <c r="D12" s="18" t="s">
        <v>1022</v>
      </c>
      <c r="E12" s="18" t="s">
        <v>1023</v>
      </c>
      <c r="F12" s="7" t="s">
        <v>53</v>
      </c>
      <c r="G12" s="7" t="s">
        <v>53</v>
      </c>
      <c r="H12" s="7" t="s">
        <v>53</v>
      </c>
      <c r="I12" s="7" t="s">
        <v>53</v>
      </c>
      <c r="J12" s="11" t="s">
        <v>53</v>
      </c>
      <c r="K12" s="11" t="s">
        <v>53</v>
      </c>
      <c r="L12" s="7" t="s">
        <v>9</v>
      </c>
      <c r="M12" s="11" t="s">
        <v>9</v>
      </c>
      <c r="N12" s="11" t="s">
        <v>9</v>
      </c>
      <c r="O12" s="11" t="s">
        <v>9</v>
      </c>
      <c r="P12" s="7" t="s">
        <v>9</v>
      </c>
      <c r="Q12" s="8" t="s">
        <v>9</v>
      </c>
      <c r="R12" s="7" t="s">
        <v>9</v>
      </c>
      <c r="S12" s="7" t="s">
        <v>9</v>
      </c>
      <c r="T12" s="12" t="s">
        <v>7</v>
      </c>
      <c r="U12" s="7" t="s">
        <v>53</v>
      </c>
      <c r="V12" s="7" t="s">
        <v>116</v>
      </c>
    </row>
    <row r="13" spans="1:22" x14ac:dyDescent="0.25">
      <c r="A13" s="19" t="str">
        <f t="shared" si="0"/>
        <v>COMPLETO</v>
      </c>
      <c r="B13" s="20" t="s">
        <v>183</v>
      </c>
      <c r="C13" s="17" t="s">
        <v>1006</v>
      </c>
      <c r="D13" s="18" t="s">
        <v>1024</v>
      </c>
      <c r="E13" s="18" t="s">
        <v>1025</v>
      </c>
      <c r="F13" s="7" t="s">
        <v>53</v>
      </c>
      <c r="G13" s="7" t="s">
        <v>53</v>
      </c>
      <c r="H13" s="7" t="s">
        <v>53</v>
      </c>
      <c r="I13" s="7" t="s">
        <v>9</v>
      </c>
      <c r="J13" s="11" t="s">
        <v>9</v>
      </c>
      <c r="K13" s="11" t="s">
        <v>9</v>
      </c>
      <c r="L13" s="7" t="s">
        <v>9</v>
      </c>
      <c r="M13" s="11" t="s">
        <v>9</v>
      </c>
      <c r="N13" s="11" t="s">
        <v>9</v>
      </c>
      <c r="O13" s="11" t="s">
        <v>9</v>
      </c>
      <c r="P13" s="7" t="s">
        <v>9</v>
      </c>
      <c r="Q13" s="8" t="s">
        <v>9</v>
      </c>
      <c r="R13" s="7" t="s">
        <v>9</v>
      </c>
      <c r="S13" s="7" t="s">
        <v>9</v>
      </c>
      <c r="T13" s="12" t="s">
        <v>7</v>
      </c>
      <c r="U13" s="7" t="s">
        <v>53</v>
      </c>
      <c r="V13" s="7" t="s">
        <v>116</v>
      </c>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G3:T4 F5:V44">
    <cfRule type="cellIs" dxfId="263" priority="29" operator="equal">
      <formula>"F"</formula>
    </cfRule>
    <cfRule type="cellIs" dxfId="262" priority="30" operator="equal">
      <formula>"OK"</formula>
    </cfRule>
    <cfRule type="cellIs" dxfId="261" priority="31" operator="between">
      <formula>6</formula>
      <formula>18</formula>
    </cfRule>
  </conditionalFormatting>
  <conditionalFormatting sqref="C1:E1 A2:E2 C3:C4 E3:E4 A5:E1048576">
    <cfRule type="expression" dxfId="260" priority="27">
      <formula>$A1="FALTA"</formula>
    </cfRule>
    <cfRule type="expression" dxfId="259" priority="28">
      <formula>$A1="COMPLETO"</formula>
    </cfRule>
  </conditionalFormatting>
  <conditionalFormatting sqref="B3">
    <cfRule type="expression" dxfId="258" priority="19">
      <formula>$A3="FALTA"</formula>
    </cfRule>
    <cfRule type="expression" dxfId="257" priority="20">
      <formula>$A3="COMPLETO"</formula>
    </cfRule>
  </conditionalFormatting>
  <conditionalFormatting sqref="D3:D4">
    <cfRule type="expression" dxfId="256" priority="17">
      <formula>$A3="FALTA"</formula>
    </cfRule>
    <cfRule type="expression" dxfId="255" priority="18">
      <formula>$A3="COMPLETO"</formula>
    </cfRule>
  </conditionalFormatting>
  <conditionalFormatting sqref="F4">
    <cfRule type="cellIs" dxfId="254" priority="14" operator="equal">
      <formula>"F"</formula>
    </cfRule>
    <cfRule type="cellIs" dxfId="253" priority="15" operator="equal">
      <formula>"OK"</formula>
    </cfRule>
    <cfRule type="cellIs" dxfId="252" priority="16" operator="between">
      <formula>6</formula>
      <formula>18</formula>
    </cfRule>
  </conditionalFormatting>
  <conditionalFormatting sqref="A1:B1">
    <cfRule type="expression" dxfId="251" priority="12">
      <formula>$A1="FALTA"</formula>
    </cfRule>
    <cfRule type="expression" dxfId="250" priority="13">
      <formula>$A1="COMPLETO"</formula>
    </cfRule>
  </conditionalFormatting>
  <conditionalFormatting sqref="U3:V3">
    <cfRule type="cellIs" dxfId="249" priority="6" operator="equal">
      <formula>"F"</formula>
    </cfRule>
    <cfRule type="cellIs" dxfId="248" priority="7" operator="equal">
      <formula>"OK"</formula>
    </cfRule>
    <cfRule type="cellIs" dxfId="247" priority="8" operator="between">
      <formula>6</formula>
      <formula>18</formula>
    </cfRule>
  </conditionalFormatting>
  <conditionalFormatting sqref="F3">
    <cfRule type="cellIs" dxfId="246" priority="3" operator="equal">
      <formula>"F"</formula>
    </cfRule>
    <cfRule type="cellIs" dxfId="245" priority="4" operator="equal">
      <formula>"OK"</formula>
    </cfRule>
    <cfRule type="cellIs" dxfId="244" priority="5" operator="between">
      <formula>6</formula>
      <formula>18</formula>
    </cfRule>
  </conditionalFormatting>
  <conditionalFormatting sqref="A3">
    <cfRule type="expression" dxfId="243" priority="1">
      <formula>$A3="FALTA"</formula>
    </cfRule>
    <cfRule type="expression" dxfId="242"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7">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ZNuestra Señora de la Oliva 94</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COMPLETO</v>
      </c>
      <c r="B3" s="385" t="s">
        <v>116</v>
      </c>
      <c r="C3" s="23" t="s">
        <v>1637</v>
      </c>
      <c r="D3" s="29" t="s">
        <v>5</v>
      </c>
      <c r="E3" s="10" t="s">
        <v>1638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1" t="s">
        <v>53</v>
      </c>
      <c r="V3" s="381" t="s">
        <v>53</v>
      </c>
    </row>
    <row r="4" spans="1:22" x14ac:dyDescent="0.25">
      <c r="A4" s="384"/>
      <c r="B4" s="386"/>
      <c r="C4" s="23" t="s">
        <v>1629</v>
      </c>
      <c r="D4" s="29" t="s">
        <v>6</v>
      </c>
      <c r="E4" s="10" t="s">
        <v>1639</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2"/>
      <c r="V4" s="382"/>
    </row>
    <row r="5" spans="1:22" ht="15" customHeight="1" x14ac:dyDescent="0.25">
      <c r="A5" s="19" t="str">
        <f>IF(COUNTIF(F5:V5,"F")&gt;0,"FALTA","COMPLETO")</f>
        <v>COMPLETO</v>
      </c>
      <c r="B5" s="20" t="s">
        <v>151</v>
      </c>
      <c r="C5" s="17" t="s">
        <v>1628</v>
      </c>
      <c r="D5" s="18" t="s">
        <v>1640</v>
      </c>
      <c r="E5" s="18" t="s">
        <v>1641</v>
      </c>
      <c r="F5" s="7" t="s">
        <v>53</v>
      </c>
      <c r="G5" s="7" t="s">
        <v>53</v>
      </c>
      <c r="H5" s="7" t="s">
        <v>53</v>
      </c>
      <c r="I5" s="7" t="s">
        <v>53</v>
      </c>
      <c r="J5" s="11" t="s">
        <v>53</v>
      </c>
      <c r="K5" s="11" t="s">
        <v>53</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 t="shared" ref="A6:A13" si="0">IF(COUNTIF(F6:V6,"F")&gt;0,"FALTA","COMPLETO")</f>
        <v>COMPLETO</v>
      </c>
      <c r="B6" s="20" t="s">
        <v>158</v>
      </c>
      <c r="C6" s="17" t="s">
        <v>1629</v>
      </c>
      <c r="D6" s="18" t="s">
        <v>1642</v>
      </c>
      <c r="E6" s="18" t="s">
        <v>1643</v>
      </c>
      <c r="F6" s="7" t="s">
        <v>53</v>
      </c>
      <c r="G6" s="7" t="s">
        <v>53</v>
      </c>
      <c r="H6" s="7" t="s">
        <v>53</v>
      </c>
      <c r="I6" s="7" t="s">
        <v>9</v>
      </c>
      <c r="J6" s="11" t="s">
        <v>9</v>
      </c>
      <c r="K6" s="11" t="s">
        <v>9</v>
      </c>
      <c r="L6" s="7" t="s">
        <v>9</v>
      </c>
      <c r="M6" s="11" t="s">
        <v>9</v>
      </c>
      <c r="N6" s="11" t="s">
        <v>9</v>
      </c>
      <c r="O6" s="11" t="s">
        <v>9</v>
      </c>
      <c r="P6" s="7">
        <v>18</v>
      </c>
      <c r="Q6" s="8" t="s">
        <v>7</v>
      </c>
      <c r="R6" s="7" t="s">
        <v>53</v>
      </c>
      <c r="S6" s="7" t="s">
        <v>53</v>
      </c>
      <c r="T6" s="12" t="s">
        <v>9</v>
      </c>
      <c r="U6" s="7" t="s">
        <v>53</v>
      </c>
      <c r="V6" s="7" t="s">
        <v>53</v>
      </c>
    </row>
    <row r="7" spans="1:22" ht="15" customHeight="1" x14ac:dyDescent="0.25">
      <c r="A7" s="19" t="str">
        <f t="shared" si="0"/>
        <v>COMPLETO</v>
      </c>
      <c r="B7" s="20" t="s">
        <v>160</v>
      </c>
      <c r="C7" s="17" t="s">
        <v>1630</v>
      </c>
      <c r="D7" s="18" t="s">
        <v>1644</v>
      </c>
      <c r="E7" s="18" t="s">
        <v>1645</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53</v>
      </c>
      <c r="V7" s="7" t="s">
        <v>53</v>
      </c>
    </row>
    <row r="8" spans="1:22" x14ac:dyDescent="0.25">
      <c r="A8" s="19" t="str">
        <f t="shared" si="0"/>
        <v>COMPLETO</v>
      </c>
      <c r="B8" s="20" t="s">
        <v>166</v>
      </c>
      <c r="C8" s="17" t="s">
        <v>1631</v>
      </c>
      <c r="D8" s="18" t="s">
        <v>1646</v>
      </c>
      <c r="E8" s="18" t="s">
        <v>1647</v>
      </c>
      <c r="F8" s="7" t="s">
        <v>53</v>
      </c>
      <c r="G8" s="7" t="s">
        <v>53</v>
      </c>
      <c r="H8" s="7" t="s">
        <v>53</v>
      </c>
      <c r="I8" s="7" t="s">
        <v>53</v>
      </c>
      <c r="J8" s="11" t="s">
        <v>9</v>
      </c>
      <c r="K8" s="11" t="s">
        <v>9</v>
      </c>
      <c r="L8" s="7" t="s">
        <v>9</v>
      </c>
      <c r="M8" s="11" t="s">
        <v>9</v>
      </c>
      <c r="N8" s="11" t="s">
        <v>9</v>
      </c>
      <c r="O8" s="11" t="s">
        <v>9</v>
      </c>
      <c r="P8" s="7">
        <v>18</v>
      </c>
      <c r="Q8" s="8" t="s">
        <v>7</v>
      </c>
      <c r="R8" s="7" t="s">
        <v>53</v>
      </c>
      <c r="S8" s="7" t="s">
        <v>53</v>
      </c>
      <c r="T8" s="12" t="s">
        <v>9</v>
      </c>
      <c r="U8" s="7" t="s">
        <v>53</v>
      </c>
      <c r="V8" s="7" t="s">
        <v>53</v>
      </c>
    </row>
    <row r="9" spans="1:22" x14ac:dyDescent="0.25">
      <c r="A9" s="19" t="str">
        <f t="shared" si="0"/>
        <v>COMPLETO</v>
      </c>
      <c r="B9" s="20" t="s">
        <v>168</v>
      </c>
      <c r="C9" s="17" t="s">
        <v>1632</v>
      </c>
      <c r="D9" s="18" t="s">
        <v>1648</v>
      </c>
      <c r="E9" s="18" t="s">
        <v>1649</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174</v>
      </c>
      <c r="C10" s="17" t="s">
        <v>1633</v>
      </c>
      <c r="D10" s="18" t="s">
        <v>1650</v>
      </c>
      <c r="E10" s="18" t="s">
        <v>1651</v>
      </c>
      <c r="F10" s="7" t="s">
        <v>53</v>
      </c>
      <c r="G10" s="7" t="s">
        <v>53</v>
      </c>
      <c r="H10" s="7" t="s">
        <v>53</v>
      </c>
      <c r="I10" s="7" t="s">
        <v>9</v>
      </c>
      <c r="J10" s="11" t="s">
        <v>9</v>
      </c>
      <c r="K10" s="11" t="s">
        <v>9</v>
      </c>
      <c r="L10" s="7" t="s">
        <v>9</v>
      </c>
      <c r="M10" s="11" t="s">
        <v>9</v>
      </c>
      <c r="N10" s="11" t="s">
        <v>9</v>
      </c>
      <c r="O10" s="11" t="s">
        <v>9</v>
      </c>
      <c r="P10" s="7">
        <v>18</v>
      </c>
      <c r="Q10" s="8" t="s">
        <v>7</v>
      </c>
      <c r="R10" s="7" t="s">
        <v>53</v>
      </c>
      <c r="S10" s="7" t="s">
        <v>53</v>
      </c>
      <c r="T10" s="12" t="s">
        <v>9</v>
      </c>
      <c r="U10" s="7" t="s">
        <v>53</v>
      </c>
      <c r="V10" s="7" t="s">
        <v>53</v>
      </c>
    </row>
    <row r="11" spans="1:22" x14ac:dyDescent="0.25">
      <c r="A11" s="19" t="str">
        <f t="shared" si="0"/>
        <v>COMPLETO</v>
      </c>
      <c r="B11" s="20" t="s">
        <v>175</v>
      </c>
      <c r="C11" s="17" t="s">
        <v>1634</v>
      </c>
      <c r="D11" s="18" t="s">
        <v>1652</v>
      </c>
      <c r="E11" s="18" t="s">
        <v>1653</v>
      </c>
      <c r="F11" s="7" t="s">
        <v>53</v>
      </c>
      <c r="G11" s="7" t="s">
        <v>53</v>
      </c>
      <c r="H11" s="7" t="s">
        <v>53</v>
      </c>
      <c r="I11" s="7" t="s">
        <v>53</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181</v>
      </c>
      <c r="C12" s="17" t="s">
        <v>1635</v>
      </c>
      <c r="D12" s="18" t="s">
        <v>1654</v>
      </c>
      <c r="E12" s="18" t="s">
        <v>1655</v>
      </c>
      <c r="F12" s="7" t="s">
        <v>53</v>
      </c>
      <c r="G12" s="7" t="s">
        <v>53</v>
      </c>
      <c r="H12" s="7" t="s">
        <v>53</v>
      </c>
      <c r="I12" s="7" t="s">
        <v>53</v>
      </c>
      <c r="J12" s="11" t="s">
        <v>53</v>
      </c>
      <c r="K12" s="11" t="s">
        <v>53</v>
      </c>
      <c r="L12" s="7" t="s">
        <v>9</v>
      </c>
      <c r="M12" s="11" t="s">
        <v>9</v>
      </c>
      <c r="N12" s="11" t="s">
        <v>9</v>
      </c>
      <c r="O12" s="11" t="s">
        <v>9</v>
      </c>
      <c r="P12" s="7" t="s">
        <v>9</v>
      </c>
      <c r="Q12" s="8" t="s">
        <v>7</v>
      </c>
      <c r="R12" s="7" t="s">
        <v>9</v>
      </c>
      <c r="S12" s="7" t="s">
        <v>9</v>
      </c>
      <c r="T12" s="12" t="s">
        <v>9</v>
      </c>
      <c r="U12" s="7" t="s">
        <v>53</v>
      </c>
      <c r="V12" s="7" t="s">
        <v>53</v>
      </c>
    </row>
    <row r="13" spans="1:22" x14ac:dyDescent="0.25">
      <c r="A13" s="19" t="str">
        <f t="shared" si="0"/>
        <v>COMPLETO</v>
      </c>
      <c r="B13" s="20" t="s">
        <v>183</v>
      </c>
      <c r="C13" s="17" t="s">
        <v>1636</v>
      </c>
      <c r="D13" s="18" t="s">
        <v>1656</v>
      </c>
      <c r="E13" s="18" t="s">
        <v>1657</v>
      </c>
      <c r="F13" s="7" t="s">
        <v>53</v>
      </c>
      <c r="G13" s="7" t="s">
        <v>53</v>
      </c>
      <c r="H13" s="7" t="s">
        <v>53</v>
      </c>
      <c r="I13" s="7" t="s">
        <v>53</v>
      </c>
      <c r="J13" s="11" t="s">
        <v>9</v>
      </c>
      <c r="K13" s="11" t="s">
        <v>9</v>
      </c>
      <c r="L13" s="7" t="s">
        <v>9</v>
      </c>
      <c r="M13" s="11" t="s">
        <v>9</v>
      </c>
      <c r="N13" s="11" t="s">
        <v>9</v>
      </c>
      <c r="O13" s="11" t="s">
        <v>9</v>
      </c>
      <c r="P13" s="7">
        <v>18</v>
      </c>
      <c r="Q13" s="8" t="s">
        <v>7</v>
      </c>
      <c r="R13" s="7" t="s">
        <v>53</v>
      </c>
      <c r="S13" s="7" t="s">
        <v>53</v>
      </c>
      <c r="T13" s="12" t="s">
        <v>9</v>
      </c>
      <c r="U13" s="7" t="s">
        <v>53</v>
      </c>
      <c r="V13" s="7" t="s">
        <v>53</v>
      </c>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 ref="R1:R2"/>
    <mergeCell ref="S1:S2"/>
    <mergeCell ref="T1:T2"/>
    <mergeCell ref="U1:U2"/>
    <mergeCell ref="V1:V2"/>
  </mergeCells>
  <conditionalFormatting sqref="G3:T4 F5:V44">
    <cfRule type="cellIs" dxfId="241" priority="20" operator="equal">
      <formula>"F"</formula>
    </cfRule>
    <cfRule type="cellIs" dxfId="240" priority="21" operator="equal">
      <formula>"OK"</formula>
    </cfRule>
    <cfRule type="cellIs" dxfId="239" priority="22" operator="between">
      <formula>6</formula>
      <formula>18</formula>
    </cfRule>
  </conditionalFormatting>
  <conditionalFormatting sqref="C1:E1 A2:E2 C3:C4 E3:E4 A5:E1048576">
    <cfRule type="expression" dxfId="238" priority="18">
      <formula>$A1="FALTA"</formula>
    </cfRule>
    <cfRule type="expression" dxfId="237" priority="19">
      <formula>$A1="COMPLETO"</formula>
    </cfRule>
  </conditionalFormatting>
  <conditionalFormatting sqref="D3:D4">
    <cfRule type="expression" dxfId="236" priority="14">
      <formula>$A3="FALTA"</formula>
    </cfRule>
    <cfRule type="expression" dxfId="235" priority="15">
      <formula>$A3="COMPLETO"</formula>
    </cfRule>
  </conditionalFormatting>
  <conditionalFormatting sqref="B3">
    <cfRule type="expression" dxfId="234" priority="16">
      <formula>$A3="FALTA"</formula>
    </cfRule>
    <cfRule type="expression" dxfId="233" priority="17">
      <formula>$A3="COMPLETO"</formula>
    </cfRule>
  </conditionalFormatting>
  <conditionalFormatting sqref="F4">
    <cfRule type="cellIs" dxfId="232" priority="11" operator="equal">
      <formula>"F"</formula>
    </cfRule>
    <cfRule type="cellIs" dxfId="231" priority="12" operator="equal">
      <formula>"OK"</formula>
    </cfRule>
    <cfRule type="cellIs" dxfId="230" priority="13" operator="between">
      <formula>6</formula>
      <formula>18</formula>
    </cfRule>
  </conditionalFormatting>
  <conditionalFormatting sqref="A1:B1">
    <cfRule type="expression" dxfId="229" priority="9">
      <formula>$A1="FALTA"</formula>
    </cfRule>
    <cfRule type="expression" dxfId="228" priority="10">
      <formula>$A1="COMPLETO"</formula>
    </cfRule>
  </conditionalFormatting>
  <conditionalFormatting sqref="U3:V3">
    <cfRule type="cellIs" dxfId="227" priority="6" operator="equal">
      <formula>"F"</formula>
    </cfRule>
    <cfRule type="cellIs" dxfId="226" priority="7" operator="equal">
      <formula>"OK"</formula>
    </cfRule>
    <cfRule type="cellIs" dxfId="225" priority="8" operator="between">
      <formula>6</formula>
      <formula>18</formula>
    </cfRule>
  </conditionalFormatting>
  <conditionalFormatting sqref="F3">
    <cfRule type="cellIs" dxfId="224" priority="3" operator="equal">
      <formula>"F"</formula>
    </cfRule>
    <cfRule type="cellIs" dxfId="223" priority="4" operator="equal">
      <formula>"OK"</formula>
    </cfRule>
    <cfRule type="cellIs" dxfId="222" priority="5" operator="between">
      <formula>6</formula>
      <formula>18</formula>
    </cfRule>
  </conditionalFormatting>
  <conditionalFormatting sqref="A3">
    <cfRule type="expression" dxfId="221" priority="1">
      <formula>$A3="FALTA"</formula>
    </cfRule>
    <cfRule type="expression" dxfId="220"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T3:T4 R3:R4 I4 P4 M3:M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7">
    <tabColor rgb="FF004079"/>
    <outlinePr summaryBelow="0" summaryRight="0"/>
  </sheetPr>
  <dimension ref="A1:W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3" s="3" customFormat="1" ht="114.95" customHeight="1" x14ac:dyDescent="0.3">
      <c r="A1" s="31" t="s">
        <v>610</v>
      </c>
      <c r="B1" s="32" t="str">
        <f ca="1">"Z"&amp;MID(CELL("nombrearchivo",A1),FIND("]",CELL("nombrearchivo",A1))+1,255)</f>
        <v>ZPalma del Río 12</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3"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3" x14ac:dyDescent="0.25">
      <c r="A3" s="383" t="str">
        <f>IF(COUNTIF(G3:V4,"F")&gt;0,"FALTA","COMPLETO")</f>
        <v>COMPLETO</v>
      </c>
      <c r="B3" s="385" t="s">
        <v>116</v>
      </c>
      <c r="C3" s="23" t="s">
        <v>1056</v>
      </c>
      <c r="D3" s="29" t="s">
        <v>5</v>
      </c>
      <c r="E3" s="10" t="s">
        <v>1059</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1" t="s">
        <v>53</v>
      </c>
      <c r="V3" s="381" t="s">
        <v>53</v>
      </c>
    </row>
    <row r="4" spans="1:23" x14ac:dyDescent="0.25">
      <c r="A4" s="384"/>
      <c r="B4" s="386"/>
      <c r="C4" s="23" t="s">
        <v>1057</v>
      </c>
      <c r="D4" s="29" t="s">
        <v>6</v>
      </c>
      <c r="E4" s="10" t="s">
        <v>1058</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2"/>
      <c r="V4" s="382"/>
    </row>
    <row r="5" spans="1:23" ht="15" customHeight="1" x14ac:dyDescent="0.25">
      <c r="A5" s="19" t="str">
        <f>IF(COUNTIF(F5:V5,"F")&gt;0,"FALTA","COMPLETO")</f>
        <v>COMPLETO</v>
      </c>
      <c r="B5" s="20" t="s">
        <v>700</v>
      </c>
      <c r="C5" s="17" t="s">
        <v>1057</v>
      </c>
      <c r="D5" s="18" t="s">
        <v>1069</v>
      </c>
      <c r="E5" s="18" t="s">
        <v>1070</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t="s">
        <v>53</v>
      </c>
      <c r="V5" s="7" t="s">
        <v>53</v>
      </c>
      <c r="W5" s="4" t="s">
        <v>2478</v>
      </c>
    </row>
    <row r="6" spans="1:23" ht="15" customHeight="1" x14ac:dyDescent="0.25">
      <c r="A6" s="19" t="str">
        <f t="shared" ref="A6:A12" si="0">IF(COUNTIF(F6:V6,"F")&gt;0,"FALTA","COMPLETO")</f>
        <v>COMPLETO</v>
      </c>
      <c r="B6" s="20" t="s">
        <v>702</v>
      </c>
      <c r="C6" s="17" t="s">
        <v>1060</v>
      </c>
      <c r="D6" s="18" t="s">
        <v>1071</v>
      </c>
      <c r="E6" s="18" t="s">
        <v>1072</v>
      </c>
      <c r="F6" s="7" t="s">
        <v>53</v>
      </c>
      <c r="G6" s="7" t="s">
        <v>53</v>
      </c>
      <c r="H6" s="7" t="s">
        <v>53</v>
      </c>
      <c r="I6" s="7" t="s">
        <v>53</v>
      </c>
      <c r="J6" s="11" t="s">
        <v>53</v>
      </c>
      <c r="K6" s="11" t="s">
        <v>53</v>
      </c>
      <c r="L6" s="7" t="s">
        <v>9</v>
      </c>
      <c r="M6" s="11" t="s">
        <v>9</v>
      </c>
      <c r="N6" s="11" t="s">
        <v>9</v>
      </c>
      <c r="O6" s="11" t="s">
        <v>9</v>
      </c>
      <c r="P6" s="7" t="s">
        <v>9</v>
      </c>
      <c r="Q6" s="8" t="s">
        <v>7</v>
      </c>
      <c r="R6" s="7" t="s">
        <v>9</v>
      </c>
      <c r="S6" s="7" t="s">
        <v>9</v>
      </c>
      <c r="T6" s="12" t="s">
        <v>9</v>
      </c>
      <c r="U6" s="7" t="s">
        <v>53</v>
      </c>
      <c r="V6" s="7" t="s">
        <v>53</v>
      </c>
    </row>
    <row r="7" spans="1:23" ht="15" customHeight="1" x14ac:dyDescent="0.25">
      <c r="A7" s="19" t="str">
        <f t="shared" si="0"/>
        <v>COMPLETO</v>
      </c>
      <c r="B7" s="20" t="s">
        <v>704</v>
      </c>
      <c r="C7" s="17" t="s">
        <v>1061</v>
      </c>
      <c r="D7" s="18" t="s">
        <v>1073</v>
      </c>
      <c r="E7" s="18" t="s">
        <v>1074</v>
      </c>
      <c r="F7" s="7" t="s">
        <v>53</v>
      </c>
      <c r="G7" s="7" t="s">
        <v>53</v>
      </c>
      <c r="H7" s="7" t="s">
        <v>53</v>
      </c>
      <c r="I7" s="7" t="s">
        <v>53</v>
      </c>
      <c r="J7" s="11" t="s">
        <v>9</v>
      </c>
      <c r="K7" s="11" t="s">
        <v>9</v>
      </c>
      <c r="L7" s="7" t="s">
        <v>9</v>
      </c>
      <c r="M7" s="11" t="s">
        <v>9</v>
      </c>
      <c r="N7" s="11" t="s">
        <v>9</v>
      </c>
      <c r="O7" s="11" t="s">
        <v>9</v>
      </c>
      <c r="P7" s="7" t="s">
        <v>9</v>
      </c>
      <c r="Q7" s="8" t="s">
        <v>7</v>
      </c>
      <c r="R7" s="7" t="s">
        <v>9</v>
      </c>
      <c r="S7" s="7" t="s">
        <v>9</v>
      </c>
      <c r="T7" s="12" t="s">
        <v>9</v>
      </c>
      <c r="U7" s="7" t="s">
        <v>53</v>
      </c>
      <c r="V7" s="7" t="s">
        <v>53</v>
      </c>
    </row>
    <row r="8" spans="1:23" x14ac:dyDescent="0.25">
      <c r="A8" s="19" t="str">
        <f t="shared" si="0"/>
        <v>COMPLETO</v>
      </c>
      <c r="B8" s="20" t="s">
        <v>706</v>
      </c>
      <c r="C8" s="17" t="s">
        <v>1062</v>
      </c>
      <c r="D8" s="18" t="s">
        <v>1075</v>
      </c>
      <c r="E8" s="18" t="s">
        <v>1076</v>
      </c>
      <c r="F8" s="7" t="s">
        <v>53</v>
      </c>
      <c r="G8" s="7" t="s">
        <v>53</v>
      </c>
      <c r="H8" s="7" t="s">
        <v>53</v>
      </c>
      <c r="I8" s="7" t="s">
        <v>9</v>
      </c>
      <c r="J8" s="11" t="s">
        <v>53</v>
      </c>
      <c r="K8" s="11" t="s">
        <v>9</v>
      </c>
      <c r="L8" s="7" t="s">
        <v>9</v>
      </c>
      <c r="M8" s="11" t="s">
        <v>9</v>
      </c>
      <c r="N8" s="11" t="s">
        <v>9</v>
      </c>
      <c r="O8" s="11" t="s">
        <v>9</v>
      </c>
      <c r="P8" s="7" t="s">
        <v>9</v>
      </c>
      <c r="Q8" s="8" t="s">
        <v>7</v>
      </c>
      <c r="R8" s="7" t="s">
        <v>9</v>
      </c>
      <c r="S8" s="7" t="s">
        <v>9</v>
      </c>
      <c r="T8" s="12" t="s">
        <v>9</v>
      </c>
      <c r="U8" s="7" t="s">
        <v>53</v>
      </c>
      <c r="V8" s="7" t="s">
        <v>53</v>
      </c>
    </row>
    <row r="9" spans="1:23" x14ac:dyDescent="0.25">
      <c r="A9" s="19" t="str">
        <f t="shared" si="0"/>
        <v>COMPLETO</v>
      </c>
      <c r="B9" s="20" t="s">
        <v>708</v>
      </c>
      <c r="C9" s="17" t="s">
        <v>1063</v>
      </c>
      <c r="D9" s="18" t="s">
        <v>1077</v>
      </c>
      <c r="E9" s="26" t="s">
        <v>1084</v>
      </c>
      <c r="F9" s="7" t="s">
        <v>7</v>
      </c>
      <c r="G9" s="7" t="s">
        <v>7</v>
      </c>
      <c r="H9" s="7" t="s">
        <v>53</v>
      </c>
      <c r="I9" s="7" t="s">
        <v>9</v>
      </c>
      <c r="J9" s="11" t="s">
        <v>9</v>
      </c>
      <c r="K9" s="11" t="s">
        <v>9</v>
      </c>
      <c r="L9" s="7" t="s">
        <v>9</v>
      </c>
      <c r="M9" s="11" t="s">
        <v>9</v>
      </c>
      <c r="N9" s="11" t="s">
        <v>9</v>
      </c>
      <c r="O9" s="11" t="s">
        <v>9</v>
      </c>
      <c r="P9" s="7" t="s">
        <v>9</v>
      </c>
      <c r="Q9" s="8" t="s">
        <v>7</v>
      </c>
      <c r="R9" s="7" t="s">
        <v>9</v>
      </c>
      <c r="S9" s="7" t="s">
        <v>9</v>
      </c>
      <c r="T9" s="12" t="s">
        <v>53</v>
      </c>
      <c r="U9" s="7" t="s">
        <v>53</v>
      </c>
      <c r="V9" s="7" t="s">
        <v>53</v>
      </c>
    </row>
    <row r="10" spans="1:23" x14ac:dyDescent="0.25">
      <c r="A10" s="19" t="str">
        <f t="shared" si="0"/>
        <v>COMPLETO</v>
      </c>
      <c r="B10" s="20" t="s">
        <v>710</v>
      </c>
      <c r="C10" s="17" t="s">
        <v>1064</v>
      </c>
      <c r="D10" s="18" t="s">
        <v>1078</v>
      </c>
      <c r="E10" s="18" t="s">
        <v>1079</v>
      </c>
      <c r="F10" s="7" t="s">
        <v>53</v>
      </c>
      <c r="G10" s="7" t="s">
        <v>53</v>
      </c>
      <c r="H10" s="7" t="s">
        <v>53</v>
      </c>
      <c r="I10" s="7" t="s">
        <v>53</v>
      </c>
      <c r="J10" s="11" t="s">
        <v>9</v>
      </c>
      <c r="K10" s="11" t="s">
        <v>9</v>
      </c>
      <c r="L10" s="7" t="s">
        <v>9</v>
      </c>
      <c r="M10" s="11" t="s">
        <v>9</v>
      </c>
      <c r="N10" s="11" t="s">
        <v>9</v>
      </c>
      <c r="O10" s="11" t="s">
        <v>9</v>
      </c>
      <c r="P10" s="7">
        <v>18</v>
      </c>
      <c r="Q10" s="8" t="s">
        <v>53</v>
      </c>
      <c r="R10" s="7" t="s">
        <v>53</v>
      </c>
      <c r="S10" s="7" t="s">
        <v>53</v>
      </c>
      <c r="T10" s="12" t="s">
        <v>9</v>
      </c>
      <c r="U10" s="7" t="s">
        <v>53</v>
      </c>
      <c r="V10" s="7" t="s">
        <v>53</v>
      </c>
    </row>
    <row r="11" spans="1:23" x14ac:dyDescent="0.25">
      <c r="A11" s="19" t="str">
        <f t="shared" si="0"/>
        <v>COMPLETO</v>
      </c>
      <c r="B11" s="20" t="s">
        <v>1065</v>
      </c>
      <c r="C11" s="17" t="s">
        <v>1066</v>
      </c>
      <c r="D11" s="18" t="s">
        <v>1080</v>
      </c>
      <c r="E11" s="18" t="s">
        <v>1081</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3" x14ac:dyDescent="0.25">
      <c r="A12" s="19" t="str">
        <f t="shared" si="0"/>
        <v>COMPLETO</v>
      </c>
      <c r="B12" s="20" t="s">
        <v>1067</v>
      </c>
      <c r="C12" s="17" t="s">
        <v>1068</v>
      </c>
      <c r="D12" s="18" t="s">
        <v>1082</v>
      </c>
      <c r="E12" s="18" t="s">
        <v>1083</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t="s">
        <v>53</v>
      </c>
      <c r="V12" s="7" t="s">
        <v>53</v>
      </c>
    </row>
    <row r="13" spans="1:23" x14ac:dyDescent="0.25">
      <c r="A13" s="19"/>
      <c r="B13" s="20"/>
      <c r="C13" s="17"/>
      <c r="D13" s="18"/>
      <c r="E13" s="18"/>
      <c r="F13" s="7"/>
      <c r="G13" s="7"/>
      <c r="H13" s="7"/>
      <c r="I13" s="7"/>
      <c r="J13" s="11"/>
      <c r="K13" s="11"/>
      <c r="L13" s="7"/>
      <c r="M13" s="11"/>
      <c r="N13" s="11"/>
      <c r="O13" s="11"/>
      <c r="P13" s="7"/>
      <c r="Q13" s="8"/>
      <c r="R13" s="7"/>
      <c r="S13" s="7"/>
      <c r="T13" s="12"/>
      <c r="U13" s="7"/>
      <c r="V13" s="7"/>
    </row>
    <row r="14" spans="1:23" x14ac:dyDescent="0.25">
      <c r="A14" s="19"/>
      <c r="B14" s="20"/>
      <c r="C14" s="17"/>
      <c r="D14" s="18"/>
      <c r="E14" s="18"/>
      <c r="F14" s="7"/>
      <c r="G14" s="7"/>
      <c r="H14" s="7"/>
      <c r="I14" s="7"/>
      <c r="J14" s="11"/>
      <c r="K14" s="11"/>
      <c r="L14" s="7"/>
      <c r="M14" s="11"/>
      <c r="N14" s="11"/>
      <c r="O14" s="11"/>
      <c r="P14" s="7"/>
      <c r="Q14" s="8"/>
      <c r="R14" s="7"/>
      <c r="S14" s="7"/>
      <c r="T14" s="12"/>
      <c r="U14" s="7"/>
      <c r="V14" s="7"/>
    </row>
    <row r="15" spans="1:23" x14ac:dyDescent="0.25">
      <c r="A15" s="19"/>
      <c r="B15" s="20"/>
      <c r="C15" s="17"/>
      <c r="D15" s="18"/>
      <c r="E15" s="18"/>
      <c r="F15" s="7"/>
      <c r="G15" s="7"/>
      <c r="H15" s="7"/>
      <c r="I15" s="7"/>
      <c r="J15" s="11"/>
      <c r="K15" s="11"/>
      <c r="L15" s="7"/>
      <c r="M15" s="11"/>
      <c r="N15" s="11"/>
      <c r="O15" s="11"/>
      <c r="P15" s="7"/>
      <c r="Q15" s="8"/>
      <c r="R15" s="7"/>
      <c r="S15" s="7"/>
      <c r="T15" s="12"/>
      <c r="U15" s="7"/>
      <c r="V15" s="7"/>
    </row>
    <row r="16" spans="1:23"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219" priority="29" operator="equal">
      <formula>"F"</formula>
    </cfRule>
    <cfRule type="cellIs" dxfId="218" priority="30" operator="equal">
      <formula>"OK"</formula>
    </cfRule>
    <cfRule type="cellIs" dxfId="217" priority="31" operator="between">
      <formula>6</formula>
      <formula>18</formula>
    </cfRule>
  </conditionalFormatting>
  <conditionalFormatting sqref="C1:E1 A2:E2 C3:C4 E3:E4 A5:E1048576">
    <cfRule type="expression" dxfId="216" priority="27">
      <formula>$A1="FALTA"</formula>
    </cfRule>
    <cfRule type="expression" dxfId="215" priority="28">
      <formula>$A1="COMPLETO"</formula>
    </cfRule>
  </conditionalFormatting>
  <conditionalFormatting sqref="B3">
    <cfRule type="expression" dxfId="214" priority="19">
      <formula>$A3="FALTA"</formula>
    </cfRule>
    <cfRule type="expression" dxfId="213" priority="20">
      <formula>$A3="COMPLETO"</formula>
    </cfRule>
  </conditionalFormatting>
  <conditionalFormatting sqref="D3:D4">
    <cfRule type="expression" dxfId="212" priority="17">
      <formula>$A3="FALTA"</formula>
    </cfRule>
    <cfRule type="expression" dxfId="211" priority="18">
      <formula>$A3="COMPLETO"</formula>
    </cfRule>
  </conditionalFormatting>
  <conditionalFormatting sqref="F4">
    <cfRule type="cellIs" dxfId="210" priority="14" operator="equal">
      <formula>"F"</formula>
    </cfRule>
    <cfRule type="cellIs" dxfId="209" priority="15" operator="equal">
      <formula>"OK"</formula>
    </cfRule>
    <cfRule type="cellIs" dxfId="208" priority="16" operator="between">
      <formula>6</formula>
      <formula>18</formula>
    </cfRule>
  </conditionalFormatting>
  <conditionalFormatting sqref="A1:B1">
    <cfRule type="expression" dxfId="207" priority="12">
      <formula>$A1="FALTA"</formula>
    </cfRule>
    <cfRule type="expression" dxfId="206" priority="13">
      <formula>$A1="COMPLETO"</formula>
    </cfRule>
  </conditionalFormatting>
  <conditionalFormatting sqref="U3:V3">
    <cfRule type="cellIs" dxfId="205" priority="6" operator="equal">
      <formula>"F"</formula>
    </cfRule>
    <cfRule type="cellIs" dxfId="204" priority="7" operator="equal">
      <formula>"OK"</formula>
    </cfRule>
    <cfRule type="cellIs" dxfId="203" priority="8" operator="between">
      <formula>6</formula>
      <formula>18</formula>
    </cfRule>
  </conditionalFormatting>
  <conditionalFormatting sqref="F3">
    <cfRule type="cellIs" dxfId="202" priority="3" operator="equal">
      <formula>"F"</formula>
    </cfRule>
    <cfRule type="cellIs" dxfId="201" priority="4" operator="equal">
      <formula>"OK"</formula>
    </cfRule>
    <cfRule type="cellIs" dxfId="200" priority="5" operator="between">
      <formula>6</formula>
      <formula>18</formula>
    </cfRule>
  </conditionalFormatting>
  <conditionalFormatting sqref="A3">
    <cfRule type="expression" dxfId="199" priority="1">
      <formula>$A3="FALTA"</formula>
    </cfRule>
    <cfRule type="expression" dxfId="198"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1">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ZPaz 29</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COMPLETO</v>
      </c>
      <c r="B3" s="385" t="s">
        <v>116</v>
      </c>
      <c r="C3" s="23" t="s">
        <v>1085</v>
      </c>
      <c r="D3" s="29" t="s">
        <v>5</v>
      </c>
      <c r="E3" s="10" t="s">
        <v>1744</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1"/>
      <c r="V3" s="381"/>
    </row>
    <row r="4" spans="1:22" x14ac:dyDescent="0.25">
      <c r="A4" s="384"/>
      <c r="B4" s="386"/>
      <c r="C4" s="23" t="s">
        <v>1086</v>
      </c>
      <c r="D4" s="29" t="s">
        <v>6</v>
      </c>
      <c r="E4" s="10" t="s">
        <v>1087</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2"/>
      <c r="V4" s="382"/>
    </row>
    <row r="5" spans="1:22" ht="15" customHeight="1" x14ac:dyDescent="0.25">
      <c r="A5" s="19" t="str">
        <f>IF(COUNTIF(F5:V5,"F")&gt;0,"FALTA","COMPLETO")</f>
        <v>COMPLETO</v>
      </c>
      <c r="B5" s="20" t="s">
        <v>151</v>
      </c>
      <c r="C5" s="17" t="s">
        <v>1088</v>
      </c>
      <c r="D5" s="18" t="s">
        <v>1105</v>
      </c>
      <c r="E5" s="18" t="s">
        <v>2440</v>
      </c>
      <c r="F5" s="7" t="s">
        <v>53</v>
      </c>
      <c r="G5" s="7" t="s">
        <v>53</v>
      </c>
      <c r="H5" s="7" t="s">
        <v>53</v>
      </c>
      <c r="I5" s="7" t="s">
        <v>9</v>
      </c>
      <c r="J5" s="11" t="s">
        <v>53</v>
      </c>
      <c r="K5" s="11" t="s">
        <v>53</v>
      </c>
      <c r="L5" s="7" t="s">
        <v>9</v>
      </c>
      <c r="M5" s="11" t="s">
        <v>9</v>
      </c>
      <c r="N5" s="11" t="s">
        <v>9</v>
      </c>
      <c r="O5" s="11" t="s">
        <v>9</v>
      </c>
      <c r="P5" s="7" t="s">
        <v>9</v>
      </c>
      <c r="Q5" s="8" t="s">
        <v>7</v>
      </c>
      <c r="R5" s="7" t="s">
        <v>9</v>
      </c>
      <c r="S5" s="7" t="s">
        <v>9</v>
      </c>
      <c r="T5" s="12" t="s">
        <v>9</v>
      </c>
      <c r="U5" s="7"/>
      <c r="V5" s="7"/>
    </row>
    <row r="6" spans="1:22" ht="15" customHeight="1" x14ac:dyDescent="0.25">
      <c r="A6" s="19" t="str">
        <f t="shared" ref="A6:A22" si="0">IF(COUNTIF(F6:V6,"F")&gt;0,"FALTA","COMPLETO")</f>
        <v>COMPLETO</v>
      </c>
      <c r="B6" s="20" t="s">
        <v>153</v>
      </c>
      <c r="C6" s="17" t="s">
        <v>1089</v>
      </c>
      <c r="D6" s="18" t="s">
        <v>1106</v>
      </c>
      <c r="E6" s="18" t="s">
        <v>1339</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158</v>
      </c>
      <c r="C7" s="17" t="s">
        <v>1090</v>
      </c>
      <c r="D7" s="18" t="s">
        <v>1107</v>
      </c>
      <c r="E7" s="18" t="s">
        <v>2414</v>
      </c>
      <c r="F7" s="7" t="s">
        <v>53</v>
      </c>
      <c r="G7" s="7" t="s">
        <v>53</v>
      </c>
      <c r="H7" s="7" t="s">
        <v>53</v>
      </c>
      <c r="I7" s="7" t="s">
        <v>53</v>
      </c>
      <c r="J7" s="11" t="s">
        <v>53</v>
      </c>
      <c r="K7" s="11" t="s">
        <v>53</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160</v>
      </c>
      <c r="C8" s="17" t="s">
        <v>1091</v>
      </c>
      <c r="D8" s="18" t="s">
        <v>1108</v>
      </c>
      <c r="E8" s="18" t="s">
        <v>1750</v>
      </c>
      <c r="F8" s="7" t="s">
        <v>53</v>
      </c>
      <c r="G8" s="7" t="s">
        <v>53</v>
      </c>
      <c r="H8" s="7" t="s">
        <v>53</v>
      </c>
      <c r="I8" s="7" t="s">
        <v>53</v>
      </c>
      <c r="J8" s="11" t="s">
        <v>9</v>
      </c>
      <c r="K8" s="11" t="s">
        <v>9</v>
      </c>
      <c r="L8" s="7" t="s">
        <v>9</v>
      </c>
      <c r="M8" s="11" t="s">
        <v>9</v>
      </c>
      <c r="N8" s="11" t="s">
        <v>9</v>
      </c>
      <c r="O8" s="11" t="s">
        <v>9</v>
      </c>
      <c r="P8" s="7" t="s">
        <v>9</v>
      </c>
      <c r="Q8" s="8" t="s">
        <v>7</v>
      </c>
      <c r="R8" s="7" t="s">
        <v>9</v>
      </c>
      <c r="S8" s="7" t="s">
        <v>9</v>
      </c>
      <c r="T8" s="12" t="s">
        <v>9</v>
      </c>
      <c r="U8" s="7"/>
      <c r="V8" s="7"/>
    </row>
    <row r="9" spans="1:22" x14ac:dyDescent="0.25">
      <c r="A9" s="19" t="str">
        <f t="shared" si="0"/>
        <v>COMPLETO</v>
      </c>
      <c r="B9" s="20" t="s">
        <v>162</v>
      </c>
      <c r="C9" s="17" t="s">
        <v>1092</v>
      </c>
      <c r="D9" s="18" t="s">
        <v>1109</v>
      </c>
      <c r="E9" s="18" t="s">
        <v>1110</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164</v>
      </c>
      <c r="C10" s="17" t="s">
        <v>1093</v>
      </c>
      <c r="D10" s="18" t="s">
        <v>1111</v>
      </c>
      <c r="E10" s="18" t="s">
        <v>1112</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c r="V10" s="7"/>
    </row>
    <row r="11" spans="1:22" x14ac:dyDescent="0.25">
      <c r="A11" s="19" t="str">
        <f t="shared" si="0"/>
        <v>COMPLETO</v>
      </c>
      <c r="B11" s="20" t="s">
        <v>166</v>
      </c>
      <c r="C11" s="17" t="s">
        <v>1094</v>
      </c>
      <c r="D11" s="18" t="s">
        <v>1113</v>
      </c>
      <c r="E11" s="18" t="s">
        <v>1745</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168</v>
      </c>
      <c r="C12" s="17" t="s">
        <v>1086</v>
      </c>
      <c r="D12" s="18" t="s">
        <v>1114</v>
      </c>
      <c r="E12" s="18" t="s">
        <v>1115</v>
      </c>
      <c r="F12" s="7" t="s">
        <v>53</v>
      </c>
      <c r="G12" s="7" t="s">
        <v>53</v>
      </c>
      <c r="H12" s="7" t="s">
        <v>53</v>
      </c>
      <c r="I12" s="7" t="s">
        <v>9</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COMPLETO</v>
      </c>
      <c r="B13" s="20" t="s">
        <v>170</v>
      </c>
      <c r="C13" s="17" t="s">
        <v>1095</v>
      </c>
      <c r="D13" s="18" t="s">
        <v>1116</v>
      </c>
      <c r="E13" s="18" t="s">
        <v>1277</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c r="V13" s="7"/>
    </row>
    <row r="14" spans="1:22" x14ac:dyDescent="0.25">
      <c r="A14" s="19" t="str">
        <f t="shared" si="0"/>
        <v>COMPLETO</v>
      </c>
      <c r="B14" s="20" t="s">
        <v>172</v>
      </c>
      <c r="C14" s="17" t="s">
        <v>1096</v>
      </c>
      <c r="D14" s="18" t="s">
        <v>1117</v>
      </c>
      <c r="E14" s="18" t="s">
        <v>1736</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c r="V14" s="7"/>
    </row>
    <row r="15" spans="1:22" x14ac:dyDescent="0.25">
      <c r="A15" s="19" t="str">
        <f t="shared" si="0"/>
        <v>COMPLETO</v>
      </c>
      <c r="B15" s="20" t="s">
        <v>174</v>
      </c>
      <c r="C15" s="17" t="s">
        <v>1097</v>
      </c>
      <c r="D15" s="18" t="s">
        <v>1118</v>
      </c>
      <c r="E15" s="18" t="s">
        <v>1746</v>
      </c>
      <c r="F15" s="7" t="s">
        <v>53</v>
      </c>
      <c r="G15" s="7" t="s">
        <v>53</v>
      </c>
      <c r="H15" s="7" t="s">
        <v>53</v>
      </c>
      <c r="I15" s="7" t="s">
        <v>9</v>
      </c>
      <c r="J15" s="11" t="s">
        <v>53</v>
      </c>
      <c r="K15" s="11" t="s">
        <v>53</v>
      </c>
      <c r="L15" s="7" t="s">
        <v>9</v>
      </c>
      <c r="M15" s="11" t="s">
        <v>9</v>
      </c>
      <c r="N15" s="11" t="s">
        <v>9</v>
      </c>
      <c r="O15" s="11" t="s">
        <v>9</v>
      </c>
      <c r="P15" s="7" t="s">
        <v>9</v>
      </c>
      <c r="Q15" s="8" t="s">
        <v>7</v>
      </c>
      <c r="R15" s="7" t="s">
        <v>9</v>
      </c>
      <c r="S15" s="7" t="s">
        <v>9</v>
      </c>
      <c r="T15" s="12" t="s">
        <v>9</v>
      </c>
      <c r="U15" s="7"/>
      <c r="V15" s="7"/>
    </row>
    <row r="16" spans="1:22" x14ac:dyDescent="0.25">
      <c r="A16" s="19" t="str">
        <f t="shared" si="0"/>
        <v>COMPLETO</v>
      </c>
      <c r="B16" s="20" t="s">
        <v>175</v>
      </c>
      <c r="C16" s="17" t="s">
        <v>1098</v>
      </c>
      <c r="D16" s="18" t="s">
        <v>1119</v>
      </c>
      <c r="E16" s="18" t="s">
        <v>1274</v>
      </c>
      <c r="F16" s="7" t="s">
        <v>53</v>
      </c>
      <c r="G16" s="7" t="s">
        <v>53</v>
      </c>
      <c r="H16" s="7" t="s">
        <v>53</v>
      </c>
      <c r="I16" s="7" t="s">
        <v>9</v>
      </c>
      <c r="J16" s="11" t="s">
        <v>9</v>
      </c>
      <c r="K16" s="11" t="s">
        <v>9</v>
      </c>
      <c r="L16" s="7" t="s">
        <v>9</v>
      </c>
      <c r="M16" s="11" t="s">
        <v>9</v>
      </c>
      <c r="N16" s="11" t="s">
        <v>9</v>
      </c>
      <c r="O16" s="11" t="s">
        <v>9</v>
      </c>
      <c r="P16" s="7" t="s">
        <v>9</v>
      </c>
      <c r="Q16" s="8" t="s">
        <v>7</v>
      </c>
      <c r="R16" s="7" t="s">
        <v>9</v>
      </c>
      <c r="S16" s="7" t="s">
        <v>9</v>
      </c>
      <c r="T16" s="12" t="s">
        <v>9</v>
      </c>
      <c r="U16" s="7"/>
      <c r="V16" s="7"/>
    </row>
    <row r="17" spans="1:22" x14ac:dyDescent="0.25">
      <c r="A17" s="19" t="str">
        <f t="shared" si="0"/>
        <v>COMPLETO</v>
      </c>
      <c r="B17" s="20" t="s">
        <v>177</v>
      </c>
      <c r="C17" s="17" t="s">
        <v>1099</v>
      </c>
      <c r="D17" s="18" t="s">
        <v>1120</v>
      </c>
      <c r="E17" s="18" t="s">
        <v>1121</v>
      </c>
      <c r="F17" s="7" t="s">
        <v>53</v>
      </c>
      <c r="G17" s="7" t="s">
        <v>53</v>
      </c>
      <c r="H17" s="7" t="s">
        <v>53</v>
      </c>
      <c r="I17" s="7" t="s">
        <v>9</v>
      </c>
      <c r="J17" s="11" t="s">
        <v>9</v>
      </c>
      <c r="K17" s="11" t="s">
        <v>9</v>
      </c>
      <c r="L17" s="7" t="s">
        <v>9</v>
      </c>
      <c r="M17" s="11" t="s">
        <v>9</v>
      </c>
      <c r="N17" s="11" t="s">
        <v>9</v>
      </c>
      <c r="O17" s="11" t="s">
        <v>9</v>
      </c>
      <c r="P17" s="7" t="s">
        <v>9</v>
      </c>
      <c r="Q17" s="8" t="s">
        <v>7</v>
      </c>
      <c r="R17" s="7" t="s">
        <v>9</v>
      </c>
      <c r="S17" s="7" t="s">
        <v>9</v>
      </c>
      <c r="T17" s="12" t="s">
        <v>9</v>
      </c>
      <c r="U17" s="7"/>
      <c r="V17" s="7"/>
    </row>
    <row r="18" spans="1:22" x14ac:dyDescent="0.25">
      <c r="A18" s="19" t="str">
        <f t="shared" si="0"/>
        <v>COMPLETO</v>
      </c>
      <c r="B18" s="20" t="s">
        <v>179</v>
      </c>
      <c r="C18" s="17" t="s">
        <v>1100</v>
      </c>
      <c r="D18" s="18" t="s">
        <v>1122</v>
      </c>
      <c r="E18" s="18" t="s">
        <v>1123</v>
      </c>
      <c r="F18" s="7" t="s">
        <v>53</v>
      </c>
      <c r="G18" s="7" t="s">
        <v>53</v>
      </c>
      <c r="H18" s="7" t="s">
        <v>53</v>
      </c>
      <c r="I18" s="7" t="s">
        <v>9</v>
      </c>
      <c r="J18" s="11" t="s">
        <v>9</v>
      </c>
      <c r="K18" s="11" t="s">
        <v>9</v>
      </c>
      <c r="L18" s="7" t="s">
        <v>9</v>
      </c>
      <c r="M18" s="11" t="s">
        <v>9</v>
      </c>
      <c r="N18" s="11" t="s">
        <v>9</v>
      </c>
      <c r="O18" s="11" t="s">
        <v>9</v>
      </c>
      <c r="P18" s="7" t="s">
        <v>9</v>
      </c>
      <c r="Q18" s="8" t="s">
        <v>7</v>
      </c>
      <c r="R18" s="7" t="s">
        <v>9</v>
      </c>
      <c r="S18" s="7" t="s">
        <v>9</v>
      </c>
      <c r="T18" s="12" t="s">
        <v>9</v>
      </c>
      <c r="U18" s="7"/>
      <c r="V18" s="7"/>
    </row>
    <row r="19" spans="1:22" x14ac:dyDescent="0.25">
      <c r="A19" s="19" t="str">
        <f t="shared" si="0"/>
        <v>COMPLETO</v>
      </c>
      <c r="B19" s="20" t="s">
        <v>181</v>
      </c>
      <c r="C19" s="17" t="s">
        <v>1101</v>
      </c>
      <c r="D19" s="18" t="s">
        <v>1124</v>
      </c>
      <c r="E19" s="18" t="s">
        <v>1362</v>
      </c>
      <c r="F19" s="7" t="s">
        <v>53</v>
      </c>
      <c r="G19" s="7" t="s">
        <v>53</v>
      </c>
      <c r="H19" s="7" t="s">
        <v>53</v>
      </c>
      <c r="I19" s="7" t="s">
        <v>53</v>
      </c>
      <c r="J19" s="11" t="s">
        <v>9</v>
      </c>
      <c r="K19" s="11" t="s">
        <v>9</v>
      </c>
      <c r="L19" s="7" t="s">
        <v>9</v>
      </c>
      <c r="M19" s="11" t="s">
        <v>9</v>
      </c>
      <c r="N19" s="11" t="s">
        <v>9</v>
      </c>
      <c r="O19" s="11" t="s">
        <v>9</v>
      </c>
      <c r="P19" s="7" t="s">
        <v>9</v>
      </c>
      <c r="Q19" s="8" t="s">
        <v>7</v>
      </c>
      <c r="R19" s="7" t="s">
        <v>9</v>
      </c>
      <c r="S19" s="7" t="s">
        <v>9</v>
      </c>
      <c r="T19" s="12" t="s">
        <v>9</v>
      </c>
      <c r="U19" s="7"/>
      <c r="V19" s="7"/>
    </row>
    <row r="20" spans="1:22" x14ac:dyDescent="0.25">
      <c r="A20" s="19" t="str">
        <f t="shared" si="0"/>
        <v>COMPLETO</v>
      </c>
      <c r="B20" s="20" t="s">
        <v>183</v>
      </c>
      <c r="C20" s="17" t="s">
        <v>1102</v>
      </c>
      <c r="D20" s="18" t="s">
        <v>1125</v>
      </c>
      <c r="E20" s="18" t="s">
        <v>1126</v>
      </c>
      <c r="F20" s="7" t="s">
        <v>53</v>
      </c>
      <c r="G20" s="7" t="s">
        <v>53</v>
      </c>
      <c r="H20" s="7" t="s">
        <v>53</v>
      </c>
      <c r="I20" s="7" t="s">
        <v>9</v>
      </c>
      <c r="J20" s="11" t="s">
        <v>9</v>
      </c>
      <c r="K20" s="11" t="s">
        <v>9</v>
      </c>
      <c r="L20" s="7" t="s">
        <v>9</v>
      </c>
      <c r="M20" s="11" t="s">
        <v>9</v>
      </c>
      <c r="N20" s="11" t="s">
        <v>9</v>
      </c>
      <c r="O20" s="11" t="s">
        <v>9</v>
      </c>
      <c r="P20" s="7" t="s">
        <v>9</v>
      </c>
      <c r="Q20" s="8" t="s">
        <v>7</v>
      </c>
      <c r="R20" s="7" t="s">
        <v>9</v>
      </c>
      <c r="S20" s="7" t="s">
        <v>9</v>
      </c>
      <c r="T20" s="12" t="s">
        <v>9</v>
      </c>
      <c r="U20" s="7"/>
      <c r="V20" s="7"/>
    </row>
    <row r="21" spans="1:22" x14ac:dyDescent="0.25">
      <c r="A21" s="19" t="str">
        <f t="shared" si="0"/>
        <v>COMPLETO</v>
      </c>
      <c r="B21" s="20" t="s">
        <v>185</v>
      </c>
      <c r="C21" s="17" t="s">
        <v>1103</v>
      </c>
      <c r="D21" s="18" t="s">
        <v>1127</v>
      </c>
      <c r="E21" s="18" t="s">
        <v>1273</v>
      </c>
      <c r="F21" s="7" t="s">
        <v>53</v>
      </c>
      <c r="G21" s="7" t="s">
        <v>53</v>
      </c>
      <c r="H21" s="7" t="s">
        <v>53</v>
      </c>
      <c r="I21" s="7" t="s">
        <v>53</v>
      </c>
      <c r="J21" s="11" t="s">
        <v>9</v>
      </c>
      <c r="K21" s="11" t="s">
        <v>9</v>
      </c>
      <c r="L21" s="7" t="s">
        <v>9</v>
      </c>
      <c r="M21" s="11" t="s">
        <v>9</v>
      </c>
      <c r="N21" s="11" t="s">
        <v>9</v>
      </c>
      <c r="O21" s="11" t="s">
        <v>9</v>
      </c>
      <c r="P21" s="7" t="s">
        <v>9</v>
      </c>
      <c r="Q21" s="8" t="s">
        <v>7</v>
      </c>
      <c r="R21" s="7" t="s">
        <v>9</v>
      </c>
      <c r="S21" s="7" t="s">
        <v>9</v>
      </c>
      <c r="T21" s="12" t="s">
        <v>9</v>
      </c>
      <c r="U21" s="7"/>
      <c r="V21" s="7"/>
    </row>
    <row r="22" spans="1:22" x14ac:dyDescent="0.25">
      <c r="A22" s="19" t="str">
        <f t="shared" si="0"/>
        <v>COMPLETO</v>
      </c>
      <c r="B22" s="20" t="s">
        <v>187</v>
      </c>
      <c r="C22" s="17" t="s">
        <v>1104</v>
      </c>
      <c r="D22" s="18" t="s">
        <v>1128</v>
      </c>
      <c r="E22" s="18" t="s">
        <v>1129</v>
      </c>
      <c r="F22" s="7" t="s">
        <v>53</v>
      </c>
      <c r="G22" s="7" t="s">
        <v>53</v>
      </c>
      <c r="H22" s="7" t="s">
        <v>53</v>
      </c>
      <c r="I22" s="7" t="s">
        <v>9</v>
      </c>
      <c r="J22" s="11" t="s">
        <v>9</v>
      </c>
      <c r="K22" s="11" t="s">
        <v>9</v>
      </c>
      <c r="L22" s="7" t="s">
        <v>9</v>
      </c>
      <c r="M22" s="11" t="s">
        <v>9</v>
      </c>
      <c r="N22" s="11" t="s">
        <v>9</v>
      </c>
      <c r="O22" s="11" t="s">
        <v>9</v>
      </c>
      <c r="P22" s="7" t="s">
        <v>9</v>
      </c>
      <c r="Q22" s="8" t="s">
        <v>7</v>
      </c>
      <c r="R22" s="7" t="s">
        <v>9</v>
      </c>
      <c r="S22" s="7" t="s">
        <v>9</v>
      </c>
      <c r="T22" s="12" t="s">
        <v>9</v>
      </c>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197" priority="33" operator="equal">
      <formula>"F"</formula>
    </cfRule>
    <cfRule type="cellIs" dxfId="196" priority="34" operator="equal">
      <formula>"OK"</formula>
    </cfRule>
    <cfRule type="cellIs" dxfId="195" priority="35" operator="between">
      <formula>6</formula>
      <formula>18</formula>
    </cfRule>
  </conditionalFormatting>
  <conditionalFormatting sqref="C1:E1 A2:E2 C3:C4 E3:E4 A5:E1048576">
    <cfRule type="expression" dxfId="194" priority="31">
      <formula>$A1="FALTA"</formula>
    </cfRule>
    <cfRule type="expression" dxfId="193" priority="32">
      <formula>$A1="COMPLETO"</formula>
    </cfRule>
  </conditionalFormatting>
  <conditionalFormatting sqref="B3">
    <cfRule type="expression" dxfId="192" priority="19">
      <formula>$A3="FALTA"</formula>
    </cfRule>
    <cfRule type="expression" dxfId="191" priority="20">
      <formula>$A3="COMPLETO"</formula>
    </cfRule>
  </conditionalFormatting>
  <conditionalFormatting sqref="D3:D4">
    <cfRule type="expression" dxfId="190" priority="17">
      <formula>$A3="FALTA"</formula>
    </cfRule>
    <cfRule type="expression" dxfId="189" priority="18">
      <formula>$A3="COMPLETO"</formula>
    </cfRule>
  </conditionalFormatting>
  <conditionalFormatting sqref="F4">
    <cfRule type="cellIs" dxfId="188" priority="14" operator="equal">
      <formula>"F"</formula>
    </cfRule>
    <cfRule type="cellIs" dxfId="187" priority="15" operator="equal">
      <formula>"OK"</formula>
    </cfRule>
    <cfRule type="cellIs" dxfId="186" priority="16" operator="between">
      <formula>6</formula>
      <formula>18</formula>
    </cfRule>
  </conditionalFormatting>
  <conditionalFormatting sqref="A1:B1">
    <cfRule type="expression" dxfId="185" priority="12">
      <formula>$A1="FALTA"</formula>
    </cfRule>
    <cfRule type="expression" dxfId="184" priority="13">
      <formula>$A1="COMPLETO"</formula>
    </cfRule>
  </conditionalFormatting>
  <conditionalFormatting sqref="U3:V3">
    <cfRule type="cellIs" dxfId="183" priority="6" operator="equal">
      <formula>"F"</formula>
    </cfRule>
    <cfRule type="cellIs" dxfId="182" priority="7" operator="equal">
      <formula>"OK"</formula>
    </cfRule>
    <cfRule type="cellIs" dxfId="181" priority="8" operator="between">
      <formula>6</formula>
      <formula>18</formula>
    </cfRule>
  </conditionalFormatting>
  <conditionalFormatting sqref="F3">
    <cfRule type="cellIs" dxfId="180" priority="3" operator="equal">
      <formula>"F"</formula>
    </cfRule>
    <cfRule type="cellIs" dxfId="179" priority="4" operator="equal">
      <formula>"OK"</formula>
    </cfRule>
    <cfRule type="cellIs" dxfId="178" priority="5" operator="between">
      <formula>6</formula>
      <formula>18</formula>
    </cfRule>
  </conditionalFormatting>
  <conditionalFormatting sqref="A3">
    <cfRule type="expression" dxfId="177" priority="1">
      <formula>$A3="FALTA"</formula>
    </cfRule>
    <cfRule type="expression" dxfId="176"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8">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ZPerdiz 5</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FALTA</v>
      </c>
      <c r="B3" s="385" t="s">
        <v>116</v>
      </c>
      <c r="C3" s="23" t="s">
        <v>1130</v>
      </c>
      <c r="D3" s="29" t="s">
        <v>5</v>
      </c>
      <c r="E3" s="10" t="s">
        <v>2457</v>
      </c>
      <c r="F3" s="30">
        <f>IF(AND(ISBLANK(U3),ISBLANK(V3)),1-(COUNTIF(G3:V4,"F")/7),1-(COUNTIF(U3:V3,"F")/2))</f>
        <v>1</v>
      </c>
      <c r="G3" s="24"/>
      <c r="H3" s="24"/>
      <c r="I3" s="24"/>
      <c r="J3" s="24"/>
      <c r="K3" s="24"/>
      <c r="L3" s="24" t="s">
        <v>28</v>
      </c>
      <c r="M3" s="11" t="s">
        <v>53</v>
      </c>
      <c r="N3" s="24"/>
      <c r="O3" s="24"/>
      <c r="P3" s="25"/>
      <c r="Q3" s="24" t="s">
        <v>24</v>
      </c>
      <c r="R3" s="11" t="s">
        <v>7</v>
      </c>
      <c r="S3" s="24" t="s">
        <v>12</v>
      </c>
      <c r="T3" s="11" t="s">
        <v>53</v>
      </c>
      <c r="U3" s="381" t="s">
        <v>7</v>
      </c>
      <c r="V3" s="381" t="s">
        <v>7</v>
      </c>
    </row>
    <row r="4" spans="1:22" x14ac:dyDescent="0.25">
      <c r="A4" s="384"/>
      <c r="B4" s="386"/>
      <c r="C4" s="23"/>
      <c r="D4" s="29" t="s">
        <v>6</v>
      </c>
      <c r="E4" s="10" t="s">
        <v>2452</v>
      </c>
      <c r="F4" s="30">
        <f>COUNTIF(A5:A44,"*COMPLETO*")/COUNTA(A5:A44)</f>
        <v>0.625</v>
      </c>
      <c r="G4" s="24"/>
      <c r="H4" s="24" t="s">
        <v>18</v>
      </c>
      <c r="I4" s="11" t="s">
        <v>53</v>
      </c>
      <c r="J4" s="24"/>
      <c r="K4" s="24"/>
      <c r="L4" s="24" t="s">
        <v>23</v>
      </c>
      <c r="M4" s="11" t="s">
        <v>8</v>
      </c>
      <c r="N4" s="24"/>
      <c r="O4" s="24"/>
      <c r="P4" s="11"/>
      <c r="Q4" s="24" t="s">
        <v>26</v>
      </c>
      <c r="R4" s="11" t="s">
        <v>53</v>
      </c>
      <c r="S4" s="24" t="s">
        <v>19</v>
      </c>
      <c r="T4" s="11" t="s">
        <v>53</v>
      </c>
      <c r="U4" s="382"/>
      <c r="V4" s="382"/>
    </row>
    <row r="5" spans="1:22" ht="15" customHeight="1" x14ac:dyDescent="0.25">
      <c r="A5" s="19" t="str">
        <f>IF(COUNTIF(F5:V5,"F")&gt;0,"FALTA","COMPLETO")</f>
        <v>COMPLETO</v>
      </c>
      <c r="B5" s="20" t="s">
        <v>231</v>
      </c>
      <c r="C5" s="17" t="s">
        <v>2448</v>
      </c>
      <c r="D5" s="18"/>
      <c r="E5" s="18" t="s">
        <v>2447</v>
      </c>
      <c r="F5" s="7" t="s">
        <v>53</v>
      </c>
      <c r="G5" s="7" t="s">
        <v>53</v>
      </c>
      <c r="H5" s="7"/>
      <c r="I5" s="7" t="s">
        <v>53</v>
      </c>
      <c r="J5" s="11" t="s">
        <v>9</v>
      </c>
      <c r="K5" s="11" t="s">
        <v>9</v>
      </c>
      <c r="L5" s="7" t="s">
        <v>9</v>
      </c>
      <c r="M5" s="11" t="s">
        <v>9</v>
      </c>
      <c r="N5" s="11" t="s">
        <v>9</v>
      </c>
      <c r="O5" s="11" t="s">
        <v>9</v>
      </c>
      <c r="P5" s="7" t="s">
        <v>9</v>
      </c>
      <c r="Q5" s="8" t="s">
        <v>9</v>
      </c>
      <c r="R5" s="7" t="s">
        <v>9</v>
      </c>
      <c r="S5" s="7" t="s">
        <v>9</v>
      </c>
      <c r="T5" s="12" t="s">
        <v>9</v>
      </c>
      <c r="U5" s="7"/>
      <c r="V5" s="7"/>
    </row>
    <row r="6" spans="1:22" ht="15" customHeight="1" x14ac:dyDescent="0.25">
      <c r="A6" s="19" t="str">
        <f t="shared" ref="A6:A12" si="0">IF(COUNTIF(F6:V6,"F")&gt;0,"FALTA","COMPLETO")</f>
        <v>COMPLETO</v>
      </c>
      <c r="B6" s="20" t="s">
        <v>232</v>
      </c>
      <c r="C6" s="17" t="s">
        <v>2450</v>
      </c>
      <c r="D6" s="18"/>
      <c r="E6" s="18" t="s">
        <v>2449</v>
      </c>
      <c r="F6" s="7" t="s">
        <v>53</v>
      </c>
      <c r="G6" s="7" t="s">
        <v>53</v>
      </c>
      <c r="H6" s="7"/>
      <c r="I6" s="7" t="s">
        <v>53</v>
      </c>
      <c r="J6" s="11" t="s">
        <v>9</v>
      </c>
      <c r="K6" s="11" t="s">
        <v>9</v>
      </c>
      <c r="L6" s="7" t="s">
        <v>9</v>
      </c>
      <c r="M6" s="11" t="s">
        <v>9</v>
      </c>
      <c r="N6" s="11" t="s">
        <v>9</v>
      </c>
      <c r="O6" s="11" t="s">
        <v>9</v>
      </c>
      <c r="P6" s="7" t="s">
        <v>9</v>
      </c>
      <c r="Q6" s="8" t="s">
        <v>9</v>
      </c>
      <c r="R6" s="7" t="s">
        <v>9</v>
      </c>
      <c r="S6" s="7" t="s">
        <v>9</v>
      </c>
      <c r="T6" s="12" t="s">
        <v>9</v>
      </c>
      <c r="U6" s="7"/>
      <c r="V6" s="7"/>
    </row>
    <row r="7" spans="1:22" ht="15" customHeight="1" x14ac:dyDescent="0.25">
      <c r="A7" s="19" t="str">
        <f t="shared" si="0"/>
        <v>COMPLETO</v>
      </c>
      <c r="B7" s="20" t="s">
        <v>233</v>
      </c>
      <c r="C7" s="17" t="s">
        <v>1130</v>
      </c>
      <c r="D7" s="18"/>
      <c r="E7" s="18" t="s">
        <v>2456</v>
      </c>
      <c r="F7" s="7" t="s">
        <v>53</v>
      </c>
      <c r="G7" s="7" t="s">
        <v>53</v>
      </c>
      <c r="H7" s="7"/>
      <c r="I7" s="7" t="s">
        <v>53</v>
      </c>
      <c r="J7" s="11" t="s">
        <v>9</v>
      </c>
      <c r="K7" s="11" t="s">
        <v>9</v>
      </c>
      <c r="L7" s="7" t="s">
        <v>9</v>
      </c>
      <c r="M7" s="11" t="s">
        <v>9</v>
      </c>
      <c r="N7" s="11" t="s">
        <v>9</v>
      </c>
      <c r="O7" s="11" t="s">
        <v>9</v>
      </c>
      <c r="P7" s="7" t="s">
        <v>9</v>
      </c>
      <c r="Q7" s="8" t="s">
        <v>9</v>
      </c>
      <c r="R7" s="7" t="s">
        <v>9</v>
      </c>
      <c r="S7" s="7" t="s">
        <v>9</v>
      </c>
      <c r="T7" s="12" t="s">
        <v>9</v>
      </c>
      <c r="U7" s="7"/>
      <c r="V7" s="7"/>
    </row>
    <row r="8" spans="1:22" x14ac:dyDescent="0.25">
      <c r="A8" s="19" t="str">
        <f t="shared" si="0"/>
        <v>FALTA</v>
      </c>
      <c r="B8" s="20" t="s">
        <v>234</v>
      </c>
      <c r="C8" s="17" t="s">
        <v>4</v>
      </c>
      <c r="D8" s="18"/>
      <c r="E8" s="18"/>
      <c r="F8" s="7" t="s">
        <v>8</v>
      </c>
      <c r="G8" s="7" t="s">
        <v>8</v>
      </c>
      <c r="H8" s="7"/>
      <c r="I8" s="7" t="s">
        <v>9</v>
      </c>
      <c r="J8" s="11" t="s">
        <v>9</v>
      </c>
      <c r="K8" s="11" t="s">
        <v>9</v>
      </c>
      <c r="L8" s="7" t="s">
        <v>9</v>
      </c>
      <c r="M8" s="11" t="s">
        <v>9</v>
      </c>
      <c r="N8" s="11" t="s">
        <v>9</v>
      </c>
      <c r="O8" s="11" t="s">
        <v>9</v>
      </c>
      <c r="P8" s="7" t="s">
        <v>9</v>
      </c>
      <c r="Q8" s="8" t="s">
        <v>9</v>
      </c>
      <c r="R8" s="7" t="s">
        <v>9</v>
      </c>
      <c r="S8" s="7" t="s">
        <v>9</v>
      </c>
      <c r="T8" s="12" t="s">
        <v>9</v>
      </c>
      <c r="U8" s="7"/>
      <c r="V8" s="7"/>
    </row>
    <row r="9" spans="1:22" x14ac:dyDescent="0.25">
      <c r="A9" s="19" t="str">
        <f t="shared" si="0"/>
        <v>COMPLETO</v>
      </c>
      <c r="B9" s="20" t="s">
        <v>235</v>
      </c>
      <c r="C9" s="17" t="s">
        <v>2453</v>
      </c>
      <c r="D9" s="18"/>
      <c r="E9" s="18" t="s">
        <v>2451</v>
      </c>
      <c r="F9" s="7" t="s">
        <v>53</v>
      </c>
      <c r="G9" s="7" t="s">
        <v>53</v>
      </c>
      <c r="H9" s="7"/>
      <c r="I9" s="7" t="s">
        <v>53</v>
      </c>
      <c r="J9" s="11" t="s">
        <v>9</v>
      </c>
      <c r="K9" s="11" t="s">
        <v>9</v>
      </c>
      <c r="L9" s="7" t="s">
        <v>9</v>
      </c>
      <c r="M9" s="11" t="s">
        <v>9</v>
      </c>
      <c r="N9" s="11" t="s">
        <v>9</v>
      </c>
      <c r="O9" s="11" t="s">
        <v>9</v>
      </c>
      <c r="P9" s="7" t="s">
        <v>9</v>
      </c>
      <c r="Q9" s="8" t="s">
        <v>9</v>
      </c>
      <c r="R9" s="7" t="s">
        <v>9</v>
      </c>
      <c r="S9" s="7" t="s">
        <v>9</v>
      </c>
      <c r="T9" s="12" t="s">
        <v>9</v>
      </c>
      <c r="U9" s="7"/>
      <c r="V9" s="7"/>
    </row>
    <row r="10" spans="1:22" x14ac:dyDescent="0.25">
      <c r="A10" s="19" t="str">
        <f t="shared" si="0"/>
        <v>FALTA</v>
      </c>
      <c r="B10" s="20" t="s">
        <v>236</v>
      </c>
      <c r="C10" s="17" t="s">
        <v>4</v>
      </c>
      <c r="D10" s="18"/>
      <c r="E10" s="18"/>
      <c r="F10" s="7" t="s">
        <v>8</v>
      </c>
      <c r="G10" s="7" t="s">
        <v>8</v>
      </c>
      <c r="H10" s="7"/>
      <c r="I10" s="7" t="s">
        <v>9</v>
      </c>
      <c r="J10" s="11" t="s">
        <v>9</v>
      </c>
      <c r="K10" s="11" t="s">
        <v>9</v>
      </c>
      <c r="L10" s="7" t="s">
        <v>9</v>
      </c>
      <c r="M10" s="11" t="s">
        <v>9</v>
      </c>
      <c r="N10" s="11" t="s">
        <v>9</v>
      </c>
      <c r="O10" s="11" t="s">
        <v>9</v>
      </c>
      <c r="P10" s="7" t="s">
        <v>9</v>
      </c>
      <c r="Q10" s="8" t="s">
        <v>9</v>
      </c>
      <c r="R10" s="7" t="s">
        <v>9</v>
      </c>
      <c r="S10" s="7" t="s">
        <v>9</v>
      </c>
      <c r="T10" s="12" t="s">
        <v>9</v>
      </c>
      <c r="U10" s="7"/>
      <c r="V10" s="7"/>
    </row>
    <row r="11" spans="1:22" x14ac:dyDescent="0.25">
      <c r="A11" s="19" t="str">
        <f t="shared" si="0"/>
        <v>COMPLETO</v>
      </c>
      <c r="B11" s="20" t="s">
        <v>237</v>
      </c>
      <c r="C11" s="17" t="s">
        <v>2455</v>
      </c>
      <c r="D11" s="18"/>
      <c r="E11" s="18" t="s">
        <v>2454</v>
      </c>
      <c r="F11" s="7" t="s">
        <v>53</v>
      </c>
      <c r="G11" s="7" t="s">
        <v>53</v>
      </c>
      <c r="H11" s="7"/>
      <c r="I11" s="7" t="s">
        <v>53</v>
      </c>
      <c r="J11" s="11" t="s">
        <v>9</v>
      </c>
      <c r="K11" s="11" t="s">
        <v>9</v>
      </c>
      <c r="L11" s="7" t="s">
        <v>9</v>
      </c>
      <c r="M11" s="11" t="s">
        <v>9</v>
      </c>
      <c r="N11" s="11" t="s">
        <v>9</v>
      </c>
      <c r="O11" s="11" t="s">
        <v>9</v>
      </c>
      <c r="P11" s="7" t="s">
        <v>9</v>
      </c>
      <c r="Q11" s="8" t="s">
        <v>9</v>
      </c>
      <c r="R11" s="7" t="s">
        <v>9</v>
      </c>
      <c r="S11" s="7" t="s">
        <v>9</v>
      </c>
      <c r="T11" s="12" t="s">
        <v>9</v>
      </c>
      <c r="U11" s="7"/>
      <c r="V11" s="7"/>
    </row>
    <row r="12" spans="1:22" x14ac:dyDescent="0.25">
      <c r="A12" s="19" t="str">
        <f t="shared" si="0"/>
        <v>FALTA</v>
      </c>
      <c r="B12" s="20" t="s">
        <v>238</v>
      </c>
      <c r="C12" s="17" t="s">
        <v>4</v>
      </c>
      <c r="D12" s="18"/>
      <c r="E12" s="18" t="s">
        <v>2458</v>
      </c>
      <c r="F12" s="7" t="s">
        <v>53</v>
      </c>
      <c r="G12" s="7" t="s">
        <v>8</v>
      </c>
      <c r="H12" s="7"/>
      <c r="I12" s="7" t="s">
        <v>9</v>
      </c>
      <c r="J12" s="11" t="s">
        <v>9</v>
      </c>
      <c r="K12" s="11" t="s">
        <v>9</v>
      </c>
      <c r="L12" s="7" t="s">
        <v>9</v>
      </c>
      <c r="M12" s="11" t="s">
        <v>9</v>
      </c>
      <c r="N12" s="11" t="s">
        <v>9</v>
      </c>
      <c r="O12" s="11" t="s">
        <v>9</v>
      </c>
      <c r="P12" s="7" t="s">
        <v>9</v>
      </c>
      <c r="Q12" s="8" t="s">
        <v>9</v>
      </c>
      <c r="R12" s="7" t="s">
        <v>9</v>
      </c>
      <c r="S12" s="7" t="s">
        <v>9</v>
      </c>
      <c r="T12" s="12" t="s">
        <v>9</v>
      </c>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 ref="R1:R2"/>
    <mergeCell ref="S1:S2"/>
    <mergeCell ref="T1:T2"/>
    <mergeCell ref="U1:U2"/>
    <mergeCell ref="V1:V2"/>
  </mergeCells>
  <conditionalFormatting sqref="F5:V44 G3:T4">
    <cfRule type="cellIs" dxfId="175" priority="29" operator="equal">
      <formula>"F"</formula>
    </cfRule>
    <cfRule type="cellIs" dxfId="174" priority="30" operator="equal">
      <formula>"OK"</formula>
    </cfRule>
    <cfRule type="cellIs" dxfId="173" priority="31" operator="between">
      <formula>6</formula>
      <formula>18</formula>
    </cfRule>
  </conditionalFormatting>
  <conditionalFormatting sqref="C1:E1 A2:E2 C3:C4 E3:E4 A5:E1048576">
    <cfRule type="expression" dxfId="172" priority="27">
      <formula>$A1="FALTA"</formula>
    </cfRule>
    <cfRule type="expression" dxfId="171" priority="28">
      <formula>$A1="COMPLETO"</formula>
    </cfRule>
  </conditionalFormatting>
  <conditionalFormatting sqref="B3">
    <cfRule type="expression" dxfId="170" priority="19">
      <formula>$A3="FALTA"</formula>
    </cfRule>
    <cfRule type="expression" dxfId="169" priority="20">
      <formula>$A3="COMPLETO"</formula>
    </cfRule>
  </conditionalFormatting>
  <conditionalFormatting sqref="D3:D4">
    <cfRule type="expression" dxfId="168" priority="17">
      <formula>$A3="FALTA"</formula>
    </cfRule>
    <cfRule type="expression" dxfId="167" priority="18">
      <formula>$A3="COMPLETO"</formula>
    </cfRule>
  </conditionalFormatting>
  <conditionalFormatting sqref="F4">
    <cfRule type="cellIs" dxfId="166" priority="14" operator="equal">
      <formula>"F"</formula>
    </cfRule>
    <cfRule type="cellIs" dxfId="165" priority="15" operator="equal">
      <formula>"OK"</formula>
    </cfRule>
    <cfRule type="cellIs" dxfId="164" priority="16" operator="between">
      <formula>6</formula>
      <formula>18</formula>
    </cfRule>
  </conditionalFormatting>
  <conditionalFormatting sqref="A1:B1">
    <cfRule type="expression" dxfId="163" priority="12">
      <formula>$A1="FALTA"</formula>
    </cfRule>
    <cfRule type="expression" dxfId="162" priority="13">
      <formula>$A1="COMPLETO"</formula>
    </cfRule>
  </conditionalFormatting>
  <conditionalFormatting sqref="U3:V3">
    <cfRule type="cellIs" dxfId="161" priority="6" operator="equal">
      <formula>"F"</formula>
    </cfRule>
    <cfRule type="cellIs" dxfId="160" priority="7" operator="equal">
      <formula>"OK"</formula>
    </cfRule>
    <cfRule type="cellIs" dxfId="159" priority="8" operator="between">
      <formula>6</formula>
      <formula>18</formula>
    </cfRule>
  </conditionalFormatting>
  <conditionalFormatting sqref="F3">
    <cfRule type="cellIs" dxfId="158" priority="3" operator="equal">
      <formula>"F"</formula>
    </cfRule>
    <cfRule type="cellIs" dxfId="157" priority="4" operator="equal">
      <formula>"OK"</formula>
    </cfRule>
    <cfRule type="cellIs" dxfId="156" priority="5" operator="between">
      <formula>6</formula>
      <formula>18</formula>
    </cfRule>
  </conditionalFormatting>
  <conditionalFormatting sqref="A3">
    <cfRule type="expression" dxfId="155" priority="1">
      <formula>$A3="FALTA"</formula>
    </cfRule>
    <cfRule type="expression" dxfId="154"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0">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ZRafael Laffón 7</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COMPLETO</v>
      </c>
      <c r="B3" s="385" t="s">
        <v>116</v>
      </c>
      <c r="C3" s="23" t="s">
        <v>1056</v>
      </c>
      <c r="D3" s="29" t="s">
        <v>5</v>
      </c>
      <c r="E3" s="10" t="s">
        <v>1059</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1"/>
      <c r="V3" s="381"/>
    </row>
    <row r="4" spans="1:22" x14ac:dyDescent="0.25">
      <c r="A4" s="384"/>
      <c r="B4" s="386"/>
      <c r="C4" s="23" t="s">
        <v>1132</v>
      </c>
      <c r="D4" s="29" t="s">
        <v>6</v>
      </c>
      <c r="E4" s="10" t="s">
        <v>1387</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2"/>
      <c r="V4" s="382"/>
    </row>
    <row r="5" spans="1:22" ht="15" customHeight="1" x14ac:dyDescent="0.25">
      <c r="A5" s="19" t="str">
        <f t="shared" ref="A5:A10" si="0">IF(COUNTIF(F5:V5,"F")&gt;0,"FALTA","COMPLETO")</f>
        <v>COMPLETO</v>
      </c>
      <c r="B5" s="20" t="s">
        <v>231</v>
      </c>
      <c r="C5" s="17" t="s">
        <v>1264</v>
      </c>
      <c r="D5" s="18" t="s">
        <v>1378</v>
      </c>
      <c r="E5" s="18" t="s">
        <v>1377</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c r="V5" s="7"/>
    </row>
    <row r="6" spans="1:22" ht="15" customHeight="1" x14ac:dyDescent="0.25">
      <c r="A6" s="19" t="str">
        <f t="shared" si="0"/>
        <v>COMPLETO</v>
      </c>
      <c r="B6" s="20" t="s">
        <v>232</v>
      </c>
      <c r="C6" s="17" t="s">
        <v>1132</v>
      </c>
      <c r="D6" s="18" t="s">
        <v>1375</v>
      </c>
      <c r="E6" s="18" t="s">
        <v>1379</v>
      </c>
      <c r="F6" s="7" t="s">
        <v>53</v>
      </c>
      <c r="G6" s="7" t="s">
        <v>53</v>
      </c>
      <c r="H6" s="7" t="s">
        <v>53</v>
      </c>
      <c r="I6" s="7" t="s">
        <v>53</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233</v>
      </c>
      <c r="C7" s="17" t="s">
        <v>1133</v>
      </c>
      <c r="D7" s="18" t="s">
        <v>1380</v>
      </c>
      <c r="E7" s="18" t="s">
        <v>1381</v>
      </c>
      <c r="F7" s="7" t="s">
        <v>53</v>
      </c>
      <c r="G7" s="7" t="s">
        <v>53</v>
      </c>
      <c r="H7" s="7" t="s">
        <v>53</v>
      </c>
      <c r="I7" s="7" t="s">
        <v>53</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234</v>
      </c>
      <c r="C8" s="17" t="s">
        <v>1263</v>
      </c>
      <c r="D8" s="18" t="s">
        <v>1376</v>
      </c>
      <c r="E8" s="18" t="s">
        <v>1382</v>
      </c>
      <c r="F8" s="7" t="s">
        <v>53</v>
      </c>
      <c r="G8" s="7" t="s">
        <v>53</v>
      </c>
      <c r="H8" s="7" t="s">
        <v>53</v>
      </c>
      <c r="I8" s="7" t="s">
        <v>7</v>
      </c>
      <c r="J8" s="11" t="s">
        <v>9</v>
      </c>
      <c r="K8" s="11" t="s">
        <v>9</v>
      </c>
      <c r="L8" s="7" t="s">
        <v>9</v>
      </c>
      <c r="M8" s="11" t="s">
        <v>9</v>
      </c>
      <c r="N8" s="11" t="s">
        <v>9</v>
      </c>
      <c r="O8" s="11" t="s">
        <v>9</v>
      </c>
      <c r="P8" s="7" t="s">
        <v>9</v>
      </c>
      <c r="Q8" s="8" t="s">
        <v>7</v>
      </c>
      <c r="R8" s="7" t="s">
        <v>9</v>
      </c>
      <c r="S8" s="7" t="s">
        <v>9</v>
      </c>
      <c r="T8" s="12" t="s">
        <v>9</v>
      </c>
      <c r="U8" s="7"/>
      <c r="V8" s="7"/>
    </row>
    <row r="9" spans="1:22" x14ac:dyDescent="0.25">
      <c r="A9" s="19" t="str">
        <f t="shared" si="0"/>
        <v>COMPLETO</v>
      </c>
      <c r="B9" s="20" t="s">
        <v>235</v>
      </c>
      <c r="C9" s="17" t="s">
        <v>1134</v>
      </c>
      <c r="D9" s="18" t="s">
        <v>1383</v>
      </c>
      <c r="E9" s="18" t="s">
        <v>1384</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236</v>
      </c>
      <c r="C10" s="17" t="s">
        <v>1135</v>
      </c>
      <c r="D10" s="18" t="s">
        <v>1386</v>
      </c>
      <c r="E10" s="18" t="s">
        <v>1385</v>
      </c>
      <c r="F10" s="7" t="s">
        <v>53</v>
      </c>
      <c r="G10" s="7" t="s">
        <v>53</v>
      </c>
      <c r="H10" s="7" t="s">
        <v>53</v>
      </c>
      <c r="I10" s="7" t="s">
        <v>7</v>
      </c>
      <c r="J10" s="11" t="s">
        <v>9</v>
      </c>
      <c r="K10" s="11" t="s">
        <v>9</v>
      </c>
      <c r="L10" s="7" t="s">
        <v>9</v>
      </c>
      <c r="M10" s="11" t="s">
        <v>9</v>
      </c>
      <c r="N10" s="11" t="s">
        <v>9</v>
      </c>
      <c r="O10" s="11" t="s">
        <v>9</v>
      </c>
      <c r="P10" s="7" t="s">
        <v>9</v>
      </c>
      <c r="Q10" s="8" t="s">
        <v>7</v>
      </c>
      <c r="R10" s="7" t="s">
        <v>9</v>
      </c>
      <c r="S10" s="7" t="s">
        <v>9</v>
      </c>
      <c r="T10" s="12" t="s">
        <v>9</v>
      </c>
      <c r="U10" s="7"/>
      <c r="V10" s="7"/>
    </row>
    <row r="11" spans="1:22" x14ac:dyDescent="0.25">
      <c r="A11" s="19"/>
      <c r="B11" s="20"/>
      <c r="C11" s="17"/>
      <c r="D11" s="18"/>
      <c r="E11" s="18"/>
      <c r="F11" s="7"/>
      <c r="G11" s="7"/>
      <c r="H11" s="7"/>
      <c r="I11" s="7"/>
      <c r="J11" s="11"/>
      <c r="K11" s="11"/>
      <c r="L11" s="7"/>
      <c r="M11" s="11"/>
      <c r="N11" s="11"/>
      <c r="O11" s="11"/>
      <c r="P11" s="7"/>
      <c r="Q11" s="8"/>
      <c r="R11" s="7"/>
      <c r="S11" s="7"/>
      <c r="T11" s="12"/>
      <c r="U11" s="7"/>
      <c r="V11" s="7"/>
    </row>
    <row r="12" spans="1:22" x14ac:dyDescent="0.25">
      <c r="A12" s="19"/>
      <c r="B12" s="20"/>
      <c r="C12" s="17"/>
      <c r="D12" s="18"/>
      <c r="E12" s="18"/>
      <c r="F12" s="7"/>
      <c r="G12" s="7"/>
      <c r="H12" s="7"/>
      <c r="I12" s="7"/>
      <c r="J12" s="11"/>
      <c r="K12" s="11"/>
      <c r="L12" s="7"/>
      <c r="M12" s="11"/>
      <c r="N12" s="11"/>
      <c r="O12" s="11"/>
      <c r="P12" s="7"/>
      <c r="Q12" s="8"/>
      <c r="R12" s="7"/>
      <c r="S12" s="7"/>
      <c r="T12" s="12"/>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153" priority="36" operator="equal">
      <formula>"F"</formula>
    </cfRule>
    <cfRule type="cellIs" dxfId="152" priority="37" operator="equal">
      <formula>"OK"</formula>
    </cfRule>
    <cfRule type="cellIs" dxfId="151" priority="38" operator="between">
      <formula>6</formula>
      <formula>18</formula>
    </cfRule>
  </conditionalFormatting>
  <conditionalFormatting sqref="C1:E1 A2:E2 C3:C4 E3:E4 A5:E1048576">
    <cfRule type="expression" dxfId="150" priority="34">
      <formula>$A1="FALTA"</formula>
    </cfRule>
    <cfRule type="expression" dxfId="149" priority="35">
      <formula>$A1="COMPLETO"</formula>
    </cfRule>
  </conditionalFormatting>
  <conditionalFormatting sqref="B3">
    <cfRule type="expression" dxfId="148" priority="22">
      <formula>$A3="FALTA"</formula>
    </cfRule>
    <cfRule type="expression" dxfId="147" priority="23">
      <formula>$A3="COMPLETO"</formula>
    </cfRule>
  </conditionalFormatting>
  <conditionalFormatting sqref="D3:D4">
    <cfRule type="expression" dxfId="146" priority="20">
      <formula>$A3="FALTA"</formula>
    </cfRule>
    <cfRule type="expression" dxfId="145" priority="21">
      <formula>$A3="COMPLETO"</formula>
    </cfRule>
  </conditionalFormatting>
  <conditionalFormatting sqref="F4">
    <cfRule type="cellIs" dxfId="144" priority="17" operator="equal">
      <formula>"F"</formula>
    </cfRule>
    <cfRule type="cellIs" dxfId="143" priority="18" operator="equal">
      <formula>"OK"</formula>
    </cfRule>
    <cfRule type="cellIs" dxfId="142" priority="19" operator="between">
      <formula>6</formula>
      <formula>18</formula>
    </cfRule>
  </conditionalFormatting>
  <conditionalFormatting sqref="A1:B1">
    <cfRule type="expression" dxfId="141" priority="15">
      <formula>$A1="FALTA"</formula>
    </cfRule>
    <cfRule type="expression" dxfId="140" priority="16">
      <formula>$A1="COMPLETO"</formula>
    </cfRule>
  </conditionalFormatting>
  <conditionalFormatting sqref="U3:V3">
    <cfRule type="cellIs" dxfId="139" priority="9" operator="equal">
      <formula>"F"</formula>
    </cfRule>
    <cfRule type="cellIs" dxfId="138" priority="10" operator="equal">
      <formula>"OK"</formula>
    </cfRule>
    <cfRule type="cellIs" dxfId="137" priority="11" operator="between">
      <formula>6</formula>
      <formula>18</formula>
    </cfRule>
  </conditionalFormatting>
  <conditionalFormatting sqref="F3">
    <cfRule type="cellIs" dxfId="136" priority="3" operator="equal">
      <formula>"F"</formula>
    </cfRule>
    <cfRule type="cellIs" dxfId="135" priority="4" operator="equal">
      <formula>"OK"</formula>
    </cfRule>
    <cfRule type="cellIs" dxfId="134" priority="5" operator="between">
      <formula>6</formula>
      <formula>18</formula>
    </cfRule>
  </conditionalFormatting>
  <conditionalFormatting sqref="A3">
    <cfRule type="expression" dxfId="133" priority="1">
      <formula>$A3="FALTA"</formula>
    </cfRule>
    <cfRule type="expression" dxfId="132"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8">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ZRegimiento de Soria 9 2</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COMPLETO</v>
      </c>
      <c r="B3" s="385" t="s">
        <v>116</v>
      </c>
      <c r="C3" s="23" t="s">
        <v>1333</v>
      </c>
      <c r="D3" s="29" t="s">
        <v>5</v>
      </c>
      <c r="E3" s="10"/>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1" t="s">
        <v>53</v>
      </c>
      <c r="V3" s="381" t="s">
        <v>53</v>
      </c>
    </row>
    <row r="4" spans="1:22" x14ac:dyDescent="0.25">
      <c r="A4" s="384"/>
      <c r="B4" s="386"/>
      <c r="C4" s="23" t="s">
        <v>1659</v>
      </c>
      <c r="D4" s="29" t="s">
        <v>6</v>
      </c>
      <c r="E4" s="10" t="s">
        <v>1676</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2"/>
      <c r="V4" s="382"/>
    </row>
    <row r="5" spans="1:22" ht="15" customHeight="1" x14ac:dyDescent="0.25">
      <c r="A5" s="19" t="str">
        <f>IF(COUNTIF(F5:V5,"F")&gt;0,"FALTA","COMPLETO")</f>
        <v>COMPLETO</v>
      </c>
      <c r="B5" s="20" t="s">
        <v>155</v>
      </c>
      <c r="C5" s="17" t="s">
        <v>1658</v>
      </c>
      <c r="D5" s="18" t="s">
        <v>1677</v>
      </c>
      <c r="E5" s="18" t="s">
        <v>1678</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 t="shared" ref="A6:A22" si="0">IF(COUNTIF(F6:V6,"F")&gt;0,"FALTA","COMPLETO")</f>
        <v>COMPLETO</v>
      </c>
      <c r="B6" s="20" t="s">
        <v>156</v>
      </c>
      <c r="C6" s="17" t="s">
        <v>1659</v>
      </c>
      <c r="D6" s="18" t="s">
        <v>1679</v>
      </c>
      <c r="E6" s="18" t="s">
        <v>1680</v>
      </c>
      <c r="F6" s="7" t="s">
        <v>53</v>
      </c>
      <c r="G6" s="7" t="s">
        <v>53</v>
      </c>
      <c r="H6" s="7" t="s">
        <v>53</v>
      </c>
      <c r="I6" s="7" t="s">
        <v>53</v>
      </c>
      <c r="J6" s="11" t="s">
        <v>9</v>
      </c>
      <c r="K6" s="11" t="s">
        <v>9</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 t="shared" si="0"/>
        <v>COMPLETO</v>
      </c>
      <c r="B7" s="20" t="s">
        <v>158</v>
      </c>
      <c r="C7" s="17" t="s">
        <v>1660</v>
      </c>
      <c r="D7" s="18" t="s">
        <v>1681</v>
      </c>
      <c r="E7" s="18" t="s">
        <v>1682</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53</v>
      </c>
      <c r="V7" s="7" t="s">
        <v>53</v>
      </c>
    </row>
    <row r="8" spans="1:22" x14ac:dyDescent="0.25">
      <c r="A8" s="19" t="str">
        <f t="shared" si="0"/>
        <v>COMPLETO</v>
      </c>
      <c r="B8" s="20" t="s">
        <v>160</v>
      </c>
      <c r="C8" s="17" t="s">
        <v>1661</v>
      </c>
      <c r="D8" s="18" t="s">
        <v>1683</v>
      </c>
      <c r="E8" s="18" t="s">
        <v>1684</v>
      </c>
      <c r="F8" s="7" t="s">
        <v>53</v>
      </c>
      <c r="G8" s="7" t="s">
        <v>53</v>
      </c>
      <c r="H8" s="7" t="s">
        <v>53</v>
      </c>
      <c r="I8" s="7" t="s">
        <v>53</v>
      </c>
      <c r="J8" s="11" t="s">
        <v>9</v>
      </c>
      <c r="K8" s="11" t="s">
        <v>9</v>
      </c>
      <c r="L8" s="7" t="s">
        <v>9</v>
      </c>
      <c r="M8" s="11" t="s">
        <v>9</v>
      </c>
      <c r="N8" s="11" t="s">
        <v>9</v>
      </c>
      <c r="O8" s="11" t="s">
        <v>9</v>
      </c>
      <c r="P8" s="7" t="s">
        <v>9</v>
      </c>
      <c r="Q8" s="8" t="s">
        <v>7</v>
      </c>
      <c r="R8" s="7" t="s">
        <v>9</v>
      </c>
      <c r="S8" s="7" t="s">
        <v>9</v>
      </c>
      <c r="T8" s="12" t="s">
        <v>9</v>
      </c>
      <c r="U8" s="7" t="s">
        <v>53</v>
      </c>
      <c r="V8" s="7" t="s">
        <v>53</v>
      </c>
    </row>
    <row r="9" spans="1:22" x14ac:dyDescent="0.25">
      <c r="A9" s="19" t="str">
        <f t="shared" si="0"/>
        <v>COMPLETO</v>
      </c>
      <c r="B9" s="20" t="s">
        <v>162</v>
      </c>
      <c r="C9" s="17" t="s">
        <v>1662</v>
      </c>
      <c r="D9" s="18" t="s">
        <v>1685</v>
      </c>
      <c r="E9" s="18" t="s">
        <v>1686</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164</v>
      </c>
      <c r="C10" s="17" t="s">
        <v>1663</v>
      </c>
      <c r="D10" s="18" t="s">
        <v>1687</v>
      </c>
      <c r="E10" s="18" t="s">
        <v>1688</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t="s">
        <v>53</v>
      </c>
      <c r="V10" s="7" t="s">
        <v>53</v>
      </c>
    </row>
    <row r="11" spans="1:22" x14ac:dyDescent="0.25">
      <c r="A11" s="19" t="str">
        <f t="shared" si="0"/>
        <v>COMPLETO</v>
      </c>
      <c r="B11" s="20" t="s">
        <v>166</v>
      </c>
      <c r="C11" s="17" t="s">
        <v>1664</v>
      </c>
      <c r="D11" s="18" t="s">
        <v>1689</v>
      </c>
      <c r="E11" s="18" t="s">
        <v>1690</v>
      </c>
      <c r="F11" s="7" t="s">
        <v>53</v>
      </c>
      <c r="G11" s="7" t="s">
        <v>53</v>
      </c>
      <c r="H11" s="7" t="s">
        <v>53</v>
      </c>
      <c r="I11" s="7" t="s">
        <v>53</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168</v>
      </c>
      <c r="C12" s="17" t="s">
        <v>1665</v>
      </c>
      <c r="D12" s="18" t="s">
        <v>1691</v>
      </c>
      <c r="E12" s="18" t="s">
        <v>1692</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t="s">
        <v>53</v>
      </c>
      <c r="V12" s="7" t="s">
        <v>53</v>
      </c>
    </row>
    <row r="13" spans="1:22" x14ac:dyDescent="0.25">
      <c r="A13" s="19" t="str">
        <f t="shared" si="0"/>
        <v>COMPLETO</v>
      </c>
      <c r="B13" s="20" t="s">
        <v>170</v>
      </c>
      <c r="C13" s="17" t="s">
        <v>1666</v>
      </c>
      <c r="D13" s="18" t="s">
        <v>1693</v>
      </c>
      <c r="E13" s="18" t="s">
        <v>1694</v>
      </c>
      <c r="F13" s="7" t="s">
        <v>53</v>
      </c>
      <c r="G13" s="7" t="s">
        <v>53</v>
      </c>
      <c r="H13" s="7" t="s">
        <v>53</v>
      </c>
      <c r="I13" s="7" t="s">
        <v>53</v>
      </c>
      <c r="J13" s="11" t="s">
        <v>9</v>
      </c>
      <c r="K13" s="11" t="s">
        <v>9</v>
      </c>
      <c r="L13" s="7" t="s">
        <v>9</v>
      </c>
      <c r="M13" s="11" t="s">
        <v>9</v>
      </c>
      <c r="N13" s="11" t="s">
        <v>9</v>
      </c>
      <c r="O13" s="11" t="s">
        <v>9</v>
      </c>
      <c r="P13" s="7" t="s">
        <v>9</v>
      </c>
      <c r="Q13" s="8" t="s">
        <v>7</v>
      </c>
      <c r="R13" s="7" t="s">
        <v>9</v>
      </c>
      <c r="S13" s="7" t="s">
        <v>9</v>
      </c>
      <c r="T13" s="12" t="s">
        <v>9</v>
      </c>
      <c r="U13" s="7" t="s">
        <v>53</v>
      </c>
      <c r="V13" s="7" t="s">
        <v>53</v>
      </c>
    </row>
    <row r="14" spans="1:22" x14ac:dyDescent="0.25">
      <c r="A14" s="19" t="str">
        <f t="shared" si="0"/>
        <v>COMPLETO</v>
      </c>
      <c r="B14" s="20" t="s">
        <v>172</v>
      </c>
      <c r="C14" s="17" t="s">
        <v>1667</v>
      </c>
      <c r="D14" s="18" t="s">
        <v>1695</v>
      </c>
      <c r="E14" s="18" t="s">
        <v>1696</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t="s">
        <v>53</v>
      </c>
      <c r="V14" s="7" t="s">
        <v>53</v>
      </c>
    </row>
    <row r="15" spans="1:22" x14ac:dyDescent="0.25">
      <c r="A15" s="19" t="str">
        <f t="shared" si="0"/>
        <v>COMPLETO</v>
      </c>
      <c r="B15" s="20" t="s">
        <v>174</v>
      </c>
      <c r="C15" s="17" t="s">
        <v>1668</v>
      </c>
      <c r="D15" s="18" t="s">
        <v>1697</v>
      </c>
      <c r="E15" s="18" t="s">
        <v>1698</v>
      </c>
      <c r="F15" s="7" t="s">
        <v>53</v>
      </c>
      <c r="G15" s="7" t="s">
        <v>53</v>
      </c>
      <c r="H15" s="7" t="s">
        <v>53</v>
      </c>
      <c r="I15" s="7" t="s">
        <v>53</v>
      </c>
      <c r="J15" s="11" t="s">
        <v>9</v>
      </c>
      <c r="K15" s="11" t="s">
        <v>9</v>
      </c>
      <c r="L15" s="7" t="s">
        <v>9</v>
      </c>
      <c r="M15" s="11" t="s">
        <v>9</v>
      </c>
      <c r="N15" s="11" t="s">
        <v>9</v>
      </c>
      <c r="O15" s="11" t="s">
        <v>9</v>
      </c>
      <c r="P15" s="7">
        <v>6</v>
      </c>
      <c r="Q15" s="8" t="s">
        <v>7</v>
      </c>
      <c r="R15" s="7" t="s">
        <v>53</v>
      </c>
      <c r="S15" s="7" t="s">
        <v>53</v>
      </c>
      <c r="T15" s="12" t="s">
        <v>9</v>
      </c>
      <c r="U15" s="7" t="s">
        <v>53</v>
      </c>
      <c r="V15" s="7" t="s">
        <v>53</v>
      </c>
    </row>
    <row r="16" spans="1:22" x14ac:dyDescent="0.25">
      <c r="A16" s="19" t="str">
        <f t="shared" si="0"/>
        <v>COMPLETO</v>
      </c>
      <c r="B16" s="20" t="s">
        <v>175</v>
      </c>
      <c r="C16" s="17" t="s">
        <v>1669</v>
      </c>
      <c r="D16" s="18" t="s">
        <v>1699</v>
      </c>
      <c r="E16" s="18" t="s">
        <v>1700</v>
      </c>
      <c r="F16" s="7" t="s">
        <v>53</v>
      </c>
      <c r="G16" s="7" t="s">
        <v>53</v>
      </c>
      <c r="H16" s="7" t="s">
        <v>53</v>
      </c>
      <c r="I16" s="7" t="s">
        <v>53</v>
      </c>
      <c r="J16" s="11" t="s">
        <v>9</v>
      </c>
      <c r="K16" s="11" t="s">
        <v>9</v>
      </c>
      <c r="L16" s="7" t="s">
        <v>9</v>
      </c>
      <c r="M16" s="11" t="s">
        <v>9</v>
      </c>
      <c r="N16" s="11" t="s">
        <v>9</v>
      </c>
      <c r="O16" s="11" t="s">
        <v>9</v>
      </c>
      <c r="P16" s="7" t="s">
        <v>9</v>
      </c>
      <c r="Q16" s="8" t="s">
        <v>7</v>
      </c>
      <c r="R16" s="7" t="s">
        <v>9</v>
      </c>
      <c r="S16" s="7" t="s">
        <v>9</v>
      </c>
      <c r="T16" s="12" t="s">
        <v>9</v>
      </c>
      <c r="U16" s="7" t="s">
        <v>53</v>
      </c>
      <c r="V16" s="7" t="s">
        <v>53</v>
      </c>
    </row>
    <row r="17" spans="1:22" x14ac:dyDescent="0.25">
      <c r="A17" s="19" t="str">
        <f t="shared" si="0"/>
        <v>COMPLETO</v>
      </c>
      <c r="B17" s="20" t="s">
        <v>177</v>
      </c>
      <c r="C17" s="17" t="s">
        <v>1670</v>
      </c>
      <c r="D17" s="18" t="s">
        <v>1701</v>
      </c>
      <c r="E17" s="18" t="s">
        <v>1702</v>
      </c>
      <c r="F17" s="7" t="s">
        <v>53</v>
      </c>
      <c r="G17" s="7" t="s">
        <v>53</v>
      </c>
      <c r="H17" s="7" t="s">
        <v>53</v>
      </c>
      <c r="I17" s="7" t="s">
        <v>53</v>
      </c>
      <c r="J17" s="11" t="s">
        <v>9</v>
      </c>
      <c r="K17" s="11" t="s">
        <v>9</v>
      </c>
      <c r="L17" s="7" t="s">
        <v>9</v>
      </c>
      <c r="M17" s="11" t="s">
        <v>9</v>
      </c>
      <c r="N17" s="11" t="s">
        <v>9</v>
      </c>
      <c r="O17" s="11" t="s">
        <v>9</v>
      </c>
      <c r="P17" s="7" t="s">
        <v>9</v>
      </c>
      <c r="Q17" s="8" t="s">
        <v>7</v>
      </c>
      <c r="R17" s="7" t="s">
        <v>9</v>
      </c>
      <c r="S17" s="7" t="s">
        <v>9</v>
      </c>
      <c r="T17" s="12" t="s">
        <v>9</v>
      </c>
      <c r="U17" s="7" t="s">
        <v>53</v>
      </c>
      <c r="V17" s="7" t="s">
        <v>53</v>
      </c>
    </row>
    <row r="18" spans="1:22" x14ac:dyDescent="0.25">
      <c r="A18" s="19" t="str">
        <f t="shared" si="0"/>
        <v>COMPLETO</v>
      </c>
      <c r="B18" s="20" t="s">
        <v>179</v>
      </c>
      <c r="C18" s="17" t="s">
        <v>1671</v>
      </c>
      <c r="D18" s="18" t="s">
        <v>1703</v>
      </c>
      <c r="E18" s="18" t="s">
        <v>1704</v>
      </c>
      <c r="F18" s="7" t="s">
        <v>53</v>
      </c>
      <c r="G18" s="7" t="s">
        <v>53</v>
      </c>
      <c r="H18" s="7" t="s">
        <v>53</v>
      </c>
      <c r="I18" s="7" t="s">
        <v>9</v>
      </c>
      <c r="J18" s="11" t="s">
        <v>9</v>
      </c>
      <c r="K18" s="11" t="s">
        <v>9</v>
      </c>
      <c r="L18" s="7" t="s">
        <v>9</v>
      </c>
      <c r="M18" s="11" t="s">
        <v>9</v>
      </c>
      <c r="N18" s="11" t="s">
        <v>9</v>
      </c>
      <c r="O18" s="11" t="s">
        <v>9</v>
      </c>
      <c r="P18" s="7" t="s">
        <v>9</v>
      </c>
      <c r="Q18" s="8" t="s">
        <v>7</v>
      </c>
      <c r="R18" s="7" t="s">
        <v>9</v>
      </c>
      <c r="S18" s="7" t="s">
        <v>9</v>
      </c>
      <c r="T18" s="12" t="s">
        <v>9</v>
      </c>
      <c r="U18" s="7" t="s">
        <v>53</v>
      </c>
      <c r="V18" s="7" t="s">
        <v>53</v>
      </c>
    </row>
    <row r="19" spans="1:22" x14ac:dyDescent="0.25">
      <c r="A19" s="19" t="str">
        <f t="shared" si="0"/>
        <v>COMPLETO</v>
      </c>
      <c r="B19" s="20" t="s">
        <v>181</v>
      </c>
      <c r="C19" s="17" t="s">
        <v>1672</v>
      </c>
      <c r="D19" s="18" t="s">
        <v>1705</v>
      </c>
      <c r="E19" s="18" t="s">
        <v>1706</v>
      </c>
      <c r="F19" s="7" t="s">
        <v>53</v>
      </c>
      <c r="G19" s="7" t="s">
        <v>53</v>
      </c>
      <c r="H19" s="7" t="s">
        <v>53</v>
      </c>
      <c r="I19" s="7" t="s">
        <v>9</v>
      </c>
      <c r="J19" s="11" t="s">
        <v>9</v>
      </c>
      <c r="K19" s="11" t="s">
        <v>9</v>
      </c>
      <c r="L19" s="7" t="s">
        <v>9</v>
      </c>
      <c r="M19" s="11" t="s">
        <v>9</v>
      </c>
      <c r="N19" s="11" t="s">
        <v>9</v>
      </c>
      <c r="O19" s="11" t="s">
        <v>9</v>
      </c>
      <c r="P19" s="7" t="s">
        <v>9</v>
      </c>
      <c r="Q19" s="8" t="s">
        <v>7</v>
      </c>
      <c r="R19" s="7" t="s">
        <v>9</v>
      </c>
      <c r="S19" s="7" t="s">
        <v>9</v>
      </c>
      <c r="T19" s="12" t="s">
        <v>9</v>
      </c>
      <c r="U19" s="7" t="s">
        <v>53</v>
      </c>
      <c r="V19" s="7" t="s">
        <v>53</v>
      </c>
    </row>
    <row r="20" spans="1:22" x14ac:dyDescent="0.25">
      <c r="A20" s="19" t="str">
        <f t="shared" si="0"/>
        <v>COMPLETO</v>
      </c>
      <c r="B20" s="20" t="s">
        <v>183</v>
      </c>
      <c r="C20" s="17" t="s">
        <v>1673</v>
      </c>
      <c r="D20" s="18" t="s">
        <v>1707</v>
      </c>
      <c r="E20" s="18" t="s">
        <v>1708</v>
      </c>
      <c r="F20" s="7" t="s">
        <v>53</v>
      </c>
      <c r="G20" s="7" t="s">
        <v>53</v>
      </c>
      <c r="H20" s="7" t="s">
        <v>53</v>
      </c>
      <c r="I20" s="7" t="s">
        <v>9</v>
      </c>
      <c r="J20" s="11" t="s">
        <v>9</v>
      </c>
      <c r="K20" s="11" t="s">
        <v>9</v>
      </c>
      <c r="L20" s="7" t="s">
        <v>9</v>
      </c>
      <c r="M20" s="11" t="s">
        <v>9</v>
      </c>
      <c r="N20" s="11" t="s">
        <v>9</v>
      </c>
      <c r="O20" s="11" t="s">
        <v>9</v>
      </c>
      <c r="P20" s="7" t="s">
        <v>9</v>
      </c>
      <c r="Q20" s="8" t="s">
        <v>7</v>
      </c>
      <c r="R20" s="7" t="s">
        <v>9</v>
      </c>
      <c r="S20" s="7" t="s">
        <v>9</v>
      </c>
      <c r="T20" s="12" t="s">
        <v>9</v>
      </c>
      <c r="U20" s="7" t="s">
        <v>53</v>
      </c>
      <c r="V20" s="7" t="s">
        <v>53</v>
      </c>
    </row>
    <row r="21" spans="1:22" x14ac:dyDescent="0.25">
      <c r="A21" s="19" t="str">
        <f t="shared" si="0"/>
        <v>COMPLETO</v>
      </c>
      <c r="B21" s="20" t="s">
        <v>185</v>
      </c>
      <c r="C21" s="17" t="s">
        <v>1674</v>
      </c>
      <c r="D21" s="18" t="s">
        <v>1709</v>
      </c>
      <c r="E21" s="18" t="s">
        <v>1710</v>
      </c>
      <c r="F21" s="7" t="s">
        <v>53</v>
      </c>
      <c r="G21" s="7" t="s">
        <v>53</v>
      </c>
      <c r="H21" s="7" t="s">
        <v>53</v>
      </c>
      <c r="I21" s="7" t="s">
        <v>9</v>
      </c>
      <c r="J21" s="11" t="s">
        <v>9</v>
      </c>
      <c r="K21" s="11" t="s">
        <v>9</v>
      </c>
      <c r="L21" s="7" t="s">
        <v>9</v>
      </c>
      <c r="M21" s="11" t="s">
        <v>9</v>
      </c>
      <c r="N21" s="11" t="s">
        <v>9</v>
      </c>
      <c r="O21" s="11" t="s">
        <v>9</v>
      </c>
      <c r="P21" s="7">
        <v>6</v>
      </c>
      <c r="Q21" s="8" t="s">
        <v>7</v>
      </c>
      <c r="R21" s="7" t="s">
        <v>53</v>
      </c>
      <c r="S21" s="7" t="s">
        <v>53</v>
      </c>
      <c r="T21" s="12" t="s">
        <v>9</v>
      </c>
      <c r="U21" s="7" t="s">
        <v>53</v>
      </c>
      <c r="V21" s="7" t="s">
        <v>53</v>
      </c>
    </row>
    <row r="22" spans="1:22" x14ac:dyDescent="0.25">
      <c r="A22" s="19" t="str">
        <f t="shared" si="0"/>
        <v>COMPLETO</v>
      </c>
      <c r="B22" s="20" t="s">
        <v>187</v>
      </c>
      <c r="C22" s="17" t="s">
        <v>1675</v>
      </c>
      <c r="D22" s="18" t="s">
        <v>1711</v>
      </c>
      <c r="E22" s="18" t="s">
        <v>1712</v>
      </c>
      <c r="F22" s="7" t="s">
        <v>53</v>
      </c>
      <c r="G22" s="7" t="s">
        <v>53</v>
      </c>
      <c r="H22" s="7" t="s">
        <v>53</v>
      </c>
      <c r="I22" s="7" t="s">
        <v>53</v>
      </c>
      <c r="J22" s="11" t="s">
        <v>9</v>
      </c>
      <c r="K22" s="11" t="s">
        <v>9</v>
      </c>
      <c r="L22" s="7" t="s">
        <v>9</v>
      </c>
      <c r="M22" s="11" t="s">
        <v>9</v>
      </c>
      <c r="N22" s="11" t="s">
        <v>9</v>
      </c>
      <c r="O22" s="11" t="s">
        <v>9</v>
      </c>
      <c r="P22" s="7" t="s">
        <v>9</v>
      </c>
      <c r="Q22" s="8" t="s">
        <v>7</v>
      </c>
      <c r="R22" s="7" t="s">
        <v>9</v>
      </c>
      <c r="S22" s="7" t="s">
        <v>9</v>
      </c>
      <c r="T22" s="12" t="s">
        <v>9</v>
      </c>
      <c r="U22" s="7" t="s">
        <v>53</v>
      </c>
      <c r="V22" s="7" t="s">
        <v>53</v>
      </c>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 ref="R1:R2"/>
    <mergeCell ref="S1:S2"/>
    <mergeCell ref="T1:T2"/>
    <mergeCell ref="U1:U2"/>
    <mergeCell ref="V1:V2"/>
  </mergeCells>
  <conditionalFormatting sqref="G3:T4 F5:V44">
    <cfRule type="cellIs" dxfId="131" priority="20" operator="equal">
      <formula>"F"</formula>
    </cfRule>
    <cfRule type="cellIs" dxfId="130" priority="21" operator="equal">
      <formula>"OK"</formula>
    </cfRule>
    <cfRule type="cellIs" dxfId="129" priority="22" operator="between">
      <formula>6</formula>
      <formula>18</formula>
    </cfRule>
  </conditionalFormatting>
  <conditionalFormatting sqref="C1:E1 A2:E2 C3:C4 E3:E4 A5:E1048576">
    <cfRule type="expression" dxfId="128" priority="18">
      <formula>$A1="FALTA"</formula>
    </cfRule>
    <cfRule type="expression" dxfId="127" priority="19">
      <formula>$A1="COMPLETO"</formula>
    </cfRule>
  </conditionalFormatting>
  <conditionalFormatting sqref="D3:D4">
    <cfRule type="expression" dxfId="126" priority="14">
      <formula>$A3="FALTA"</formula>
    </cfRule>
    <cfRule type="expression" dxfId="125" priority="15">
      <formula>$A3="COMPLETO"</formula>
    </cfRule>
  </conditionalFormatting>
  <conditionalFormatting sqref="B3">
    <cfRule type="expression" dxfId="124" priority="16">
      <formula>$A3="FALTA"</formula>
    </cfRule>
    <cfRule type="expression" dxfId="123" priority="17">
      <formula>$A3="COMPLETO"</formula>
    </cfRule>
  </conditionalFormatting>
  <conditionalFormatting sqref="F4">
    <cfRule type="cellIs" dxfId="122" priority="11" operator="equal">
      <formula>"F"</formula>
    </cfRule>
    <cfRule type="cellIs" dxfId="121" priority="12" operator="equal">
      <formula>"OK"</formula>
    </cfRule>
    <cfRule type="cellIs" dxfId="120" priority="13" operator="between">
      <formula>6</formula>
      <formula>18</formula>
    </cfRule>
  </conditionalFormatting>
  <conditionalFormatting sqref="A1:B1">
    <cfRule type="expression" dxfId="119" priority="9">
      <formula>$A1="FALTA"</formula>
    </cfRule>
    <cfRule type="expression" dxfId="118" priority="10">
      <formula>$A1="COMPLETO"</formula>
    </cfRule>
  </conditionalFormatting>
  <conditionalFormatting sqref="U3:V3">
    <cfRule type="cellIs" dxfId="117" priority="6" operator="equal">
      <formula>"F"</formula>
    </cfRule>
    <cfRule type="cellIs" dxfId="116" priority="7" operator="equal">
      <formula>"OK"</formula>
    </cfRule>
    <cfRule type="cellIs" dxfId="115" priority="8" operator="between">
      <formula>6</formula>
      <formula>18</formula>
    </cfRule>
  </conditionalFormatting>
  <conditionalFormatting sqref="F3">
    <cfRule type="cellIs" dxfId="114" priority="3" operator="equal">
      <formula>"F"</formula>
    </cfRule>
    <cfRule type="cellIs" dxfId="113" priority="4" operator="equal">
      <formula>"OK"</formula>
    </cfRule>
    <cfRule type="cellIs" dxfId="112" priority="5" operator="between">
      <formula>6</formula>
      <formula>18</formula>
    </cfRule>
  </conditionalFormatting>
  <conditionalFormatting sqref="A3">
    <cfRule type="expression" dxfId="111" priority="1">
      <formula>$A3="FALTA"</formula>
    </cfRule>
    <cfRule type="expression" dxfId="110"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T3:T4 M3:M4 I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9">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ZRodrigo de Triana 9</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COMPLETO</v>
      </c>
      <c r="B3" s="385" t="s">
        <v>116</v>
      </c>
      <c r="C3" s="23" t="s">
        <v>1717</v>
      </c>
      <c r="D3" s="29" t="s">
        <v>5</v>
      </c>
      <c r="E3" s="10" t="s">
        <v>1718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1" t="s">
        <v>53</v>
      </c>
      <c r="V3" s="381" t="s">
        <v>53</v>
      </c>
    </row>
    <row r="4" spans="1:22" x14ac:dyDescent="0.25">
      <c r="A4" s="384"/>
      <c r="B4" s="386"/>
      <c r="C4" s="23" t="s">
        <v>1715</v>
      </c>
      <c r="D4" s="29" t="s">
        <v>6</v>
      </c>
      <c r="E4" s="10" t="s">
        <v>1720</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2"/>
      <c r="V4" s="382"/>
    </row>
    <row r="5" spans="1:22" ht="15" customHeight="1" x14ac:dyDescent="0.25">
      <c r="A5" s="19" t="str">
        <f>IF(COUNTIF(F5:V5,"F")&gt;0,"FALTA","COMPLETO")</f>
        <v>COMPLETO</v>
      </c>
      <c r="B5" s="20" t="s">
        <v>700</v>
      </c>
      <c r="C5" s="17" t="s">
        <v>1713</v>
      </c>
      <c r="D5" s="18" t="s">
        <v>1721</v>
      </c>
      <c r="E5" s="18" t="s">
        <v>1722</v>
      </c>
      <c r="F5" s="7" t="s">
        <v>53</v>
      </c>
      <c r="G5" s="7" t="s">
        <v>53</v>
      </c>
      <c r="H5" s="7" t="s">
        <v>53</v>
      </c>
      <c r="I5" s="7" t="s">
        <v>9</v>
      </c>
      <c r="J5" s="11" t="s">
        <v>9</v>
      </c>
      <c r="K5" s="11" t="s">
        <v>9</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IF(COUNTIF(F6:V6,"F")&gt;0,"FALTA","COMPLETO")</f>
        <v>COMPLETO</v>
      </c>
      <c r="B6" s="20" t="s">
        <v>702</v>
      </c>
      <c r="C6" s="17" t="s">
        <v>1714</v>
      </c>
      <c r="D6" s="18" t="s">
        <v>1723</v>
      </c>
      <c r="E6" s="18" t="s">
        <v>1724</v>
      </c>
      <c r="F6" s="7" t="s">
        <v>53</v>
      </c>
      <c r="G6" s="7" t="s">
        <v>53</v>
      </c>
      <c r="H6" s="7" t="s">
        <v>53</v>
      </c>
      <c r="I6" s="7" t="s">
        <v>53</v>
      </c>
      <c r="J6" s="11" t="s">
        <v>9</v>
      </c>
      <c r="K6" s="11" t="s">
        <v>9</v>
      </c>
      <c r="L6" s="7" t="s">
        <v>9</v>
      </c>
      <c r="M6" s="11" t="s">
        <v>9</v>
      </c>
      <c r="N6" s="11" t="s">
        <v>9</v>
      </c>
      <c r="O6" s="11" t="s">
        <v>9</v>
      </c>
      <c r="P6" s="7">
        <v>12</v>
      </c>
      <c r="Q6" s="8" t="s">
        <v>53</v>
      </c>
      <c r="R6" s="7" t="s">
        <v>53</v>
      </c>
      <c r="S6" s="7" t="s">
        <v>53</v>
      </c>
      <c r="T6" s="12" t="s">
        <v>9</v>
      </c>
      <c r="U6" s="7" t="s">
        <v>53</v>
      </c>
      <c r="V6" s="7" t="s">
        <v>53</v>
      </c>
    </row>
    <row r="7" spans="1:22" ht="15" customHeight="1" x14ac:dyDescent="0.25">
      <c r="A7" s="19" t="str">
        <f>IF(COUNTIF(F7:V7,"F")&gt;0,"FALTA","COMPLETO")</f>
        <v>COMPLETO</v>
      </c>
      <c r="B7" s="20" t="s">
        <v>704</v>
      </c>
      <c r="C7" s="17" t="s">
        <v>1715</v>
      </c>
      <c r="D7" s="18" t="s">
        <v>1719</v>
      </c>
      <c r="E7" s="18" t="s">
        <v>1725</v>
      </c>
      <c r="F7" s="7" t="s">
        <v>53</v>
      </c>
      <c r="G7" s="7" t="s">
        <v>53</v>
      </c>
      <c r="H7" s="7" t="s">
        <v>53</v>
      </c>
      <c r="I7" s="7" t="s">
        <v>53</v>
      </c>
      <c r="J7" s="11" t="s">
        <v>53</v>
      </c>
      <c r="K7" s="11" t="s">
        <v>53</v>
      </c>
      <c r="L7" s="7" t="s">
        <v>9</v>
      </c>
      <c r="M7" s="11" t="s">
        <v>9</v>
      </c>
      <c r="N7" s="11" t="s">
        <v>9</v>
      </c>
      <c r="O7" s="11" t="s">
        <v>9</v>
      </c>
      <c r="P7" s="7" t="s">
        <v>9</v>
      </c>
      <c r="Q7" s="8" t="s">
        <v>7</v>
      </c>
      <c r="R7" s="7" t="s">
        <v>9</v>
      </c>
      <c r="S7" s="7" t="s">
        <v>9</v>
      </c>
      <c r="T7" s="12" t="s">
        <v>9</v>
      </c>
      <c r="U7" s="7" t="s">
        <v>53</v>
      </c>
      <c r="V7" s="7" t="s">
        <v>53</v>
      </c>
    </row>
    <row r="8" spans="1:22" x14ac:dyDescent="0.25">
      <c r="A8" s="19" t="str">
        <f>IF(COUNTIF(F8:V8,"F")&gt;0,"FALTA","COMPLETO")</f>
        <v>COMPLETO</v>
      </c>
      <c r="B8" s="20" t="s">
        <v>706</v>
      </c>
      <c r="C8" s="17" t="s">
        <v>1716</v>
      </c>
      <c r="D8" s="18" t="s">
        <v>1726</v>
      </c>
      <c r="E8" s="18" t="s">
        <v>1727</v>
      </c>
      <c r="F8" s="7" t="s">
        <v>53</v>
      </c>
      <c r="G8" s="7" t="s">
        <v>53</v>
      </c>
      <c r="H8" s="7" t="s">
        <v>53</v>
      </c>
      <c r="I8" s="7" t="s">
        <v>9</v>
      </c>
      <c r="J8" s="11" t="s">
        <v>9</v>
      </c>
      <c r="K8" s="11" t="s">
        <v>9</v>
      </c>
      <c r="L8" s="7" t="s">
        <v>9</v>
      </c>
      <c r="M8" s="11" t="s">
        <v>9</v>
      </c>
      <c r="N8" s="11" t="s">
        <v>9</v>
      </c>
      <c r="O8" s="11" t="s">
        <v>9</v>
      </c>
      <c r="P8" s="7">
        <v>12</v>
      </c>
      <c r="Q8" s="8" t="s">
        <v>53</v>
      </c>
      <c r="R8" s="7" t="s">
        <v>53</v>
      </c>
      <c r="S8" s="7" t="s">
        <v>53</v>
      </c>
      <c r="T8" s="12" t="s">
        <v>9</v>
      </c>
      <c r="U8" s="7" t="s">
        <v>53</v>
      </c>
      <c r="V8" s="7" t="s">
        <v>53</v>
      </c>
    </row>
    <row r="9" spans="1:22" x14ac:dyDescent="0.25">
      <c r="A9" s="19"/>
      <c r="B9" s="20"/>
      <c r="C9" s="17"/>
      <c r="D9" s="18"/>
      <c r="E9" s="18"/>
      <c r="F9" s="7"/>
      <c r="G9" s="7"/>
      <c r="H9" s="7"/>
      <c r="I9" s="7"/>
      <c r="J9" s="11"/>
      <c r="K9" s="11"/>
      <c r="L9" s="7"/>
      <c r="M9" s="11"/>
      <c r="N9" s="11"/>
      <c r="O9" s="11"/>
      <c r="P9" s="7"/>
      <c r="Q9" s="8"/>
      <c r="R9" s="7"/>
      <c r="S9" s="7"/>
      <c r="T9" s="12"/>
      <c r="U9" s="7"/>
      <c r="V9" s="7"/>
    </row>
    <row r="10" spans="1:22" x14ac:dyDescent="0.25">
      <c r="A10" s="19"/>
      <c r="B10" s="20"/>
      <c r="C10" s="17"/>
      <c r="D10" s="18"/>
      <c r="E10" s="18"/>
      <c r="F10" s="7"/>
      <c r="G10" s="7"/>
      <c r="H10" s="7"/>
      <c r="I10" s="7"/>
      <c r="J10" s="11"/>
      <c r="K10" s="11"/>
      <c r="L10" s="7"/>
      <c r="M10" s="11"/>
      <c r="N10" s="11"/>
      <c r="O10" s="11"/>
      <c r="P10" s="7"/>
      <c r="Q10" s="8"/>
      <c r="R10" s="7"/>
      <c r="S10" s="7"/>
      <c r="T10" s="12"/>
      <c r="U10" s="7"/>
      <c r="V10" s="7"/>
    </row>
    <row r="11" spans="1:22" x14ac:dyDescent="0.25">
      <c r="A11" s="19"/>
      <c r="B11" s="20"/>
      <c r="C11" s="17"/>
      <c r="D11" s="18"/>
      <c r="E11" s="18"/>
      <c r="F11" s="7"/>
      <c r="G11" s="7"/>
      <c r="H11" s="7"/>
      <c r="I11" s="7"/>
      <c r="J11" s="11"/>
      <c r="K11" s="11"/>
      <c r="L11" s="7"/>
      <c r="M11" s="11"/>
      <c r="N11" s="11"/>
      <c r="O11" s="11"/>
      <c r="P11" s="7"/>
      <c r="Q11" s="8"/>
      <c r="R11" s="7"/>
      <c r="S11" s="7"/>
      <c r="T11" s="12"/>
      <c r="U11" s="7"/>
      <c r="V11" s="7"/>
    </row>
    <row r="12" spans="1:22" x14ac:dyDescent="0.25">
      <c r="A12" s="19"/>
      <c r="B12" s="20"/>
      <c r="C12" s="17"/>
      <c r="D12" s="18"/>
      <c r="E12" s="18"/>
      <c r="F12" s="7"/>
      <c r="G12" s="7"/>
      <c r="H12" s="7"/>
      <c r="I12" s="7"/>
      <c r="J12" s="11"/>
      <c r="K12" s="11"/>
      <c r="L12" s="7"/>
      <c r="M12" s="11"/>
      <c r="N12" s="11"/>
      <c r="O12" s="11"/>
      <c r="P12" s="7"/>
      <c r="Q12" s="8"/>
      <c r="R12" s="7"/>
      <c r="S12" s="7"/>
      <c r="T12" s="12"/>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s>
  <conditionalFormatting sqref="G3:T4 F5:V44">
    <cfRule type="cellIs" dxfId="109" priority="20" operator="equal">
      <formula>"F"</formula>
    </cfRule>
    <cfRule type="cellIs" dxfId="108" priority="21" operator="equal">
      <formula>"OK"</formula>
    </cfRule>
    <cfRule type="cellIs" dxfId="107" priority="22" operator="between">
      <formula>6</formula>
      <formula>18</formula>
    </cfRule>
  </conditionalFormatting>
  <conditionalFormatting sqref="C1:E1 A2:E2 C3:C4 E3:E4 A5:E1048576">
    <cfRule type="expression" dxfId="106" priority="18">
      <formula>$A1="FALTA"</formula>
    </cfRule>
    <cfRule type="expression" dxfId="105" priority="19">
      <formula>$A1="COMPLETO"</formula>
    </cfRule>
  </conditionalFormatting>
  <conditionalFormatting sqref="D3:D4">
    <cfRule type="expression" dxfId="104" priority="14">
      <formula>$A3="FALTA"</formula>
    </cfRule>
    <cfRule type="expression" dxfId="103" priority="15">
      <formula>$A3="COMPLETO"</formula>
    </cfRule>
  </conditionalFormatting>
  <conditionalFormatting sqref="B3">
    <cfRule type="expression" dxfId="102" priority="16">
      <formula>$A3="FALTA"</formula>
    </cfRule>
    <cfRule type="expression" dxfId="101" priority="17">
      <formula>$A3="COMPLETO"</formula>
    </cfRule>
  </conditionalFormatting>
  <conditionalFormatting sqref="F4">
    <cfRule type="cellIs" dxfId="100" priority="11" operator="equal">
      <formula>"F"</formula>
    </cfRule>
    <cfRule type="cellIs" dxfId="99" priority="12" operator="equal">
      <formula>"OK"</formula>
    </cfRule>
    <cfRule type="cellIs" dxfId="98" priority="13" operator="between">
      <formula>6</formula>
      <formula>18</formula>
    </cfRule>
  </conditionalFormatting>
  <conditionalFormatting sqref="A1:B1">
    <cfRule type="expression" dxfId="97" priority="9">
      <formula>$A1="FALTA"</formula>
    </cfRule>
    <cfRule type="expression" dxfId="96" priority="10">
      <formula>$A1="COMPLETO"</formula>
    </cfRule>
  </conditionalFormatting>
  <conditionalFormatting sqref="U3:V3">
    <cfRule type="cellIs" dxfId="95" priority="6" operator="equal">
      <formula>"F"</formula>
    </cfRule>
    <cfRule type="cellIs" dxfId="94" priority="7" operator="equal">
      <formula>"OK"</formula>
    </cfRule>
    <cfRule type="cellIs" dxfId="93" priority="8" operator="between">
      <formula>6</formula>
      <formula>18</formula>
    </cfRule>
  </conditionalFormatting>
  <conditionalFormatting sqref="F3">
    <cfRule type="cellIs" dxfId="92" priority="3" operator="equal">
      <formula>"F"</formula>
    </cfRule>
    <cfRule type="cellIs" dxfId="91" priority="4" operator="equal">
      <formula>"OK"</formula>
    </cfRule>
    <cfRule type="cellIs" dxfId="90" priority="5" operator="between">
      <formula>6</formula>
      <formula>18</formula>
    </cfRule>
  </conditionalFormatting>
  <conditionalFormatting sqref="A3">
    <cfRule type="expression" dxfId="89" priority="1">
      <formula>$A3="FALTA"</formula>
    </cfRule>
    <cfRule type="expression" dxfId="88"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R3:R4 T3:T4 I4 P4 M3:M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3">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ZSextante 4</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COMPLETO</v>
      </c>
      <c r="B3" s="385" t="s">
        <v>116</v>
      </c>
      <c r="C3" s="23" t="s">
        <v>1146</v>
      </c>
      <c r="D3" s="29" t="s">
        <v>5</v>
      </c>
      <c r="E3" s="10" t="s">
        <v>1147</v>
      </c>
      <c r="F3" s="30">
        <f>IF(AND(ISBLANK(U3),ISBLANK(V3)),1-(COUNTIF(G3:V4,"F")/7),1-(COUNTIF(U3:V3,"F")/2))</f>
        <v>1</v>
      </c>
      <c r="G3" s="24"/>
      <c r="H3" s="24"/>
      <c r="I3" s="24"/>
      <c r="J3" s="24"/>
      <c r="K3" s="24"/>
      <c r="L3" s="24" t="s">
        <v>28</v>
      </c>
      <c r="M3" s="11" t="s">
        <v>53</v>
      </c>
      <c r="N3" s="24"/>
      <c r="O3" s="24"/>
      <c r="P3" s="25"/>
      <c r="Q3" s="24" t="s">
        <v>24</v>
      </c>
      <c r="R3" s="11" t="s">
        <v>7</v>
      </c>
      <c r="S3" s="24" t="s">
        <v>12</v>
      </c>
      <c r="T3" s="11" t="s">
        <v>53</v>
      </c>
      <c r="U3" s="381"/>
      <c r="V3" s="381"/>
    </row>
    <row r="4" spans="1:22" x14ac:dyDescent="0.25">
      <c r="A4" s="384"/>
      <c r="B4" s="386"/>
      <c r="C4" s="23" t="s">
        <v>1143</v>
      </c>
      <c r="D4" s="29" t="s">
        <v>6</v>
      </c>
      <c r="E4" s="10" t="s">
        <v>1149</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82"/>
      <c r="V4" s="382"/>
    </row>
    <row r="5" spans="1:22" ht="15" customHeight="1" x14ac:dyDescent="0.25">
      <c r="A5" s="19" t="str">
        <f>IF(COUNTIF(F5:V5,"F")&gt;0,"FALTA","COMPLETO")</f>
        <v>COMPLETO</v>
      </c>
      <c r="B5" s="20" t="s">
        <v>231</v>
      </c>
      <c r="C5" s="17" t="s">
        <v>1136</v>
      </c>
      <c r="D5" s="18" t="s">
        <v>1150</v>
      </c>
      <c r="E5" s="18" t="s">
        <v>1151</v>
      </c>
      <c r="F5" s="7" t="s">
        <v>53</v>
      </c>
      <c r="G5" s="7" t="s">
        <v>53</v>
      </c>
      <c r="H5" s="7" t="s">
        <v>53</v>
      </c>
      <c r="I5" s="7" t="s">
        <v>9</v>
      </c>
      <c r="J5" s="11" t="s">
        <v>53</v>
      </c>
      <c r="K5" s="11" t="s">
        <v>53</v>
      </c>
      <c r="L5" s="7" t="s">
        <v>9</v>
      </c>
      <c r="M5" s="11" t="s">
        <v>9</v>
      </c>
      <c r="N5" s="11" t="s">
        <v>9</v>
      </c>
      <c r="O5" s="11" t="s">
        <v>9</v>
      </c>
      <c r="P5" s="7" t="s">
        <v>9</v>
      </c>
      <c r="Q5" s="8" t="s">
        <v>7</v>
      </c>
      <c r="R5" s="7" t="s">
        <v>9</v>
      </c>
      <c r="S5" s="7" t="s">
        <v>9</v>
      </c>
      <c r="T5" s="12" t="s">
        <v>9</v>
      </c>
      <c r="U5" s="7"/>
      <c r="V5" s="7"/>
    </row>
    <row r="6" spans="1:22" ht="15" customHeight="1" x14ac:dyDescent="0.25">
      <c r="A6" s="19" t="str">
        <f t="shared" ref="A6:A14" si="0">IF(COUNTIF(F6:V6,"F")&gt;0,"FALTA","COMPLETO")</f>
        <v>COMPLETO</v>
      </c>
      <c r="B6" s="20" t="s">
        <v>232</v>
      </c>
      <c r="C6" s="17" t="s">
        <v>1137</v>
      </c>
      <c r="D6" s="18" t="s">
        <v>1152</v>
      </c>
      <c r="E6" s="18" t="s">
        <v>1252</v>
      </c>
      <c r="F6" s="7" t="s">
        <v>53</v>
      </c>
      <c r="G6" s="7" t="s">
        <v>53</v>
      </c>
      <c r="H6" s="7" t="s">
        <v>53</v>
      </c>
      <c r="I6" s="7" t="s">
        <v>53</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233</v>
      </c>
      <c r="C7" s="17" t="s">
        <v>1138</v>
      </c>
      <c r="D7" s="18" t="s">
        <v>1153</v>
      </c>
      <c r="E7" s="18" t="s">
        <v>1154</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234</v>
      </c>
      <c r="C8" s="17" t="s">
        <v>1139</v>
      </c>
      <c r="D8" s="18" t="s">
        <v>1155</v>
      </c>
      <c r="E8" s="18" t="s">
        <v>1340</v>
      </c>
      <c r="F8" s="7" t="s">
        <v>53</v>
      </c>
      <c r="G8" s="7" t="s">
        <v>53</v>
      </c>
      <c r="H8" s="7" t="s">
        <v>53</v>
      </c>
      <c r="I8" s="7" t="s">
        <v>9</v>
      </c>
      <c r="J8" s="11" t="s">
        <v>53</v>
      </c>
      <c r="K8" s="11" t="s">
        <v>53</v>
      </c>
      <c r="L8" s="7" t="s">
        <v>9</v>
      </c>
      <c r="M8" s="11" t="s">
        <v>53</v>
      </c>
      <c r="N8" s="11" t="s">
        <v>7</v>
      </c>
      <c r="O8" s="11" t="s">
        <v>53</v>
      </c>
      <c r="P8" s="7" t="s">
        <v>9</v>
      </c>
      <c r="Q8" s="8" t="s">
        <v>7</v>
      </c>
      <c r="R8" s="7" t="s">
        <v>9</v>
      </c>
      <c r="S8" s="7" t="s">
        <v>9</v>
      </c>
      <c r="T8" s="12" t="s">
        <v>9</v>
      </c>
      <c r="U8" s="7"/>
      <c r="V8" s="7"/>
    </row>
    <row r="9" spans="1:22" x14ac:dyDescent="0.25">
      <c r="A9" s="19" t="str">
        <f t="shared" si="0"/>
        <v>COMPLETO</v>
      </c>
      <c r="B9" s="20" t="s">
        <v>235</v>
      </c>
      <c r="C9" s="17" t="s">
        <v>1140</v>
      </c>
      <c r="D9" s="18" t="s">
        <v>1156</v>
      </c>
      <c r="E9" s="18" t="s">
        <v>1157</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236</v>
      </c>
      <c r="C10" s="17" t="s">
        <v>1141</v>
      </c>
      <c r="D10" s="18" t="s">
        <v>1158</v>
      </c>
      <c r="E10" s="18" t="s">
        <v>1325</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c r="V10" s="7"/>
    </row>
    <row r="11" spans="1:22" x14ac:dyDescent="0.25">
      <c r="A11" s="19" t="str">
        <f t="shared" si="0"/>
        <v>COMPLETO</v>
      </c>
      <c r="B11" s="20" t="s">
        <v>237</v>
      </c>
      <c r="C11" s="17" t="s">
        <v>1142</v>
      </c>
      <c r="D11" s="18" t="s">
        <v>1159</v>
      </c>
      <c r="E11" s="18" t="s">
        <v>1160</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238</v>
      </c>
      <c r="C12" s="17" t="s">
        <v>1143</v>
      </c>
      <c r="D12" s="18" t="s">
        <v>1148</v>
      </c>
      <c r="E12" s="18" t="s">
        <v>1253</v>
      </c>
      <c r="F12" s="7" t="s">
        <v>53</v>
      </c>
      <c r="G12" s="7" t="s">
        <v>53</v>
      </c>
      <c r="H12" s="7" t="s">
        <v>53</v>
      </c>
      <c r="I12" s="7" t="s">
        <v>9</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COMPLETO</v>
      </c>
      <c r="B13" s="20" t="s">
        <v>239</v>
      </c>
      <c r="C13" s="17" t="s">
        <v>1144</v>
      </c>
      <c r="D13" s="18" t="s">
        <v>1161</v>
      </c>
      <c r="E13" s="18" t="s">
        <v>1266</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c r="V13" s="7"/>
    </row>
    <row r="14" spans="1:22" x14ac:dyDescent="0.25">
      <c r="A14" s="19" t="str">
        <f t="shared" si="0"/>
        <v>COMPLETO</v>
      </c>
      <c r="B14" s="20" t="s">
        <v>240</v>
      </c>
      <c r="C14" s="17" t="s">
        <v>1145</v>
      </c>
      <c r="D14" s="18" t="s">
        <v>1162</v>
      </c>
      <c r="E14" s="18" t="s">
        <v>1265</v>
      </c>
      <c r="F14" s="7" t="s">
        <v>53</v>
      </c>
      <c r="G14" s="7" t="s">
        <v>53</v>
      </c>
      <c r="H14" s="7" t="s">
        <v>53</v>
      </c>
      <c r="I14" s="7" t="s">
        <v>53</v>
      </c>
      <c r="J14" s="11" t="s">
        <v>53</v>
      </c>
      <c r="K14" s="11" t="s">
        <v>53</v>
      </c>
      <c r="L14" s="7" t="s">
        <v>9</v>
      </c>
      <c r="M14" s="11" t="s">
        <v>53</v>
      </c>
      <c r="N14" s="11" t="s">
        <v>53</v>
      </c>
      <c r="O14" s="11" t="s">
        <v>53</v>
      </c>
      <c r="P14" s="7" t="s">
        <v>9</v>
      </c>
      <c r="Q14" s="8" t="s">
        <v>7</v>
      </c>
      <c r="R14" s="7" t="s">
        <v>9</v>
      </c>
      <c r="S14" s="7" t="s">
        <v>9</v>
      </c>
      <c r="T14" s="12" t="s">
        <v>9</v>
      </c>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 ref="R1:R2"/>
    <mergeCell ref="S1:S2"/>
    <mergeCell ref="T1:T2"/>
    <mergeCell ref="U1:U2"/>
    <mergeCell ref="V1:V2"/>
  </mergeCells>
  <conditionalFormatting sqref="F5:V44 G3:T4">
    <cfRule type="cellIs" dxfId="87" priority="33" operator="equal">
      <formula>"F"</formula>
    </cfRule>
    <cfRule type="cellIs" dxfId="86" priority="34" operator="equal">
      <formula>"OK"</formula>
    </cfRule>
    <cfRule type="cellIs" dxfId="85" priority="35" operator="between">
      <formula>6</formula>
      <formula>18</formula>
    </cfRule>
  </conditionalFormatting>
  <conditionalFormatting sqref="C1:E1 A2:E2 C3:C4 E3:E4 A5:E1048576">
    <cfRule type="expression" dxfId="84" priority="31">
      <formula>$A1="FALTA"</formula>
    </cfRule>
    <cfRule type="expression" dxfId="83" priority="32">
      <formula>$A1="COMPLETO"</formula>
    </cfRule>
  </conditionalFormatting>
  <conditionalFormatting sqref="B3">
    <cfRule type="expression" dxfId="82" priority="19">
      <formula>$A3="FALTA"</formula>
    </cfRule>
    <cfRule type="expression" dxfId="81" priority="20">
      <formula>$A3="COMPLETO"</formula>
    </cfRule>
  </conditionalFormatting>
  <conditionalFormatting sqref="D3:D4">
    <cfRule type="expression" dxfId="80" priority="17">
      <formula>$A3="FALTA"</formula>
    </cfRule>
    <cfRule type="expression" dxfId="79" priority="18">
      <formula>$A3="COMPLETO"</formula>
    </cfRule>
  </conditionalFormatting>
  <conditionalFormatting sqref="F4">
    <cfRule type="cellIs" dxfId="78" priority="14" operator="equal">
      <formula>"F"</formula>
    </cfRule>
    <cfRule type="cellIs" dxfId="77" priority="15" operator="equal">
      <formula>"OK"</formula>
    </cfRule>
    <cfRule type="cellIs" dxfId="76" priority="16" operator="between">
      <formula>6</formula>
      <formula>18</formula>
    </cfRule>
  </conditionalFormatting>
  <conditionalFormatting sqref="A1:B1">
    <cfRule type="expression" dxfId="75" priority="12">
      <formula>$A1="FALTA"</formula>
    </cfRule>
    <cfRule type="expression" dxfId="74" priority="13">
      <formula>$A1="COMPLETO"</formula>
    </cfRule>
  </conditionalFormatting>
  <conditionalFormatting sqref="U3:V3">
    <cfRule type="cellIs" dxfId="73" priority="6" operator="equal">
      <formula>"F"</formula>
    </cfRule>
    <cfRule type="cellIs" dxfId="72" priority="7" operator="equal">
      <formula>"OK"</formula>
    </cfRule>
    <cfRule type="cellIs" dxfId="71" priority="8" operator="between">
      <formula>6</formula>
      <formula>18</formula>
    </cfRule>
  </conditionalFormatting>
  <conditionalFormatting sqref="F3">
    <cfRule type="cellIs" dxfId="70" priority="3" operator="equal">
      <formula>"F"</formula>
    </cfRule>
    <cfRule type="cellIs" dxfId="69" priority="4" operator="equal">
      <formula>"OK"</formula>
    </cfRule>
    <cfRule type="cellIs" dxfId="68" priority="5" operator="between">
      <formula>6</formula>
      <formula>18</formula>
    </cfRule>
  </conditionalFormatting>
  <conditionalFormatting sqref="A3">
    <cfRule type="expression" dxfId="67" priority="1">
      <formula>$A3="FALTA"</formula>
    </cfRule>
    <cfRule type="expression" dxfId="66"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0">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ZSinaí 39</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COMPLETO</v>
      </c>
      <c r="B3" s="385" t="s">
        <v>116</v>
      </c>
      <c r="C3" s="23" t="s">
        <v>1333</v>
      </c>
      <c r="D3" s="29" t="s">
        <v>5</v>
      </c>
      <c r="E3" s="10"/>
      <c r="F3" s="30">
        <f>IF(AND(ISBLANK(U3),ISBLANK(V3)),1-(COUNTIF(G3:V4,"F")/7),1-(COUNTIF(U3:V3,"F")/2))</f>
        <v>1</v>
      </c>
      <c r="G3" s="24"/>
      <c r="H3" s="24"/>
      <c r="I3" s="24"/>
      <c r="J3" s="24"/>
      <c r="K3" s="24"/>
      <c r="L3" s="24" t="s">
        <v>28</v>
      </c>
      <c r="M3" s="11" t="s">
        <v>53</v>
      </c>
      <c r="N3" s="24"/>
      <c r="O3" s="24"/>
      <c r="P3" s="25"/>
      <c r="Q3" s="24" t="s">
        <v>24</v>
      </c>
      <c r="R3" s="11" t="s">
        <v>7</v>
      </c>
      <c r="S3" s="24" t="s">
        <v>12</v>
      </c>
      <c r="T3" s="11" t="s">
        <v>7</v>
      </c>
      <c r="U3" s="381"/>
      <c r="V3" s="381"/>
    </row>
    <row r="4" spans="1:22" x14ac:dyDescent="0.25">
      <c r="A4" s="384"/>
      <c r="B4" s="386"/>
      <c r="C4" s="23" t="s">
        <v>1333</v>
      </c>
      <c r="D4" s="29" t="s">
        <v>6</v>
      </c>
      <c r="E4" s="10"/>
      <c r="F4" s="30">
        <f>COUNTIF(A5:A44,"*COMPLETO*")/COUNTA(A5:A44)</f>
        <v>1</v>
      </c>
      <c r="G4" s="24"/>
      <c r="H4" s="24" t="s">
        <v>18</v>
      </c>
      <c r="I4" s="11" t="s">
        <v>7</v>
      </c>
      <c r="J4" s="24"/>
      <c r="K4" s="24"/>
      <c r="L4" s="24" t="s">
        <v>23</v>
      </c>
      <c r="M4" s="11" t="s">
        <v>7</v>
      </c>
      <c r="N4" s="24"/>
      <c r="O4" s="24"/>
      <c r="P4" s="11"/>
      <c r="Q4" s="24" t="s">
        <v>26</v>
      </c>
      <c r="R4" s="11" t="s">
        <v>7</v>
      </c>
      <c r="S4" s="24" t="s">
        <v>19</v>
      </c>
      <c r="T4" s="11" t="s">
        <v>7</v>
      </c>
      <c r="U4" s="382"/>
      <c r="V4" s="382"/>
    </row>
    <row r="5" spans="1:22" ht="15" customHeight="1" x14ac:dyDescent="0.25">
      <c r="A5" s="19" t="s">
        <v>2516</v>
      </c>
      <c r="B5" s="20"/>
      <c r="C5" s="17"/>
      <c r="D5" s="18"/>
      <c r="E5" s="18"/>
      <c r="F5" s="7"/>
      <c r="G5" s="7"/>
      <c r="H5" s="7"/>
      <c r="I5" s="7"/>
      <c r="J5" s="11"/>
      <c r="K5" s="11"/>
      <c r="L5" s="7"/>
      <c r="M5" s="11"/>
      <c r="N5" s="11"/>
      <c r="O5" s="11"/>
      <c r="P5" s="7"/>
      <c r="Q5" s="8"/>
      <c r="R5" s="7"/>
      <c r="S5" s="7"/>
      <c r="T5" s="12"/>
      <c r="U5" s="7"/>
      <c r="V5" s="7"/>
    </row>
    <row r="6" spans="1:22" ht="15" customHeight="1" x14ac:dyDescent="0.25">
      <c r="A6" s="19"/>
      <c r="B6" s="20"/>
      <c r="C6" s="17"/>
      <c r="D6" s="18"/>
      <c r="E6" s="18"/>
      <c r="F6" s="7"/>
      <c r="G6" s="7"/>
      <c r="H6" s="7"/>
      <c r="I6" s="7"/>
      <c r="J6" s="11"/>
      <c r="K6" s="11"/>
      <c r="L6" s="7"/>
      <c r="M6" s="11"/>
      <c r="N6" s="11"/>
      <c r="O6" s="11"/>
      <c r="P6" s="7"/>
      <c r="Q6" s="8"/>
      <c r="R6" s="7"/>
      <c r="S6" s="7"/>
      <c r="T6" s="12"/>
      <c r="U6" s="7"/>
      <c r="V6" s="7"/>
    </row>
    <row r="7" spans="1:22" ht="15" customHeight="1" x14ac:dyDescent="0.25">
      <c r="A7" s="19"/>
      <c r="B7" s="20"/>
      <c r="C7" s="17"/>
      <c r="D7" s="18"/>
      <c r="E7" s="18"/>
      <c r="F7" s="7"/>
      <c r="G7" s="7"/>
      <c r="H7" s="7"/>
      <c r="I7" s="7"/>
      <c r="J7" s="11"/>
      <c r="K7" s="11"/>
      <c r="L7" s="7"/>
      <c r="M7" s="11"/>
      <c r="N7" s="11"/>
      <c r="O7" s="11"/>
      <c r="P7" s="7"/>
      <c r="Q7" s="8"/>
      <c r="R7" s="7"/>
      <c r="S7" s="7"/>
      <c r="T7" s="12"/>
      <c r="U7" s="7"/>
      <c r="V7" s="7"/>
    </row>
    <row r="8" spans="1:22" x14ac:dyDescent="0.25">
      <c r="A8" s="19"/>
      <c r="B8" s="20"/>
      <c r="C8" s="17"/>
      <c r="D8" s="18"/>
      <c r="E8" s="18"/>
      <c r="F8" s="7"/>
      <c r="G8" s="7"/>
      <c r="H8" s="7"/>
      <c r="I8" s="7"/>
      <c r="J8" s="11"/>
      <c r="K8" s="11"/>
      <c r="L8" s="7"/>
      <c r="M8" s="11"/>
      <c r="N8" s="11"/>
      <c r="O8" s="11"/>
      <c r="P8" s="7"/>
      <c r="Q8" s="8"/>
      <c r="R8" s="7"/>
      <c r="S8" s="7"/>
      <c r="T8" s="12"/>
      <c r="U8" s="7"/>
      <c r="V8" s="7"/>
    </row>
    <row r="9" spans="1:22" x14ac:dyDescent="0.25">
      <c r="A9" s="19"/>
      <c r="B9" s="20"/>
      <c r="C9" s="17"/>
      <c r="D9" s="18"/>
      <c r="E9" s="18"/>
      <c r="F9" s="7"/>
      <c r="G9" s="7"/>
      <c r="H9" s="7"/>
      <c r="I9" s="7"/>
      <c r="J9" s="11"/>
      <c r="K9" s="11"/>
      <c r="L9" s="7"/>
      <c r="M9" s="11"/>
      <c r="N9" s="11"/>
      <c r="O9" s="11"/>
      <c r="P9" s="7"/>
      <c r="Q9" s="8"/>
      <c r="R9" s="7"/>
      <c r="S9" s="7"/>
      <c r="T9" s="12"/>
      <c r="U9" s="7"/>
      <c r="V9" s="7"/>
    </row>
    <row r="10" spans="1:22" x14ac:dyDescent="0.25">
      <c r="A10" s="19"/>
      <c r="B10" s="20"/>
      <c r="C10" s="17"/>
      <c r="D10" s="18"/>
      <c r="E10" s="18"/>
      <c r="F10" s="7"/>
      <c r="G10" s="7"/>
      <c r="H10" s="7"/>
      <c r="I10" s="7"/>
      <c r="J10" s="11"/>
      <c r="K10" s="11"/>
      <c r="L10" s="7"/>
      <c r="M10" s="11"/>
      <c r="N10" s="11"/>
      <c r="O10" s="11"/>
      <c r="P10" s="7"/>
      <c r="Q10" s="8"/>
      <c r="R10" s="7"/>
      <c r="S10" s="7"/>
      <c r="T10" s="12"/>
      <c r="U10" s="7"/>
      <c r="V10" s="7"/>
    </row>
    <row r="11" spans="1:22" x14ac:dyDescent="0.25">
      <c r="A11" s="19"/>
      <c r="B11" s="20"/>
      <c r="C11" s="17"/>
      <c r="D11" s="18"/>
      <c r="E11" s="18"/>
      <c r="F11" s="7"/>
      <c r="G11" s="7"/>
      <c r="H11" s="7"/>
      <c r="I11" s="7"/>
      <c r="J11" s="11"/>
      <c r="K11" s="11"/>
      <c r="L11" s="7"/>
      <c r="M11" s="11"/>
      <c r="N11" s="11"/>
      <c r="O11" s="11"/>
      <c r="P11" s="7"/>
      <c r="Q11" s="8"/>
      <c r="R11" s="7"/>
      <c r="S11" s="7"/>
      <c r="T11" s="12"/>
      <c r="U11" s="7"/>
      <c r="V11" s="7"/>
    </row>
    <row r="12" spans="1:22" x14ac:dyDescent="0.25">
      <c r="A12" s="19"/>
      <c r="B12" s="20"/>
      <c r="C12" s="17"/>
      <c r="D12" s="18"/>
      <c r="E12" s="18"/>
      <c r="F12" s="7"/>
      <c r="G12" s="7"/>
      <c r="H12" s="7"/>
      <c r="I12" s="7"/>
      <c r="J12" s="11"/>
      <c r="K12" s="11"/>
      <c r="L12" s="7"/>
      <c r="M12" s="11"/>
      <c r="N12" s="11"/>
      <c r="O12" s="11"/>
      <c r="P12" s="7"/>
      <c r="Q12" s="8"/>
      <c r="R12" s="7"/>
      <c r="S12" s="7"/>
      <c r="T12" s="12"/>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s>
  <conditionalFormatting sqref="F5:V44 G3:T4">
    <cfRule type="cellIs" dxfId="65" priority="20" operator="equal">
      <formula>"F"</formula>
    </cfRule>
    <cfRule type="cellIs" dxfId="64" priority="21" operator="equal">
      <formula>"OK"</formula>
    </cfRule>
    <cfRule type="cellIs" dxfId="63" priority="22" operator="between">
      <formula>6</formula>
      <formula>18</formula>
    </cfRule>
  </conditionalFormatting>
  <conditionalFormatting sqref="C1:E1 A2:E2 C3:C4 E3:E4 A5:E1048576">
    <cfRule type="expression" dxfId="62" priority="18">
      <formula>$A1="FALTA"</formula>
    </cfRule>
    <cfRule type="expression" dxfId="61" priority="19">
      <formula>$A1="COMPLETO"</formula>
    </cfRule>
  </conditionalFormatting>
  <conditionalFormatting sqref="D3:D4">
    <cfRule type="expression" dxfId="60" priority="14">
      <formula>$A3="FALTA"</formula>
    </cfRule>
    <cfRule type="expression" dxfId="59" priority="15">
      <formula>$A3="COMPLETO"</formula>
    </cfRule>
  </conditionalFormatting>
  <conditionalFormatting sqref="B3">
    <cfRule type="expression" dxfId="58" priority="16">
      <formula>$A3="FALTA"</formula>
    </cfRule>
    <cfRule type="expression" dxfId="57" priority="17">
      <formula>$A3="COMPLETO"</formula>
    </cfRule>
  </conditionalFormatting>
  <conditionalFormatting sqref="F4">
    <cfRule type="cellIs" dxfId="56" priority="11" operator="equal">
      <formula>"F"</formula>
    </cfRule>
    <cfRule type="cellIs" dxfId="55" priority="12" operator="equal">
      <formula>"OK"</formula>
    </cfRule>
    <cfRule type="cellIs" dxfId="54" priority="13" operator="between">
      <formula>6</formula>
      <formula>18</formula>
    </cfRule>
  </conditionalFormatting>
  <conditionalFormatting sqref="A1:B1">
    <cfRule type="expression" dxfId="53" priority="9">
      <formula>$A1="FALTA"</formula>
    </cfRule>
    <cfRule type="expression" dxfId="52" priority="10">
      <formula>$A1="COMPLETO"</formula>
    </cfRule>
  </conditionalFormatting>
  <conditionalFormatting sqref="U3:V3">
    <cfRule type="cellIs" dxfId="51" priority="6" operator="equal">
      <formula>"F"</formula>
    </cfRule>
    <cfRule type="cellIs" dxfId="50" priority="7" operator="equal">
      <formula>"OK"</formula>
    </cfRule>
    <cfRule type="cellIs" dxfId="49" priority="8" operator="between">
      <formula>6</formula>
      <formula>18</formula>
    </cfRule>
  </conditionalFormatting>
  <conditionalFormatting sqref="F3">
    <cfRule type="cellIs" dxfId="48" priority="3" operator="equal">
      <formula>"F"</formula>
    </cfRule>
    <cfRule type="cellIs" dxfId="47" priority="4" operator="equal">
      <formula>"OK"</formula>
    </cfRule>
    <cfRule type="cellIs" dxfId="46" priority="5" operator="between">
      <formula>6</formula>
      <formula>18</formula>
    </cfRule>
  </conditionalFormatting>
  <conditionalFormatting sqref="A3">
    <cfRule type="expression" dxfId="45" priority="1">
      <formula>$A3="FALTA"</formula>
    </cfRule>
    <cfRule type="expression" dxfId="44"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9">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ZTarfia 53</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FALTA</v>
      </c>
      <c r="B3" s="385" t="s">
        <v>116</v>
      </c>
      <c r="C3" s="23" t="s">
        <v>1163</v>
      </c>
      <c r="D3" s="29" t="s">
        <v>5</v>
      </c>
      <c r="E3" s="10" t="s">
        <v>1359</v>
      </c>
      <c r="F3" s="30">
        <f>IF(AND(ISBLANK(U3),ISBLANK(V3)),1-(COUNTIF(G3:V4,"F")/7),1-(COUNTIF(U3:V3,"F")/2))</f>
        <v>0</v>
      </c>
      <c r="G3" s="24"/>
      <c r="H3" s="24"/>
      <c r="I3" s="24"/>
      <c r="J3" s="24"/>
      <c r="K3" s="24"/>
      <c r="L3" s="24" t="s">
        <v>28</v>
      </c>
      <c r="M3" s="11" t="s">
        <v>8</v>
      </c>
      <c r="N3" s="24"/>
      <c r="O3" s="24"/>
      <c r="P3" s="25"/>
      <c r="Q3" s="24" t="s">
        <v>24</v>
      </c>
      <c r="R3" s="11" t="s">
        <v>8</v>
      </c>
      <c r="S3" s="24" t="s">
        <v>12</v>
      </c>
      <c r="T3" s="11" t="s">
        <v>8</v>
      </c>
      <c r="U3" s="381"/>
      <c r="V3" s="381"/>
    </row>
    <row r="4" spans="1:22" x14ac:dyDescent="0.25">
      <c r="A4" s="384"/>
      <c r="B4" s="386"/>
      <c r="C4" s="23" t="s">
        <v>1164</v>
      </c>
      <c r="D4" s="29" t="s">
        <v>6</v>
      </c>
      <c r="E4" s="10" t="s">
        <v>1360</v>
      </c>
      <c r="F4" s="30">
        <f>COUNTIF(A5:A44,"*COMPLETO*")/COUNTA(A5:A44)</f>
        <v>0.6</v>
      </c>
      <c r="G4" s="24"/>
      <c r="H4" s="24" t="s">
        <v>18</v>
      </c>
      <c r="I4" s="11" t="s">
        <v>8</v>
      </c>
      <c r="J4" s="24"/>
      <c r="K4" s="24"/>
      <c r="L4" s="24" t="s">
        <v>23</v>
      </c>
      <c r="M4" s="11" t="s">
        <v>8</v>
      </c>
      <c r="N4" s="24"/>
      <c r="O4" s="24"/>
      <c r="P4" s="11"/>
      <c r="Q4" s="24" t="s">
        <v>26</v>
      </c>
      <c r="R4" s="11" t="s">
        <v>8</v>
      </c>
      <c r="S4" s="24" t="s">
        <v>19</v>
      </c>
      <c r="T4" s="11" t="s">
        <v>8</v>
      </c>
      <c r="U4" s="382"/>
      <c r="V4" s="382"/>
    </row>
    <row r="5" spans="1:22" ht="15" customHeight="1" x14ac:dyDescent="0.25">
      <c r="A5" s="19" t="str">
        <f>IF(COUNTIF(F5:V5,"F")&gt;0,"FALTA","COMPLETO")</f>
        <v>FALTA</v>
      </c>
      <c r="B5" s="20" t="s">
        <v>233</v>
      </c>
      <c r="C5" s="17" t="s">
        <v>4</v>
      </c>
      <c r="D5" s="18"/>
      <c r="E5" s="18"/>
      <c r="F5" s="7" t="s">
        <v>8</v>
      </c>
      <c r="G5" s="7" t="s">
        <v>8</v>
      </c>
      <c r="H5" s="7"/>
      <c r="I5" s="7" t="s">
        <v>9</v>
      </c>
      <c r="J5" s="11" t="s">
        <v>9</v>
      </c>
      <c r="K5" s="11" t="s">
        <v>9</v>
      </c>
      <c r="L5" s="7" t="s">
        <v>9</v>
      </c>
      <c r="M5" s="11" t="s">
        <v>9</v>
      </c>
      <c r="N5" s="11" t="s">
        <v>9</v>
      </c>
      <c r="O5" s="11" t="s">
        <v>9</v>
      </c>
      <c r="P5" s="7" t="s">
        <v>9</v>
      </c>
      <c r="Q5" s="8" t="s">
        <v>9</v>
      </c>
      <c r="R5" s="7" t="s">
        <v>9</v>
      </c>
      <c r="S5" s="7" t="s">
        <v>9</v>
      </c>
      <c r="T5" s="12" t="s">
        <v>9</v>
      </c>
      <c r="U5" s="7"/>
      <c r="V5" s="7"/>
    </row>
    <row r="6" spans="1:22" ht="15" customHeight="1" x14ac:dyDescent="0.25">
      <c r="A6" s="19" t="str">
        <f t="shared" ref="A6:A14" si="0">IF(COUNTIF(F6:V6,"F")&gt;0,"FALTA","COMPLETO")</f>
        <v>COMPLETO</v>
      </c>
      <c r="B6" s="20" t="s">
        <v>234</v>
      </c>
      <c r="C6" s="17" t="s">
        <v>2445</v>
      </c>
      <c r="D6" s="18"/>
      <c r="E6" s="18" t="s">
        <v>2444</v>
      </c>
      <c r="F6" s="7" t="s">
        <v>53</v>
      </c>
      <c r="G6" s="7" t="s">
        <v>53</v>
      </c>
      <c r="H6" s="7"/>
      <c r="I6" s="7" t="s">
        <v>53</v>
      </c>
      <c r="J6" s="11" t="s">
        <v>9</v>
      </c>
      <c r="K6" s="11" t="s">
        <v>9</v>
      </c>
      <c r="L6" s="7" t="s">
        <v>9</v>
      </c>
      <c r="M6" s="11" t="s">
        <v>9</v>
      </c>
      <c r="N6" s="11" t="s">
        <v>9</v>
      </c>
      <c r="O6" s="11" t="s">
        <v>9</v>
      </c>
      <c r="P6" s="7" t="s">
        <v>9</v>
      </c>
      <c r="Q6" s="8" t="s">
        <v>9</v>
      </c>
      <c r="R6" s="7" t="s">
        <v>9</v>
      </c>
      <c r="S6" s="7" t="s">
        <v>9</v>
      </c>
      <c r="T6" s="12" t="s">
        <v>9</v>
      </c>
      <c r="U6" s="7"/>
      <c r="V6" s="7"/>
    </row>
    <row r="7" spans="1:22" ht="15" customHeight="1" x14ac:dyDescent="0.25">
      <c r="A7" s="19" t="str">
        <f t="shared" si="0"/>
        <v>COMPLETO</v>
      </c>
      <c r="B7" s="20" t="s">
        <v>235</v>
      </c>
      <c r="C7" s="17" t="s">
        <v>1164</v>
      </c>
      <c r="D7" s="18"/>
      <c r="E7" s="18" t="s">
        <v>2441</v>
      </c>
      <c r="F7" s="7" t="s">
        <v>53</v>
      </c>
      <c r="G7" s="7" t="s">
        <v>53</v>
      </c>
      <c r="H7" s="7"/>
      <c r="I7" s="7" t="s">
        <v>53</v>
      </c>
      <c r="J7" s="11" t="s">
        <v>9</v>
      </c>
      <c r="K7" s="11" t="s">
        <v>9</v>
      </c>
      <c r="L7" s="7" t="s">
        <v>9</v>
      </c>
      <c r="M7" s="11" t="s">
        <v>9</v>
      </c>
      <c r="N7" s="11" t="s">
        <v>9</v>
      </c>
      <c r="O7" s="11" t="s">
        <v>9</v>
      </c>
      <c r="P7" s="7" t="s">
        <v>9</v>
      </c>
      <c r="Q7" s="8" t="s">
        <v>9</v>
      </c>
      <c r="R7" s="7" t="s">
        <v>9</v>
      </c>
      <c r="S7" s="7" t="s">
        <v>9</v>
      </c>
      <c r="T7" s="12" t="s">
        <v>9</v>
      </c>
      <c r="U7" s="7"/>
      <c r="V7" s="7"/>
    </row>
    <row r="8" spans="1:22" x14ac:dyDescent="0.25">
      <c r="A8" s="19" t="str">
        <f t="shared" si="0"/>
        <v>COMPLETO</v>
      </c>
      <c r="B8" s="20" t="s">
        <v>236</v>
      </c>
      <c r="C8" s="17" t="s">
        <v>2583</v>
      </c>
      <c r="D8" s="18"/>
      <c r="E8" s="18" t="s">
        <v>2584</v>
      </c>
      <c r="F8" s="7" t="s">
        <v>53</v>
      </c>
      <c r="G8" s="7" t="s">
        <v>53</v>
      </c>
      <c r="H8" s="7"/>
      <c r="I8" s="7" t="s">
        <v>9</v>
      </c>
      <c r="J8" s="11" t="s">
        <v>9</v>
      </c>
      <c r="K8" s="11" t="s">
        <v>9</v>
      </c>
      <c r="L8" s="7" t="s">
        <v>9</v>
      </c>
      <c r="M8" s="11" t="s">
        <v>9</v>
      </c>
      <c r="N8" s="11" t="s">
        <v>9</v>
      </c>
      <c r="O8" s="11" t="s">
        <v>9</v>
      </c>
      <c r="P8" s="7" t="s">
        <v>9</v>
      </c>
      <c r="Q8" s="8" t="s">
        <v>9</v>
      </c>
      <c r="R8" s="7" t="s">
        <v>9</v>
      </c>
      <c r="S8" s="7" t="s">
        <v>9</v>
      </c>
      <c r="T8" s="12" t="s">
        <v>9</v>
      </c>
      <c r="U8" s="7"/>
      <c r="V8" s="7"/>
    </row>
    <row r="9" spans="1:22" x14ac:dyDescent="0.25">
      <c r="A9" s="19" t="str">
        <f t="shared" si="0"/>
        <v>FALTA</v>
      </c>
      <c r="B9" s="20" t="s">
        <v>237</v>
      </c>
      <c r="C9" s="17" t="s">
        <v>4</v>
      </c>
      <c r="D9" s="18"/>
      <c r="E9" s="18"/>
      <c r="F9" s="7" t="s">
        <v>8</v>
      </c>
      <c r="G9" s="7" t="s">
        <v>8</v>
      </c>
      <c r="H9" s="7"/>
      <c r="I9" s="7" t="s">
        <v>9</v>
      </c>
      <c r="J9" s="11" t="s">
        <v>9</v>
      </c>
      <c r="K9" s="11" t="s">
        <v>9</v>
      </c>
      <c r="L9" s="7" t="s">
        <v>9</v>
      </c>
      <c r="M9" s="11" t="s">
        <v>9</v>
      </c>
      <c r="N9" s="11" t="s">
        <v>9</v>
      </c>
      <c r="O9" s="11" t="s">
        <v>9</v>
      </c>
      <c r="P9" s="7" t="s">
        <v>9</v>
      </c>
      <c r="Q9" s="8" t="s">
        <v>9</v>
      </c>
      <c r="R9" s="7" t="s">
        <v>9</v>
      </c>
      <c r="S9" s="7" t="s">
        <v>9</v>
      </c>
      <c r="T9" s="12" t="s">
        <v>9</v>
      </c>
      <c r="U9" s="7"/>
      <c r="V9" s="7"/>
    </row>
    <row r="10" spans="1:22" x14ac:dyDescent="0.25">
      <c r="A10" s="19" t="str">
        <f t="shared" si="0"/>
        <v>COMPLETO</v>
      </c>
      <c r="B10" s="20" t="s">
        <v>238</v>
      </c>
      <c r="C10" s="17" t="s">
        <v>2465</v>
      </c>
      <c r="D10" s="18"/>
      <c r="E10" s="18" t="s">
        <v>2464</v>
      </c>
      <c r="F10" s="7" t="s">
        <v>53</v>
      </c>
      <c r="G10" s="7" t="s">
        <v>53</v>
      </c>
      <c r="H10" s="7"/>
      <c r="I10" s="7" t="s">
        <v>9</v>
      </c>
      <c r="J10" s="11" t="s">
        <v>9</v>
      </c>
      <c r="K10" s="11" t="s">
        <v>9</v>
      </c>
      <c r="L10" s="7" t="s">
        <v>9</v>
      </c>
      <c r="M10" s="11" t="s">
        <v>9</v>
      </c>
      <c r="N10" s="11" t="s">
        <v>9</v>
      </c>
      <c r="O10" s="11" t="s">
        <v>9</v>
      </c>
      <c r="P10" s="7" t="s">
        <v>9</v>
      </c>
      <c r="Q10" s="8" t="s">
        <v>9</v>
      </c>
      <c r="R10" s="7" t="s">
        <v>9</v>
      </c>
      <c r="S10" s="7" t="s">
        <v>9</v>
      </c>
      <c r="T10" s="12" t="s">
        <v>9</v>
      </c>
      <c r="U10" s="7"/>
      <c r="V10" s="7"/>
    </row>
    <row r="11" spans="1:22" x14ac:dyDescent="0.25">
      <c r="A11" s="19" t="str">
        <f t="shared" si="0"/>
        <v>COMPLETO</v>
      </c>
      <c r="B11" s="20" t="s">
        <v>239</v>
      </c>
      <c r="C11" s="17" t="s">
        <v>2466</v>
      </c>
      <c r="D11" s="18"/>
      <c r="E11" s="18" t="s">
        <v>2442</v>
      </c>
      <c r="F11" s="7" t="s">
        <v>53</v>
      </c>
      <c r="G11" s="7" t="s">
        <v>53</v>
      </c>
      <c r="H11" s="7"/>
      <c r="I11" s="7" t="s">
        <v>9</v>
      </c>
      <c r="J11" s="11" t="s">
        <v>9</v>
      </c>
      <c r="K11" s="11" t="s">
        <v>9</v>
      </c>
      <c r="L11" s="7" t="s">
        <v>9</v>
      </c>
      <c r="M11" s="11" t="s">
        <v>9</v>
      </c>
      <c r="N11" s="11" t="s">
        <v>9</v>
      </c>
      <c r="O11" s="11" t="s">
        <v>9</v>
      </c>
      <c r="P11" s="7" t="s">
        <v>9</v>
      </c>
      <c r="Q11" s="8" t="s">
        <v>9</v>
      </c>
      <c r="R11" s="7" t="s">
        <v>9</v>
      </c>
      <c r="S11" s="7" t="s">
        <v>9</v>
      </c>
      <c r="T11" s="12" t="s">
        <v>9</v>
      </c>
      <c r="U11" s="7"/>
      <c r="V11" s="7"/>
    </row>
    <row r="12" spans="1:22" x14ac:dyDescent="0.25">
      <c r="A12" s="19" t="str">
        <f t="shared" si="0"/>
        <v>COMPLETO</v>
      </c>
      <c r="B12" s="20" t="s">
        <v>240</v>
      </c>
      <c r="C12" s="17" t="s">
        <v>2482</v>
      </c>
      <c r="D12" s="18"/>
      <c r="E12" s="18" t="s">
        <v>2481</v>
      </c>
      <c r="F12" s="7" t="s">
        <v>53</v>
      </c>
      <c r="G12" s="7" t="s">
        <v>53</v>
      </c>
      <c r="H12" s="7"/>
      <c r="I12" s="7" t="s">
        <v>9</v>
      </c>
      <c r="J12" s="11" t="s">
        <v>9</v>
      </c>
      <c r="K12" s="11" t="s">
        <v>9</v>
      </c>
      <c r="L12" s="7" t="s">
        <v>9</v>
      </c>
      <c r="M12" s="11" t="s">
        <v>9</v>
      </c>
      <c r="N12" s="11" t="s">
        <v>9</v>
      </c>
      <c r="O12" s="11" t="s">
        <v>9</v>
      </c>
      <c r="P12" s="7" t="s">
        <v>9</v>
      </c>
      <c r="Q12" s="8" t="s">
        <v>9</v>
      </c>
      <c r="R12" s="7" t="s">
        <v>9</v>
      </c>
      <c r="S12" s="7" t="s">
        <v>9</v>
      </c>
      <c r="T12" s="12" t="s">
        <v>9</v>
      </c>
      <c r="U12" s="7"/>
      <c r="V12" s="7"/>
    </row>
    <row r="13" spans="1:22" x14ac:dyDescent="0.25">
      <c r="A13" s="19" t="str">
        <f t="shared" si="0"/>
        <v>FALTA</v>
      </c>
      <c r="B13" s="20" t="s">
        <v>2159</v>
      </c>
      <c r="C13" s="17" t="s">
        <v>4</v>
      </c>
      <c r="D13" s="18"/>
      <c r="E13" s="18"/>
      <c r="F13" s="7" t="s">
        <v>8</v>
      </c>
      <c r="G13" s="7" t="s">
        <v>8</v>
      </c>
      <c r="H13" s="7"/>
      <c r="I13" s="7" t="s">
        <v>9</v>
      </c>
      <c r="J13" s="11" t="s">
        <v>9</v>
      </c>
      <c r="K13" s="11" t="s">
        <v>9</v>
      </c>
      <c r="L13" s="7" t="s">
        <v>9</v>
      </c>
      <c r="M13" s="11" t="s">
        <v>9</v>
      </c>
      <c r="N13" s="11" t="s">
        <v>9</v>
      </c>
      <c r="O13" s="11" t="s">
        <v>9</v>
      </c>
      <c r="P13" s="7" t="s">
        <v>9</v>
      </c>
      <c r="Q13" s="8" t="s">
        <v>9</v>
      </c>
      <c r="R13" s="7" t="s">
        <v>9</v>
      </c>
      <c r="S13" s="7" t="s">
        <v>9</v>
      </c>
      <c r="T13" s="12" t="s">
        <v>9</v>
      </c>
      <c r="U13" s="7"/>
      <c r="V13" s="7"/>
    </row>
    <row r="14" spans="1:22" x14ac:dyDescent="0.25">
      <c r="A14" s="19" t="str">
        <f t="shared" si="0"/>
        <v>FALTA</v>
      </c>
      <c r="B14" s="20" t="s">
        <v>2160</v>
      </c>
      <c r="C14" s="17" t="s">
        <v>4</v>
      </c>
      <c r="D14" s="18"/>
      <c r="E14" s="18"/>
      <c r="F14" s="7" t="s">
        <v>8</v>
      </c>
      <c r="G14" s="7" t="s">
        <v>8</v>
      </c>
      <c r="H14" s="7"/>
      <c r="I14" s="7" t="s">
        <v>9</v>
      </c>
      <c r="J14" s="11" t="s">
        <v>9</v>
      </c>
      <c r="K14" s="11" t="s">
        <v>9</v>
      </c>
      <c r="L14" s="7" t="s">
        <v>9</v>
      </c>
      <c r="M14" s="11" t="s">
        <v>9</v>
      </c>
      <c r="N14" s="11" t="s">
        <v>9</v>
      </c>
      <c r="O14" s="11" t="s">
        <v>9</v>
      </c>
      <c r="P14" s="7" t="s">
        <v>9</v>
      </c>
      <c r="Q14" s="8" t="s">
        <v>9</v>
      </c>
      <c r="R14" s="7" t="s">
        <v>9</v>
      </c>
      <c r="S14" s="7" t="s">
        <v>9</v>
      </c>
      <c r="T14" s="12" t="s">
        <v>9</v>
      </c>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 ref="R1:R2"/>
    <mergeCell ref="S1:S2"/>
    <mergeCell ref="T1:T2"/>
    <mergeCell ref="U1:U2"/>
    <mergeCell ref="V1:V2"/>
  </mergeCells>
  <conditionalFormatting sqref="F5:V44 G3:T4">
    <cfRule type="cellIs" dxfId="43" priority="29" operator="equal">
      <formula>"F"</formula>
    </cfRule>
    <cfRule type="cellIs" dxfId="42" priority="30" operator="equal">
      <formula>"OK"</formula>
    </cfRule>
    <cfRule type="cellIs" dxfId="41" priority="31" operator="between">
      <formula>6</formula>
      <formula>18</formula>
    </cfRule>
  </conditionalFormatting>
  <conditionalFormatting sqref="C1:E1 A2:E2 C3:C4 E3:E4 A5:E1048576">
    <cfRule type="expression" dxfId="40" priority="27">
      <formula>$A1="FALTA"</formula>
    </cfRule>
    <cfRule type="expression" dxfId="39" priority="28">
      <formula>$A1="COMPLETO"</formula>
    </cfRule>
  </conditionalFormatting>
  <conditionalFormatting sqref="B3">
    <cfRule type="expression" dxfId="38" priority="19">
      <formula>$A3="FALTA"</formula>
    </cfRule>
    <cfRule type="expression" dxfId="37" priority="20">
      <formula>$A3="COMPLETO"</formula>
    </cfRule>
  </conditionalFormatting>
  <conditionalFormatting sqref="D3:D4">
    <cfRule type="expression" dxfId="36" priority="17">
      <formula>$A3="FALTA"</formula>
    </cfRule>
    <cfRule type="expression" dxfId="35" priority="18">
      <formula>$A3="COMPLETO"</formula>
    </cfRule>
  </conditionalFormatting>
  <conditionalFormatting sqref="F4">
    <cfRule type="cellIs" dxfId="34" priority="14" operator="equal">
      <formula>"F"</formula>
    </cfRule>
    <cfRule type="cellIs" dxfId="33" priority="15" operator="equal">
      <formula>"OK"</formula>
    </cfRule>
    <cfRule type="cellIs" dxfId="32" priority="16" operator="between">
      <formula>6</formula>
      <formula>18</formula>
    </cfRule>
  </conditionalFormatting>
  <conditionalFormatting sqref="A1:B1">
    <cfRule type="expression" dxfId="31" priority="12">
      <formula>$A1="FALTA"</formula>
    </cfRule>
    <cfRule type="expression" dxfId="30" priority="13">
      <formula>$A1="COMPLETO"</formula>
    </cfRule>
  </conditionalFormatting>
  <conditionalFormatting sqref="U3:V3">
    <cfRule type="cellIs" dxfId="29" priority="6" operator="equal">
      <formula>"F"</formula>
    </cfRule>
    <cfRule type="cellIs" dxfId="28" priority="7" operator="equal">
      <formula>"OK"</formula>
    </cfRule>
    <cfRule type="cellIs" dxfId="27" priority="8" operator="between">
      <formula>6</formula>
      <formula>18</formula>
    </cfRule>
  </conditionalFormatting>
  <conditionalFormatting sqref="F3">
    <cfRule type="cellIs" dxfId="26" priority="3" operator="equal">
      <formula>"F"</formula>
    </cfRule>
    <cfRule type="cellIs" dxfId="25" priority="4" operator="equal">
      <formula>"OK"</formula>
    </cfRule>
    <cfRule type="cellIs" dxfId="24" priority="5" operator="between">
      <formula>6</formula>
      <formula>18</formula>
    </cfRule>
  </conditionalFormatting>
  <conditionalFormatting sqref="A3">
    <cfRule type="expression" dxfId="23" priority="1">
      <formula>$A3="FALTA"</formula>
    </cfRule>
    <cfRule type="expression" dxfId="22"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1">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ZVirgen de la Antigua 26</v>
      </c>
      <c r="C1" s="16"/>
      <c r="D1" s="2"/>
      <c r="E1" s="15"/>
      <c r="F1" s="377" t="s">
        <v>11</v>
      </c>
      <c r="G1" s="377" t="s">
        <v>20</v>
      </c>
      <c r="H1" s="377" t="s">
        <v>13</v>
      </c>
      <c r="I1" s="377" t="s">
        <v>14</v>
      </c>
      <c r="J1" s="379" t="s">
        <v>1332</v>
      </c>
      <c r="K1" s="379" t="s">
        <v>1331</v>
      </c>
      <c r="L1" s="387" t="s">
        <v>15</v>
      </c>
      <c r="M1" s="379" t="s">
        <v>16</v>
      </c>
      <c r="N1" s="379" t="s">
        <v>1330</v>
      </c>
      <c r="O1" s="379" t="s">
        <v>21</v>
      </c>
      <c r="P1" s="377" t="s">
        <v>1</v>
      </c>
      <c r="Q1" s="377" t="s">
        <v>22</v>
      </c>
      <c r="R1" s="377" t="s">
        <v>2</v>
      </c>
      <c r="S1" s="377" t="s">
        <v>17</v>
      </c>
      <c r="T1" s="379" t="s">
        <v>10</v>
      </c>
      <c r="U1" s="377" t="s">
        <v>114</v>
      </c>
      <c r="V1" s="377" t="s">
        <v>115</v>
      </c>
    </row>
    <row r="2" spans="1:22" s="1" customFormat="1" ht="45" customHeight="1" x14ac:dyDescent="0.25">
      <c r="A2" s="14" t="s">
        <v>1329</v>
      </c>
      <c r="B2" s="5" t="s">
        <v>3</v>
      </c>
      <c r="C2" s="6" t="s">
        <v>4</v>
      </c>
      <c r="D2" s="5" t="s">
        <v>25</v>
      </c>
      <c r="E2" s="14" t="s">
        <v>27</v>
      </c>
      <c r="F2" s="378"/>
      <c r="G2" s="378"/>
      <c r="H2" s="378"/>
      <c r="I2" s="378"/>
      <c r="J2" s="380"/>
      <c r="K2" s="380"/>
      <c r="L2" s="388"/>
      <c r="M2" s="380"/>
      <c r="N2" s="380"/>
      <c r="O2" s="380"/>
      <c r="P2" s="378"/>
      <c r="Q2" s="378"/>
      <c r="R2" s="378"/>
      <c r="S2" s="378"/>
      <c r="T2" s="380"/>
      <c r="U2" s="378"/>
      <c r="V2" s="378"/>
    </row>
    <row r="3" spans="1:22" x14ac:dyDescent="0.25">
      <c r="A3" s="383" t="str">
        <f>IF(COUNTIF(G3:V4,"F")&gt;0,"FALTA","COMPLETO")</f>
        <v>COMPLETO</v>
      </c>
      <c r="B3" s="385" t="s">
        <v>116</v>
      </c>
      <c r="C3" s="23" t="s">
        <v>1165</v>
      </c>
      <c r="D3" s="29" t="s">
        <v>5</v>
      </c>
      <c r="E3" s="10" t="s">
        <v>1167</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81"/>
      <c r="V3" s="381" t="s">
        <v>116</v>
      </c>
    </row>
    <row r="4" spans="1:22" x14ac:dyDescent="0.25">
      <c r="A4" s="384"/>
      <c r="B4" s="386"/>
      <c r="C4" s="23" t="s">
        <v>1166</v>
      </c>
      <c r="D4" s="29" t="s">
        <v>6</v>
      </c>
      <c r="E4" s="10" t="s">
        <v>1168</v>
      </c>
      <c r="F4" s="30">
        <f>COUNTIF(A5:A44,"*COMPLETO*")/COUNTA(A5:A44)</f>
        <v>0.96296296296296291</v>
      </c>
      <c r="G4" s="24"/>
      <c r="H4" s="24" t="s">
        <v>18</v>
      </c>
      <c r="I4" s="11" t="s">
        <v>53</v>
      </c>
      <c r="J4" s="24"/>
      <c r="K4" s="24"/>
      <c r="L4" s="24" t="s">
        <v>23</v>
      </c>
      <c r="M4" s="11" t="s">
        <v>53</v>
      </c>
      <c r="N4" s="24"/>
      <c r="O4" s="24"/>
      <c r="P4" s="11"/>
      <c r="Q4" s="24" t="s">
        <v>26</v>
      </c>
      <c r="R4" s="11" t="s">
        <v>7</v>
      </c>
      <c r="S4" s="24" t="s">
        <v>19</v>
      </c>
      <c r="T4" s="11" t="s">
        <v>53</v>
      </c>
      <c r="U4" s="382"/>
      <c r="V4" s="382"/>
    </row>
    <row r="5" spans="1:22" ht="15" customHeight="1" x14ac:dyDescent="0.25">
      <c r="A5" s="19" t="str">
        <f>IF(COUNTIF(F5:V5,"F")&gt;0,"FALTA","COMPLETO")</f>
        <v>COMPLETO</v>
      </c>
      <c r="B5" s="20" t="s">
        <v>151</v>
      </c>
      <c r="C5" s="17" t="s">
        <v>1169</v>
      </c>
      <c r="D5" s="18" t="s">
        <v>1195</v>
      </c>
      <c r="E5" s="18" t="s">
        <v>1196</v>
      </c>
      <c r="F5" s="7" t="s">
        <v>53</v>
      </c>
      <c r="G5" s="7" t="s">
        <v>53</v>
      </c>
      <c r="H5" s="7" t="s">
        <v>53</v>
      </c>
      <c r="I5" s="7" t="s">
        <v>9</v>
      </c>
      <c r="J5" s="11" t="s">
        <v>9</v>
      </c>
      <c r="K5" s="11" t="s">
        <v>9</v>
      </c>
      <c r="L5" s="7" t="s">
        <v>9</v>
      </c>
      <c r="M5" s="11" t="s">
        <v>9</v>
      </c>
      <c r="N5" s="11" t="s">
        <v>9</v>
      </c>
      <c r="O5" s="11" t="s">
        <v>9</v>
      </c>
      <c r="P5" s="7" t="s">
        <v>9</v>
      </c>
      <c r="Q5" s="8" t="s">
        <v>7</v>
      </c>
      <c r="R5" s="7" t="s">
        <v>9</v>
      </c>
      <c r="S5" s="7" t="s">
        <v>9</v>
      </c>
      <c r="T5" s="12" t="s">
        <v>9</v>
      </c>
      <c r="U5" s="7"/>
      <c r="V5" s="7" t="s">
        <v>116</v>
      </c>
    </row>
    <row r="6" spans="1:22" ht="15" customHeight="1" x14ac:dyDescent="0.25">
      <c r="A6" s="19" t="str">
        <f t="shared" ref="A6:A31" si="0">IF(COUNTIF(F6:V6,"F")&gt;0,"FALTA","COMPLETO")</f>
        <v>COMPLETO</v>
      </c>
      <c r="B6" s="20" t="s">
        <v>153</v>
      </c>
      <c r="C6" s="17" t="s">
        <v>1170</v>
      </c>
      <c r="D6" s="18" t="s">
        <v>1197</v>
      </c>
      <c r="E6" s="18" t="s">
        <v>1198</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c r="V6" s="7" t="s">
        <v>116</v>
      </c>
    </row>
    <row r="7" spans="1:22" ht="15" customHeight="1" x14ac:dyDescent="0.25">
      <c r="A7" s="19" t="str">
        <f t="shared" si="0"/>
        <v>COMPLETO</v>
      </c>
      <c r="B7" s="20" t="s">
        <v>155</v>
      </c>
      <c r="C7" s="17" t="s">
        <v>1171</v>
      </c>
      <c r="D7" s="18" t="s">
        <v>1199</v>
      </c>
      <c r="E7" s="18" t="s">
        <v>1200</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c r="V7" s="7" t="s">
        <v>116</v>
      </c>
    </row>
    <row r="8" spans="1:22" x14ac:dyDescent="0.25">
      <c r="A8" s="19" t="str">
        <f t="shared" si="0"/>
        <v>COMPLETO</v>
      </c>
      <c r="B8" s="20" t="s">
        <v>158</v>
      </c>
      <c r="C8" s="17" t="s">
        <v>1172</v>
      </c>
      <c r="D8" s="18" t="s">
        <v>1201</v>
      </c>
      <c r="E8" s="18" t="s">
        <v>1202</v>
      </c>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c r="V8" s="7" t="s">
        <v>116</v>
      </c>
    </row>
    <row r="9" spans="1:22" x14ac:dyDescent="0.25">
      <c r="A9" s="19" t="str">
        <f t="shared" si="0"/>
        <v>COMPLETO</v>
      </c>
      <c r="B9" s="20" t="s">
        <v>160</v>
      </c>
      <c r="C9" s="17" t="s">
        <v>1173</v>
      </c>
      <c r="D9" s="18" t="s">
        <v>1203</v>
      </c>
      <c r="E9" s="18" t="s">
        <v>1204</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c r="V9" s="7" t="s">
        <v>116</v>
      </c>
    </row>
    <row r="10" spans="1:22" x14ac:dyDescent="0.25">
      <c r="A10" s="19" t="str">
        <f t="shared" si="0"/>
        <v>COMPLETO</v>
      </c>
      <c r="B10" s="20" t="s">
        <v>162</v>
      </c>
      <c r="C10" s="17" t="s">
        <v>1174</v>
      </c>
      <c r="D10" s="18" t="s">
        <v>1205</v>
      </c>
      <c r="E10" s="18" t="s">
        <v>1206</v>
      </c>
      <c r="F10" s="7" t="s">
        <v>53</v>
      </c>
      <c r="G10" s="7" t="s">
        <v>53</v>
      </c>
      <c r="H10" s="7" t="s">
        <v>53</v>
      </c>
      <c r="I10" s="7" t="s">
        <v>53</v>
      </c>
      <c r="J10" s="11" t="s">
        <v>9</v>
      </c>
      <c r="K10" s="11" t="s">
        <v>9</v>
      </c>
      <c r="L10" s="7" t="s">
        <v>9</v>
      </c>
      <c r="M10" s="11" t="s">
        <v>9</v>
      </c>
      <c r="N10" s="11" t="s">
        <v>9</v>
      </c>
      <c r="O10" s="11" t="s">
        <v>9</v>
      </c>
      <c r="P10" s="7" t="s">
        <v>9</v>
      </c>
      <c r="Q10" s="8" t="s">
        <v>7</v>
      </c>
      <c r="R10" s="7" t="s">
        <v>9</v>
      </c>
      <c r="S10" s="7" t="s">
        <v>9</v>
      </c>
      <c r="T10" s="12" t="s">
        <v>9</v>
      </c>
      <c r="U10" s="7"/>
      <c r="V10" s="7" t="s">
        <v>116</v>
      </c>
    </row>
    <row r="11" spans="1:22" x14ac:dyDescent="0.25">
      <c r="A11" s="19" t="str">
        <f t="shared" si="0"/>
        <v>COMPLETO</v>
      </c>
      <c r="B11" s="20" t="s">
        <v>166</v>
      </c>
      <c r="C11" s="17" t="s">
        <v>1175</v>
      </c>
      <c r="D11" s="18" t="s">
        <v>1207</v>
      </c>
      <c r="E11" s="18" t="s">
        <v>1208</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c r="V11" s="7" t="s">
        <v>116</v>
      </c>
    </row>
    <row r="12" spans="1:22" x14ac:dyDescent="0.25">
      <c r="A12" s="19" t="str">
        <f t="shared" si="0"/>
        <v>COMPLETO</v>
      </c>
      <c r="B12" s="20" t="s">
        <v>168</v>
      </c>
      <c r="C12" s="17" t="s">
        <v>1176</v>
      </c>
      <c r="D12" s="18" t="s">
        <v>1209</v>
      </c>
      <c r="E12" s="18" t="s">
        <v>1210</v>
      </c>
      <c r="F12" s="7" t="s">
        <v>53</v>
      </c>
      <c r="G12" s="7" t="s">
        <v>53</v>
      </c>
      <c r="H12" s="7" t="s">
        <v>53</v>
      </c>
      <c r="I12" s="7" t="s">
        <v>9</v>
      </c>
      <c r="J12" s="11" t="s">
        <v>9</v>
      </c>
      <c r="K12" s="11" t="s">
        <v>9</v>
      </c>
      <c r="L12" s="7" t="s">
        <v>9</v>
      </c>
      <c r="M12" s="11" t="s">
        <v>9</v>
      </c>
      <c r="N12" s="11" t="s">
        <v>9</v>
      </c>
      <c r="O12" s="11" t="s">
        <v>9</v>
      </c>
      <c r="P12" s="7" t="s">
        <v>9</v>
      </c>
      <c r="Q12" s="8" t="s">
        <v>7</v>
      </c>
      <c r="R12" s="7" t="s">
        <v>9</v>
      </c>
      <c r="S12" s="7" t="s">
        <v>9</v>
      </c>
      <c r="T12" s="12" t="s">
        <v>9</v>
      </c>
      <c r="U12" s="7"/>
      <c r="V12" s="7" t="s">
        <v>116</v>
      </c>
    </row>
    <row r="13" spans="1:22" x14ac:dyDescent="0.25">
      <c r="A13" s="19" t="str">
        <f t="shared" si="0"/>
        <v>COMPLETO</v>
      </c>
      <c r="B13" s="20" t="s">
        <v>170</v>
      </c>
      <c r="C13" s="17" t="s">
        <v>1177</v>
      </c>
      <c r="D13" s="18" t="s">
        <v>1211</v>
      </c>
      <c r="E13" s="18" t="s">
        <v>1212</v>
      </c>
      <c r="F13" s="7" t="s">
        <v>53</v>
      </c>
      <c r="G13" s="7" t="s">
        <v>53</v>
      </c>
      <c r="H13" s="7" t="s">
        <v>53</v>
      </c>
      <c r="I13" s="7" t="s">
        <v>53</v>
      </c>
      <c r="J13" s="11" t="s">
        <v>9</v>
      </c>
      <c r="K13" s="11" t="s">
        <v>9</v>
      </c>
      <c r="L13" s="7" t="s">
        <v>9</v>
      </c>
      <c r="M13" s="11" t="s">
        <v>9</v>
      </c>
      <c r="N13" s="11" t="s">
        <v>9</v>
      </c>
      <c r="O13" s="11" t="s">
        <v>9</v>
      </c>
      <c r="P13" s="7" t="s">
        <v>9</v>
      </c>
      <c r="Q13" s="8" t="s">
        <v>7</v>
      </c>
      <c r="R13" s="7" t="s">
        <v>9</v>
      </c>
      <c r="S13" s="7" t="s">
        <v>9</v>
      </c>
      <c r="T13" s="12" t="s">
        <v>9</v>
      </c>
      <c r="U13" s="7"/>
      <c r="V13" s="7" t="s">
        <v>116</v>
      </c>
    </row>
    <row r="14" spans="1:22" x14ac:dyDescent="0.25">
      <c r="A14" s="19" t="str">
        <f t="shared" si="0"/>
        <v>COMPLETO</v>
      </c>
      <c r="B14" s="20" t="s">
        <v>174</v>
      </c>
      <c r="C14" s="17" t="s">
        <v>1178</v>
      </c>
      <c r="D14" s="18" t="s">
        <v>1213</v>
      </c>
      <c r="E14" s="18" t="s">
        <v>1214</v>
      </c>
      <c r="F14" s="7" t="s">
        <v>53</v>
      </c>
      <c r="G14" s="7" t="s">
        <v>53</v>
      </c>
      <c r="H14" s="7" t="s">
        <v>53</v>
      </c>
      <c r="I14" s="7" t="s">
        <v>53</v>
      </c>
      <c r="J14" s="11" t="s">
        <v>9</v>
      </c>
      <c r="K14" s="11" t="s">
        <v>9</v>
      </c>
      <c r="L14" s="7" t="s">
        <v>9</v>
      </c>
      <c r="M14" s="11" t="s">
        <v>9</v>
      </c>
      <c r="N14" s="11" t="s">
        <v>9</v>
      </c>
      <c r="O14" s="11" t="s">
        <v>9</v>
      </c>
      <c r="P14" s="7" t="s">
        <v>9</v>
      </c>
      <c r="Q14" s="8" t="s">
        <v>7</v>
      </c>
      <c r="R14" s="7" t="s">
        <v>9</v>
      </c>
      <c r="S14" s="7" t="s">
        <v>9</v>
      </c>
      <c r="T14" s="12" t="s">
        <v>9</v>
      </c>
      <c r="U14" s="7"/>
      <c r="V14" s="7" t="s">
        <v>116</v>
      </c>
    </row>
    <row r="15" spans="1:22" x14ac:dyDescent="0.25">
      <c r="A15" s="19" t="str">
        <f t="shared" si="0"/>
        <v>COMPLETO</v>
      </c>
      <c r="B15" s="20" t="s">
        <v>175</v>
      </c>
      <c r="C15" s="17" t="s">
        <v>1179</v>
      </c>
      <c r="D15" s="18" t="s">
        <v>1215</v>
      </c>
      <c r="E15" s="18" t="s">
        <v>1216</v>
      </c>
      <c r="F15" s="7" t="s">
        <v>53</v>
      </c>
      <c r="G15" s="7" t="s">
        <v>53</v>
      </c>
      <c r="H15" s="7" t="s">
        <v>53</v>
      </c>
      <c r="I15" s="7" t="s">
        <v>53</v>
      </c>
      <c r="J15" s="11" t="s">
        <v>9</v>
      </c>
      <c r="K15" s="11" t="s">
        <v>9</v>
      </c>
      <c r="L15" s="7" t="s">
        <v>9</v>
      </c>
      <c r="M15" s="11" t="s">
        <v>9</v>
      </c>
      <c r="N15" s="11" t="s">
        <v>9</v>
      </c>
      <c r="O15" s="11" t="s">
        <v>9</v>
      </c>
      <c r="P15" s="7" t="s">
        <v>9</v>
      </c>
      <c r="Q15" s="8" t="s">
        <v>7</v>
      </c>
      <c r="R15" s="7" t="s">
        <v>9</v>
      </c>
      <c r="S15" s="7" t="s">
        <v>9</v>
      </c>
      <c r="T15" s="12" t="s">
        <v>9</v>
      </c>
      <c r="U15" s="7"/>
      <c r="V15" s="7" t="s">
        <v>116</v>
      </c>
    </row>
    <row r="16" spans="1:22" x14ac:dyDescent="0.25">
      <c r="A16" s="19" t="str">
        <f t="shared" si="0"/>
        <v>FALTA</v>
      </c>
      <c r="B16" s="20" t="s">
        <v>177</v>
      </c>
      <c r="C16" s="17" t="s">
        <v>1180</v>
      </c>
      <c r="D16" s="18" t="s">
        <v>1217</v>
      </c>
      <c r="E16" s="18" t="s">
        <v>10</v>
      </c>
      <c r="F16" s="7" t="s">
        <v>7</v>
      </c>
      <c r="G16" s="7" t="s">
        <v>7</v>
      </c>
      <c r="H16" s="7" t="s">
        <v>7</v>
      </c>
      <c r="I16" s="7" t="s">
        <v>9</v>
      </c>
      <c r="J16" s="11" t="s">
        <v>9</v>
      </c>
      <c r="K16" s="11" t="s">
        <v>9</v>
      </c>
      <c r="L16" s="7" t="s">
        <v>9</v>
      </c>
      <c r="M16" s="11" t="s">
        <v>9</v>
      </c>
      <c r="N16" s="11" t="s">
        <v>9</v>
      </c>
      <c r="O16" s="11" t="s">
        <v>9</v>
      </c>
      <c r="P16" s="7" t="s">
        <v>9</v>
      </c>
      <c r="Q16" s="8" t="s">
        <v>7</v>
      </c>
      <c r="R16" s="7" t="s">
        <v>9</v>
      </c>
      <c r="S16" s="7" t="s">
        <v>9</v>
      </c>
      <c r="T16" s="12" t="s">
        <v>8</v>
      </c>
      <c r="U16" s="7"/>
      <c r="V16" s="7" t="s">
        <v>116</v>
      </c>
    </row>
    <row r="17" spans="1:22" x14ac:dyDescent="0.25">
      <c r="A17" s="19" t="str">
        <f t="shared" si="0"/>
        <v>COMPLETO</v>
      </c>
      <c r="B17" s="20" t="s">
        <v>181</v>
      </c>
      <c r="C17" s="17" t="s">
        <v>1181</v>
      </c>
      <c r="D17" s="18" t="s">
        <v>1218</v>
      </c>
      <c r="E17" s="18" t="s">
        <v>1219</v>
      </c>
      <c r="F17" s="7" t="s">
        <v>53</v>
      </c>
      <c r="G17" s="7" t="s">
        <v>53</v>
      </c>
      <c r="H17" s="7" t="s">
        <v>53</v>
      </c>
      <c r="I17" s="7" t="s">
        <v>9</v>
      </c>
      <c r="J17" s="11" t="s">
        <v>9</v>
      </c>
      <c r="K17" s="11" t="s">
        <v>9</v>
      </c>
      <c r="L17" s="7" t="s">
        <v>9</v>
      </c>
      <c r="M17" s="11" t="s">
        <v>9</v>
      </c>
      <c r="N17" s="11" t="s">
        <v>9</v>
      </c>
      <c r="O17" s="11" t="s">
        <v>9</v>
      </c>
      <c r="P17" s="7" t="s">
        <v>9</v>
      </c>
      <c r="Q17" s="8" t="s">
        <v>7</v>
      </c>
      <c r="R17" s="7" t="s">
        <v>9</v>
      </c>
      <c r="S17" s="7" t="s">
        <v>9</v>
      </c>
      <c r="T17" s="12" t="s">
        <v>9</v>
      </c>
      <c r="U17" s="7"/>
      <c r="V17" s="7" t="s">
        <v>116</v>
      </c>
    </row>
    <row r="18" spans="1:22" x14ac:dyDescent="0.25">
      <c r="A18" s="19" t="str">
        <f t="shared" si="0"/>
        <v>COMPLETO</v>
      </c>
      <c r="B18" s="20" t="s">
        <v>183</v>
      </c>
      <c r="C18" s="17" t="s">
        <v>1182</v>
      </c>
      <c r="D18" s="18" t="s">
        <v>1220</v>
      </c>
      <c r="E18" s="18" t="s">
        <v>1221</v>
      </c>
      <c r="F18" s="7" t="s">
        <v>53</v>
      </c>
      <c r="G18" s="7" t="s">
        <v>53</v>
      </c>
      <c r="H18" s="7" t="s">
        <v>53</v>
      </c>
      <c r="I18" s="7" t="s">
        <v>9</v>
      </c>
      <c r="J18" s="11" t="s">
        <v>9</v>
      </c>
      <c r="K18" s="11" t="s">
        <v>9</v>
      </c>
      <c r="L18" s="7" t="s">
        <v>9</v>
      </c>
      <c r="M18" s="11" t="s">
        <v>9</v>
      </c>
      <c r="N18" s="11" t="s">
        <v>9</v>
      </c>
      <c r="O18" s="11" t="s">
        <v>9</v>
      </c>
      <c r="P18" s="7" t="s">
        <v>9</v>
      </c>
      <c r="Q18" s="8" t="s">
        <v>7</v>
      </c>
      <c r="R18" s="7" t="s">
        <v>9</v>
      </c>
      <c r="S18" s="7" t="s">
        <v>9</v>
      </c>
      <c r="T18" s="12" t="s">
        <v>9</v>
      </c>
      <c r="U18" s="7"/>
      <c r="V18" s="7" t="s">
        <v>116</v>
      </c>
    </row>
    <row r="19" spans="1:22" x14ac:dyDescent="0.25">
      <c r="A19" s="19" t="str">
        <f t="shared" si="0"/>
        <v>COMPLETO</v>
      </c>
      <c r="B19" s="20" t="s">
        <v>185</v>
      </c>
      <c r="C19" s="17" t="s">
        <v>1166</v>
      </c>
      <c r="D19" s="18" t="s">
        <v>1222</v>
      </c>
      <c r="E19" s="18" t="s">
        <v>1223</v>
      </c>
      <c r="F19" s="7" t="s">
        <v>53</v>
      </c>
      <c r="G19" s="7" t="s">
        <v>53</v>
      </c>
      <c r="H19" s="7" t="s">
        <v>53</v>
      </c>
      <c r="I19" s="7" t="s">
        <v>9</v>
      </c>
      <c r="J19" s="11" t="s">
        <v>9</v>
      </c>
      <c r="K19" s="11" t="s">
        <v>9</v>
      </c>
      <c r="L19" s="7" t="s">
        <v>9</v>
      </c>
      <c r="M19" s="11" t="s">
        <v>9</v>
      </c>
      <c r="N19" s="11" t="s">
        <v>9</v>
      </c>
      <c r="O19" s="11" t="s">
        <v>9</v>
      </c>
      <c r="P19" s="7" t="s">
        <v>9</v>
      </c>
      <c r="Q19" s="8" t="s">
        <v>7</v>
      </c>
      <c r="R19" s="7" t="s">
        <v>9</v>
      </c>
      <c r="S19" s="7" t="s">
        <v>9</v>
      </c>
      <c r="T19" s="12" t="s">
        <v>9</v>
      </c>
      <c r="U19" s="7"/>
      <c r="V19" s="7" t="s">
        <v>116</v>
      </c>
    </row>
    <row r="20" spans="1:22" x14ac:dyDescent="0.25">
      <c r="A20" s="19" t="str">
        <f t="shared" si="0"/>
        <v>COMPLETO</v>
      </c>
      <c r="B20" s="20" t="s">
        <v>337</v>
      </c>
      <c r="C20" s="17" t="s">
        <v>1183</v>
      </c>
      <c r="D20" s="18" t="s">
        <v>1224</v>
      </c>
      <c r="E20" s="18" t="s">
        <v>1225</v>
      </c>
      <c r="F20" s="7" t="s">
        <v>53</v>
      </c>
      <c r="G20" s="7" t="s">
        <v>53</v>
      </c>
      <c r="H20" s="7" t="s">
        <v>53</v>
      </c>
      <c r="I20" s="7" t="s">
        <v>9</v>
      </c>
      <c r="J20" s="11" t="s">
        <v>9</v>
      </c>
      <c r="K20" s="11" t="s">
        <v>9</v>
      </c>
      <c r="L20" s="7" t="s">
        <v>9</v>
      </c>
      <c r="M20" s="11" t="s">
        <v>9</v>
      </c>
      <c r="N20" s="11" t="s">
        <v>9</v>
      </c>
      <c r="O20" s="11" t="s">
        <v>9</v>
      </c>
      <c r="P20" s="7" t="s">
        <v>9</v>
      </c>
      <c r="Q20" s="8" t="s">
        <v>7</v>
      </c>
      <c r="R20" s="7" t="s">
        <v>9</v>
      </c>
      <c r="S20" s="7" t="s">
        <v>9</v>
      </c>
      <c r="T20" s="12" t="s">
        <v>9</v>
      </c>
      <c r="U20" s="7"/>
      <c r="V20" s="7" t="s">
        <v>116</v>
      </c>
    </row>
    <row r="21" spans="1:22" x14ac:dyDescent="0.25">
      <c r="A21" s="19" t="str">
        <f t="shared" si="0"/>
        <v>COMPLETO</v>
      </c>
      <c r="B21" s="20" t="s">
        <v>339</v>
      </c>
      <c r="C21" s="17" t="s">
        <v>1184</v>
      </c>
      <c r="D21" s="18" t="s">
        <v>1226</v>
      </c>
      <c r="E21" s="18" t="s">
        <v>1227</v>
      </c>
      <c r="F21" s="7" t="s">
        <v>53</v>
      </c>
      <c r="G21" s="7" t="s">
        <v>53</v>
      </c>
      <c r="H21" s="7" t="s">
        <v>53</v>
      </c>
      <c r="I21" s="7" t="s">
        <v>53</v>
      </c>
      <c r="J21" s="11" t="s">
        <v>53</v>
      </c>
      <c r="K21" s="11" t="s">
        <v>53</v>
      </c>
      <c r="L21" s="7" t="s">
        <v>9</v>
      </c>
      <c r="M21" s="11" t="s">
        <v>9</v>
      </c>
      <c r="N21" s="11" t="s">
        <v>9</v>
      </c>
      <c r="O21" s="11" t="s">
        <v>9</v>
      </c>
      <c r="P21" s="7" t="s">
        <v>9</v>
      </c>
      <c r="Q21" s="8" t="s">
        <v>7</v>
      </c>
      <c r="R21" s="7" t="s">
        <v>9</v>
      </c>
      <c r="S21" s="7" t="s">
        <v>9</v>
      </c>
      <c r="T21" s="12" t="s">
        <v>9</v>
      </c>
      <c r="U21" s="7"/>
      <c r="V21" s="7" t="s">
        <v>116</v>
      </c>
    </row>
    <row r="22" spans="1:22" x14ac:dyDescent="0.25">
      <c r="A22" s="19" t="str">
        <f t="shared" si="0"/>
        <v>COMPLETO</v>
      </c>
      <c r="B22" s="20" t="s">
        <v>341</v>
      </c>
      <c r="C22" s="17" t="s">
        <v>1185</v>
      </c>
      <c r="D22" s="18" t="s">
        <v>1228</v>
      </c>
      <c r="E22" s="18" t="s">
        <v>1229</v>
      </c>
      <c r="F22" s="7" t="s">
        <v>53</v>
      </c>
      <c r="G22" s="7" t="s">
        <v>53</v>
      </c>
      <c r="H22" s="7" t="s">
        <v>53</v>
      </c>
      <c r="I22" s="7" t="s">
        <v>9</v>
      </c>
      <c r="J22" s="11" t="s">
        <v>9</v>
      </c>
      <c r="K22" s="11" t="s">
        <v>9</v>
      </c>
      <c r="L22" s="7" t="s">
        <v>9</v>
      </c>
      <c r="M22" s="11" t="s">
        <v>9</v>
      </c>
      <c r="N22" s="11" t="s">
        <v>9</v>
      </c>
      <c r="O22" s="11" t="s">
        <v>9</v>
      </c>
      <c r="P22" s="7" t="s">
        <v>9</v>
      </c>
      <c r="Q22" s="8" t="s">
        <v>7</v>
      </c>
      <c r="R22" s="7" t="s">
        <v>9</v>
      </c>
      <c r="S22" s="7" t="s">
        <v>9</v>
      </c>
      <c r="T22" s="12" t="s">
        <v>9</v>
      </c>
      <c r="U22" s="7"/>
      <c r="V22" s="7" t="s">
        <v>116</v>
      </c>
    </row>
    <row r="23" spans="1:22" x14ac:dyDescent="0.25">
      <c r="A23" s="19" t="str">
        <f t="shared" si="0"/>
        <v>COMPLETO</v>
      </c>
      <c r="B23" s="20" t="s">
        <v>345</v>
      </c>
      <c r="C23" s="17" t="s">
        <v>1186</v>
      </c>
      <c r="D23" s="18" t="s">
        <v>1230</v>
      </c>
      <c r="E23" s="18" t="s">
        <v>1231</v>
      </c>
      <c r="F23" s="7" t="s">
        <v>53</v>
      </c>
      <c r="G23" s="7" t="s">
        <v>53</v>
      </c>
      <c r="H23" s="7" t="s">
        <v>53</v>
      </c>
      <c r="I23" s="7" t="s">
        <v>53</v>
      </c>
      <c r="J23" s="11" t="s">
        <v>53</v>
      </c>
      <c r="K23" s="11" t="s">
        <v>9</v>
      </c>
      <c r="L23" s="7" t="s">
        <v>9</v>
      </c>
      <c r="M23" s="11" t="s">
        <v>9</v>
      </c>
      <c r="N23" s="11" t="s">
        <v>9</v>
      </c>
      <c r="O23" s="11" t="s">
        <v>9</v>
      </c>
      <c r="P23" s="7" t="s">
        <v>9</v>
      </c>
      <c r="Q23" s="8" t="s">
        <v>7</v>
      </c>
      <c r="R23" s="7" t="s">
        <v>9</v>
      </c>
      <c r="S23" s="7" t="s">
        <v>9</v>
      </c>
      <c r="T23" s="12" t="s">
        <v>9</v>
      </c>
      <c r="U23" s="7"/>
      <c r="V23" s="7" t="s">
        <v>116</v>
      </c>
    </row>
    <row r="24" spans="1:22" x14ac:dyDescent="0.25">
      <c r="A24" s="19" t="str">
        <f t="shared" si="0"/>
        <v>COMPLETO</v>
      </c>
      <c r="B24" s="20" t="s">
        <v>347</v>
      </c>
      <c r="C24" s="17" t="s">
        <v>1187</v>
      </c>
      <c r="D24" s="18" t="s">
        <v>1232</v>
      </c>
      <c r="E24" s="18" t="s">
        <v>1233</v>
      </c>
      <c r="F24" s="7" t="s">
        <v>53</v>
      </c>
      <c r="G24" s="7" t="s">
        <v>53</v>
      </c>
      <c r="H24" s="7" t="s">
        <v>53</v>
      </c>
      <c r="I24" s="7" t="s">
        <v>53</v>
      </c>
      <c r="J24" s="11" t="s">
        <v>9</v>
      </c>
      <c r="K24" s="11" t="s">
        <v>9</v>
      </c>
      <c r="L24" s="7" t="s">
        <v>9</v>
      </c>
      <c r="M24" s="11" t="s">
        <v>9</v>
      </c>
      <c r="N24" s="11" t="s">
        <v>9</v>
      </c>
      <c r="O24" s="11" t="s">
        <v>9</v>
      </c>
      <c r="P24" s="7" t="s">
        <v>9</v>
      </c>
      <c r="Q24" s="8" t="s">
        <v>7</v>
      </c>
      <c r="R24" s="7" t="s">
        <v>9</v>
      </c>
      <c r="S24" s="7" t="s">
        <v>9</v>
      </c>
      <c r="T24" s="12" t="s">
        <v>9</v>
      </c>
      <c r="U24" s="7"/>
      <c r="V24" s="7" t="s">
        <v>116</v>
      </c>
    </row>
    <row r="25" spans="1:22" x14ac:dyDescent="0.25">
      <c r="A25" s="19" t="str">
        <f t="shared" si="0"/>
        <v>COMPLETO</v>
      </c>
      <c r="B25" s="20" t="s">
        <v>349</v>
      </c>
      <c r="C25" s="17" t="s">
        <v>1188</v>
      </c>
      <c r="D25" s="18" t="s">
        <v>1234</v>
      </c>
      <c r="E25" s="18" t="s">
        <v>1235</v>
      </c>
      <c r="F25" s="7" t="s">
        <v>53</v>
      </c>
      <c r="G25" s="7" t="s">
        <v>53</v>
      </c>
      <c r="H25" s="7" t="s">
        <v>53</v>
      </c>
      <c r="I25" s="7" t="s">
        <v>9</v>
      </c>
      <c r="J25" s="11" t="s">
        <v>9</v>
      </c>
      <c r="K25" s="11" t="s">
        <v>9</v>
      </c>
      <c r="L25" s="7" t="s">
        <v>9</v>
      </c>
      <c r="M25" s="11" t="s">
        <v>53</v>
      </c>
      <c r="N25" s="11" t="s">
        <v>53</v>
      </c>
      <c r="O25" s="11" t="s">
        <v>53</v>
      </c>
      <c r="P25" s="7" t="s">
        <v>9</v>
      </c>
      <c r="Q25" s="8" t="s">
        <v>7</v>
      </c>
      <c r="R25" s="7" t="s">
        <v>9</v>
      </c>
      <c r="S25" s="7" t="s">
        <v>9</v>
      </c>
      <c r="T25" s="12" t="s">
        <v>9</v>
      </c>
      <c r="U25" s="7"/>
      <c r="V25" s="7" t="s">
        <v>116</v>
      </c>
    </row>
    <row r="26" spans="1:22" x14ac:dyDescent="0.25">
      <c r="A26" s="19" t="str">
        <f t="shared" si="0"/>
        <v>COMPLETO</v>
      </c>
      <c r="B26" s="20" t="s">
        <v>353</v>
      </c>
      <c r="C26" s="17" t="s">
        <v>1189</v>
      </c>
      <c r="D26" s="18" t="s">
        <v>1236</v>
      </c>
      <c r="E26" s="18" t="s">
        <v>1237</v>
      </c>
      <c r="F26" s="7" t="s">
        <v>53</v>
      </c>
      <c r="G26" s="7" t="s">
        <v>53</v>
      </c>
      <c r="H26" s="7" t="s">
        <v>53</v>
      </c>
      <c r="I26" s="7" t="s">
        <v>53</v>
      </c>
      <c r="J26" s="11" t="s">
        <v>53</v>
      </c>
      <c r="K26" s="11" t="s">
        <v>53</v>
      </c>
      <c r="L26" s="7" t="s">
        <v>9</v>
      </c>
      <c r="M26" s="11" t="s">
        <v>9</v>
      </c>
      <c r="N26" s="11" t="s">
        <v>9</v>
      </c>
      <c r="O26" s="11" t="s">
        <v>9</v>
      </c>
      <c r="P26" s="7" t="s">
        <v>9</v>
      </c>
      <c r="Q26" s="8" t="s">
        <v>7</v>
      </c>
      <c r="R26" s="7" t="s">
        <v>9</v>
      </c>
      <c r="S26" s="7" t="s">
        <v>9</v>
      </c>
      <c r="T26" s="12" t="s">
        <v>9</v>
      </c>
      <c r="U26" s="7"/>
      <c r="V26" s="7" t="s">
        <v>116</v>
      </c>
    </row>
    <row r="27" spans="1:22" x14ac:dyDescent="0.25">
      <c r="A27" s="19" t="str">
        <f t="shared" si="0"/>
        <v>COMPLETO</v>
      </c>
      <c r="B27" s="20" t="s">
        <v>354</v>
      </c>
      <c r="C27" s="17" t="s">
        <v>1190</v>
      </c>
      <c r="D27" s="18" t="s">
        <v>1238</v>
      </c>
      <c r="E27" s="18" t="s">
        <v>1239</v>
      </c>
      <c r="F27" s="7" t="s">
        <v>53</v>
      </c>
      <c r="G27" s="7" t="s">
        <v>53</v>
      </c>
      <c r="H27" s="7" t="s">
        <v>53</v>
      </c>
      <c r="I27" s="7" t="s">
        <v>53</v>
      </c>
      <c r="J27" s="11" t="s">
        <v>9</v>
      </c>
      <c r="K27" s="11" t="s">
        <v>9</v>
      </c>
      <c r="L27" s="7" t="s">
        <v>9</v>
      </c>
      <c r="M27" s="11" t="s">
        <v>9</v>
      </c>
      <c r="N27" s="11" t="s">
        <v>9</v>
      </c>
      <c r="O27" s="11" t="s">
        <v>9</v>
      </c>
      <c r="P27" s="7" t="s">
        <v>9</v>
      </c>
      <c r="Q27" s="8" t="s">
        <v>7</v>
      </c>
      <c r="R27" s="7" t="s">
        <v>9</v>
      </c>
      <c r="S27" s="7" t="s">
        <v>9</v>
      </c>
      <c r="T27" s="12" t="s">
        <v>9</v>
      </c>
      <c r="U27" s="7"/>
      <c r="V27" s="7" t="s">
        <v>116</v>
      </c>
    </row>
    <row r="28" spans="1:22" x14ac:dyDescent="0.25">
      <c r="A28" s="19" t="str">
        <f t="shared" si="0"/>
        <v>COMPLETO</v>
      </c>
      <c r="B28" s="20" t="s">
        <v>356</v>
      </c>
      <c r="C28" s="17" t="s">
        <v>1191</v>
      </c>
      <c r="D28" s="18" t="s">
        <v>1240</v>
      </c>
      <c r="E28" s="18" t="s">
        <v>1241</v>
      </c>
      <c r="F28" s="7" t="s">
        <v>53</v>
      </c>
      <c r="G28" s="7" t="s">
        <v>53</v>
      </c>
      <c r="H28" s="7" t="s">
        <v>53</v>
      </c>
      <c r="I28" s="7" t="s">
        <v>9</v>
      </c>
      <c r="J28" s="11" t="s">
        <v>9</v>
      </c>
      <c r="K28" s="11" t="s">
        <v>9</v>
      </c>
      <c r="L28" s="7" t="s">
        <v>9</v>
      </c>
      <c r="M28" s="11" t="s">
        <v>9</v>
      </c>
      <c r="N28" s="11" t="s">
        <v>9</v>
      </c>
      <c r="O28" s="11" t="s">
        <v>9</v>
      </c>
      <c r="P28" s="7" t="s">
        <v>9</v>
      </c>
      <c r="Q28" s="8" t="s">
        <v>7</v>
      </c>
      <c r="R28" s="7" t="s">
        <v>9</v>
      </c>
      <c r="S28" s="7" t="s">
        <v>9</v>
      </c>
      <c r="T28" s="12" t="s">
        <v>9</v>
      </c>
      <c r="U28" s="7"/>
      <c r="V28" s="7" t="s">
        <v>116</v>
      </c>
    </row>
    <row r="29" spans="1:22" x14ac:dyDescent="0.25">
      <c r="A29" s="19" t="str">
        <f t="shared" si="0"/>
        <v>COMPLETO</v>
      </c>
      <c r="B29" s="20" t="s">
        <v>505</v>
      </c>
      <c r="C29" s="17" t="s">
        <v>1192</v>
      </c>
      <c r="D29" s="18" t="s">
        <v>1242</v>
      </c>
      <c r="E29" s="18" t="s">
        <v>1243</v>
      </c>
      <c r="F29" s="7" t="s">
        <v>53</v>
      </c>
      <c r="G29" s="7" t="s">
        <v>53</v>
      </c>
      <c r="H29" s="7" t="s">
        <v>53</v>
      </c>
      <c r="I29" s="7" t="s">
        <v>53</v>
      </c>
      <c r="J29" s="11" t="s">
        <v>9</v>
      </c>
      <c r="K29" s="11" t="s">
        <v>9</v>
      </c>
      <c r="L29" s="7" t="s">
        <v>9</v>
      </c>
      <c r="M29" s="11" t="s">
        <v>9</v>
      </c>
      <c r="N29" s="11" t="s">
        <v>9</v>
      </c>
      <c r="O29" s="11" t="s">
        <v>9</v>
      </c>
      <c r="P29" s="7" t="s">
        <v>9</v>
      </c>
      <c r="Q29" s="8" t="s">
        <v>7</v>
      </c>
      <c r="R29" s="7" t="s">
        <v>9</v>
      </c>
      <c r="S29" s="7" t="s">
        <v>9</v>
      </c>
      <c r="T29" s="12" t="s">
        <v>9</v>
      </c>
      <c r="U29" s="7"/>
      <c r="V29" s="7" t="s">
        <v>116</v>
      </c>
    </row>
    <row r="30" spans="1:22" x14ac:dyDescent="0.25">
      <c r="A30" s="19" t="str">
        <f t="shared" si="0"/>
        <v>COMPLETO</v>
      </c>
      <c r="B30" s="20" t="s">
        <v>507</v>
      </c>
      <c r="C30" s="17" t="s">
        <v>1193</v>
      </c>
      <c r="D30" s="18" t="s">
        <v>1244</v>
      </c>
      <c r="E30" s="18" t="s">
        <v>1245</v>
      </c>
      <c r="F30" s="7" t="s">
        <v>53</v>
      </c>
      <c r="G30" s="7" t="s">
        <v>53</v>
      </c>
      <c r="H30" s="7" t="s">
        <v>53</v>
      </c>
      <c r="I30" s="7" t="s">
        <v>53</v>
      </c>
      <c r="J30" s="11" t="s">
        <v>9</v>
      </c>
      <c r="K30" s="11" t="s">
        <v>9</v>
      </c>
      <c r="L30" s="7" t="s">
        <v>9</v>
      </c>
      <c r="M30" s="11" t="s">
        <v>9</v>
      </c>
      <c r="N30" s="11" t="s">
        <v>9</v>
      </c>
      <c r="O30" s="11" t="s">
        <v>9</v>
      </c>
      <c r="P30" s="7" t="s">
        <v>9</v>
      </c>
      <c r="Q30" s="8" t="s">
        <v>7</v>
      </c>
      <c r="R30" s="7" t="s">
        <v>9</v>
      </c>
      <c r="S30" s="7" t="s">
        <v>9</v>
      </c>
      <c r="T30" s="12" t="s">
        <v>9</v>
      </c>
      <c r="U30" s="7"/>
      <c r="V30" s="7" t="s">
        <v>116</v>
      </c>
    </row>
    <row r="31" spans="1:22" x14ac:dyDescent="0.25">
      <c r="A31" s="19" t="str">
        <f t="shared" si="0"/>
        <v>COMPLETO</v>
      </c>
      <c r="B31" s="20" t="s">
        <v>509</v>
      </c>
      <c r="C31" s="17" t="s">
        <v>1194</v>
      </c>
      <c r="D31" s="18" t="s">
        <v>1246</v>
      </c>
      <c r="E31" s="18" t="s">
        <v>1247</v>
      </c>
      <c r="F31" s="7" t="s">
        <v>53</v>
      </c>
      <c r="G31" s="7" t="s">
        <v>53</v>
      </c>
      <c r="H31" s="7" t="s">
        <v>53</v>
      </c>
      <c r="I31" s="7" t="s">
        <v>53</v>
      </c>
      <c r="J31" s="11" t="s">
        <v>9</v>
      </c>
      <c r="K31" s="11" t="s">
        <v>9</v>
      </c>
      <c r="L31" s="7" t="s">
        <v>9</v>
      </c>
      <c r="M31" s="11" t="s">
        <v>9</v>
      </c>
      <c r="N31" s="11" t="s">
        <v>9</v>
      </c>
      <c r="O31" s="11" t="s">
        <v>9</v>
      </c>
      <c r="P31" s="7" t="s">
        <v>9</v>
      </c>
      <c r="Q31" s="8" t="s">
        <v>7</v>
      </c>
      <c r="R31" s="7" t="s">
        <v>9</v>
      </c>
      <c r="S31" s="7" t="s">
        <v>9</v>
      </c>
      <c r="T31" s="12" t="s">
        <v>9</v>
      </c>
      <c r="U31" s="7"/>
      <c r="V31" s="7" t="s">
        <v>116</v>
      </c>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 ref="R1:R2"/>
    <mergeCell ref="S1:S2"/>
    <mergeCell ref="T1:T2"/>
    <mergeCell ref="U1:U2"/>
    <mergeCell ref="V1:V2"/>
  </mergeCells>
  <conditionalFormatting sqref="G3:T4 F5:V44">
    <cfRule type="cellIs" dxfId="21" priority="29" operator="equal">
      <formula>"F"</formula>
    </cfRule>
    <cfRule type="cellIs" dxfId="20" priority="30" operator="equal">
      <formula>"OK"</formula>
    </cfRule>
    <cfRule type="cellIs" dxfId="19" priority="31" operator="between">
      <formula>6</formula>
      <formula>18</formula>
    </cfRule>
  </conditionalFormatting>
  <conditionalFormatting sqref="C1:E1 A2:E2 C3:C4 E3:E4 A5:E1048576">
    <cfRule type="expression" dxfId="18" priority="27">
      <formula>$A1="FALTA"</formula>
    </cfRule>
    <cfRule type="expression" dxfId="17" priority="28">
      <formula>$A1="COMPLETO"</formula>
    </cfRule>
  </conditionalFormatting>
  <conditionalFormatting sqref="B3">
    <cfRule type="expression" dxfId="16" priority="19">
      <formula>$A3="FALTA"</formula>
    </cfRule>
    <cfRule type="expression" dxfId="15" priority="20">
      <formula>$A3="COMPLETO"</formula>
    </cfRule>
  </conditionalFormatting>
  <conditionalFormatting sqref="D3:D4">
    <cfRule type="expression" dxfId="14" priority="17">
      <formula>$A3="FALTA"</formula>
    </cfRule>
    <cfRule type="expression" dxfId="13" priority="18">
      <formula>$A3="COMPLETO"</formula>
    </cfRule>
  </conditionalFormatting>
  <conditionalFormatting sqref="F4">
    <cfRule type="cellIs" dxfId="12" priority="14" operator="equal">
      <formula>"F"</formula>
    </cfRule>
    <cfRule type="cellIs" dxfId="11" priority="15" operator="equal">
      <formula>"OK"</formula>
    </cfRule>
    <cfRule type="cellIs" dxfId="10" priority="16" operator="between">
      <formula>6</formula>
      <formula>18</formula>
    </cfRule>
  </conditionalFormatting>
  <conditionalFormatting sqref="A1:B1">
    <cfRule type="expression" dxfId="9" priority="12">
      <formula>$A1="FALTA"</formula>
    </cfRule>
    <cfRule type="expression" dxfId="8" priority="13">
      <formula>$A1="COMPLETO"</formula>
    </cfRule>
  </conditionalFormatting>
  <conditionalFormatting sqref="U3:V3">
    <cfRule type="cellIs" dxfId="7" priority="6" operator="equal">
      <formula>"F"</formula>
    </cfRule>
    <cfRule type="cellIs" dxfId="6" priority="7" operator="equal">
      <formula>"OK"</formula>
    </cfRule>
    <cfRule type="cellIs" dxfId="5" priority="8" operator="between">
      <formula>6</formula>
      <formula>18</formula>
    </cfRule>
  </conditionalFormatting>
  <conditionalFormatting sqref="F3">
    <cfRule type="cellIs" dxfId="4" priority="3" operator="equal">
      <formula>"F"</formula>
    </cfRule>
    <cfRule type="cellIs" dxfId="3" priority="4" operator="equal">
      <formula>"OK"</formula>
    </cfRule>
    <cfRule type="cellIs" dxfId="2" priority="5" operator="between">
      <formula>6</formula>
      <formula>18</formula>
    </cfRule>
  </conditionalFormatting>
  <conditionalFormatting sqref="A3">
    <cfRule type="expression" dxfId="1" priority="1">
      <formula>$A3="FALTA"</formula>
    </cfRule>
    <cfRule type="expression" dxfId="0"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44</vt:i4>
      </vt:variant>
      <vt:variant>
        <vt:lpstr>Rangos con nombre</vt:lpstr>
      </vt:variant>
      <vt:variant>
        <vt:i4>6</vt:i4>
      </vt:variant>
    </vt:vector>
  </HeadingPairs>
  <TitlesOfParts>
    <vt:vector size="50" baseType="lpstr">
      <vt:lpstr>1-RESUMEN</vt:lpstr>
      <vt:lpstr>PROCESO</vt:lpstr>
      <vt:lpstr>2-MODELO</vt:lpstr>
      <vt:lpstr>Abogado Rafael Medina 1-05</vt:lpstr>
      <vt:lpstr>Abogado Rafael Medina 1-06</vt:lpstr>
      <vt:lpstr>Agata 7</vt:lpstr>
      <vt:lpstr>Alberche 17</vt:lpstr>
      <vt:lpstr>Betis 20</vt:lpstr>
      <vt:lpstr>Ciudad de Carcagente 2</vt:lpstr>
      <vt:lpstr>Ciudad de Chiva 7</vt:lpstr>
      <vt:lpstr>Diego Puerta 1-34</vt:lpstr>
      <vt:lpstr>Diego Puerta 1-35</vt:lpstr>
      <vt:lpstr>Diego Puerta 5-38</vt:lpstr>
      <vt:lpstr>Diego Puerta 5-39</vt:lpstr>
      <vt:lpstr>DNI-NIF</vt:lpstr>
      <vt:lpstr>Doctor Fedriani 39</vt:lpstr>
      <vt:lpstr>Doctores González Meneses 10</vt:lpstr>
      <vt:lpstr>Doña Francisquita 20</vt:lpstr>
      <vt:lpstr>Duendes de Sevilla 1</vt:lpstr>
      <vt:lpstr>Generalife 13</vt:lpstr>
      <vt:lpstr>Goya 21</vt:lpstr>
      <vt:lpstr>Guardabosques 3</vt:lpstr>
      <vt:lpstr>Jorge de Montemayor 34</vt:lpstr>
      <vt:lpstr>Juan Pablos 17</vt:lpstr>
      <vt:lpstr>Luceros 4</vt:lpstr>
      <vt:lpstr>Mandarinas 2</vt:lpstr>
      <vt:lpstr>Mar de Alborán 14</vt:lpstr>
      <vt:lpstr>Miguel Cid 62</vt:lpstr>
      <vt:lpstr>Mijares 3</vt:lpstr>
      <vt:lpstr>Moncayo 6</vt:lpstr>
      <vt:lpstr>Nuestra Señora de la Oliva 110</vt:lpstr>
      <vt:lpstr>Nuestra Señora de la Oliva 2</vt:lpstr>
      <vt:lpstr>Nuestra Señora de la Oliva 67</vt:lpstr>
      <vt:lpstr>Nuestra Señora de la Oliva 94</vt:lpstr>
      <vt:lpstr>Palma del Río 12</vt:lpstr>
      <vt:lpstr>Paz 29</vt:lpstr>
      <vt:lpstr>Perdiz 5</vt:lpstr>
      <vt:lpstr>Rafael Laffón 7</vt:lpstr>
      <vt:lpstr>Regimiento de Soria 9 2</vt:lpstr>
      <vt:lpstr>Rodrigo de Triana 9</vt:lpstr>
      <vt:lpstr>Sextante 4</vt:lpstr>
      <vt:lpstr>Sinaí 39</vt:lpstr>
      <vt:lpstr>Tarfia 53</vt:lpstr>
      <vt:lpstr>Virgen de la Antigua 26</vt:lpstr>
      <vt:lpstr>'DNI-NIF'!Área_de_impresión</vt:lpstr>
      <vt:lpstr>Tabla_01_Estado</vt:lpstr>
      <vt:lpstr>Tabla_02_Tipo</vt:lpstr>
      <vt:lpstr>Tabla_03_Asunto</vt:lpstr>
      <vt:lpstr>Tabla_04_Mensaje</vt:lpstr>
      <vt:lpstr>Tabla_05_Cuando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2026-05-04T19:50:45Z</dcterms:modified>
</cp:coreProperties>
</file>