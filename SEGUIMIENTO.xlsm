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123" i="29" l="1"/>
  <c r="AW123" i="29"/>
  <c r="AT73" i="29"/>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144" i="29"/>
  <c r="Y93" i="29"/>
  <c r="Y92" i="29"/>
  <c r="Y108" i="29"/>
  <c r="Y205" i="29"/>
  <c r="Y145" i="29"/>
  <c r="Y89" i="29"/>
  <c r="Y77" i="29"/>
  <c r="Y150" i="29"/>
  <c r="Y184" i="29"/>
  <c r="Y76" i="29"/>
  <c r="Y153" i="29"/>
  <c r="Y85" i="29"/>
  <c r="V3" i="29"/>
  <c r="Y113" i="29"/>
  <c r="Y174" i="29"/>
  <c r="Y88" i="29"/>
  <c r="Y131" i="29"/>
  <c r="Y118" i="29"/>
  <c r="Y57" i="29"/>
  <c r="Y165" i="29"/>
  <c r="Z174" i="29" l="1"/>
  <c r="Z85" i="29"/>
  <c r="Z165" i="29"/>
  <c r="AH150" i="29"/>
  <c r="AJ150" i="29" s="1"/>
  <c r="N114" i="29" l="1"/>
  <c r="AP114" i="29" s="1"/>
  <c r="AP7" i="29"/>
  <c r="Y55" i="29"/>
  <c r="Y195" i="29"/>
  <c r="Y167" i="29"/>
  <c r="Y164" i="29"/>
  <c r="Y192" i="29"/>
  <c r="Y83" i="29"/>
  <c r="Y52" i="29"/>
  <c r="Y187" i="29"/>
  <c r="Y179" i="29"/>
  <c r="Y201" i="29"/>
  <c r="Y53" i="29"/>
  <c r="Y63" i="29"/>
  <c r="Y19" i="29"/>
  <c r="Y141" i="29"/>
  <c r="Y75" i="29"/>
  <c r="Y152" i="29"/>
  <c r="Y149" i="29"/>
  <c r="Y50" i="29"/>
  <c r="Y204" i="29"/>
  <c r="Y194" i="29"/>
  <c r="Y111" i="29"/>
  <c r="Y117" i="29"/>
  <c r="Y80" i="29"/>
  <c r="Y8" i="29"/>
  <c r="Y172" i="29"/>
  <c r="Y30" i="29"/>
  <c r="Y5" i="29"/>
  <c r="Y61" i="29"/>
  <c r="Y116" i="29"/>
  <c r="Y26" i="29"/>
  <c r="Y143" i="29"/>
  <c r="Y66" i="29"/>
  <c r="Y121" i="29"/>
  <c r="Y90" i="29"/>
  <c r="Z76" i="29"/>
  <c r="Y101" i="29"/>
  <c r="Y21" i="29"/>
  <c r="Y99" i="29"/>
  <c r="Y166" i="29"/>
  <c r="Y54" i="29"/>
  <c r="Z118" i="29"/>
  <c r="Y134" i="29"/>
  <c r="Y156" i="29"/>
  <c r="Y64" i="29"/>
  <c r="Y97" i="29"/>
  <c r="Y96" i="29"/>
  <c r="Y69" i="29"/>
  <c r="Y103" i="29"/>
  <c r="Y132" i="29"/>
  <c r="Y110" i="29"/>
  <c r="Y12" i="29"/>
  <c r="Z145" i="29"/>
  <c r="Y169" i="29"/>
  <c r="Y183" i="29"/>
  <c r="Y206" i="29"/>
  <c r="Y170" i="29"/>
  <c r="Y200" i="29"/>
  <c r="Y133" i="29"/>
  <c r="Y14" i="29"/>
  <c r="Z89" i="29"/>
  <c r="Y199" i="29"/>
  <c r="Y148" i="29"/>
  <c r="Y10" i="29"/>
  <c r="Y173" i="29"/>
  <c r="Y197" i="29"/>
  <c r="Y95" i="29"/>
  <c r="Z184" i="29"/>
  <c r="Y29" i="29"/>
  <c r="Z77" i="29"/>
  <c r="Y23" i="29"/>
  <c r="Y67" i="29"/>
  <c r="Y27" i="29"/>
  <c r="Y180" i="29"/>
  <c r="Y139" i="29"/>
  <c r="Z113" i="29"/>
  <c r="Y34" i="29"/>
  <c r="Y188" i="29"/>
  <c r="Y72" i="29"/>
  <c r="Y189" i="29"/>
  <c r="Y112" i="29"/>
  <c r="Z57" i="29"/>
  <c r="Y203" i="29"/>
  <c r="Y181" i="29"/>
  <c r="Y86" i="29"/>
  <c r="Y32" i="29"/>
  <c r="Y79" i="29"/>
  <c r="Y114" i="29"/>
  <c r="Y120" i="29"/>
  <c r="Y163" i="29"/>
  <c r="Y154" i="29"/>
  <c r="Y147" i="29"/>
  <c r="Y119" i="29"/>
  <c r="Y43" i="29"/>
  <c r="Y126" i="29"/>
  <c r="Z93" i="29"/>
  <c r="Y105" i="29"/>
  <c r="Y155" i="29"/>
  <c r="Y124" i="29"/>
  <c r="Y122" i="29"/>
  <c r="Y186" i="29"/>
  <c r="Y198" i="29"/>
  <c r="Z153" i="29"/>
  <c r="Y20" i="29"/>
  <c r="Z205" i="29"/>
  <c r="Y70" i="29"/>
  <c r="Y74" i="29"/>
  <c r="Y56" i="29"/>
  <c r="Z108" i="29"/>
  <c r="Y25" i="29"/>
  <c r="Y142" i="29"/>
  <c r="Y3" i="29"/>
  <c r="Y159" i="29"/>
  <c r="Y162" i="29"/>
  <c r="Y9" i="29"/>
  <c r="Y84" i="29"/>
  <c r="Y73" i="29"/>
  <c r="Y136" i="29"/>
  <c r="Y100" i="29"/>
  <c r="Y49" i="29"/>
  <c r="Y40" i="29"/>
  <c r="Z150" i="29"/>
  <c r="Z144" i="29"/>
  <c r="Y202" i="29"/>
  <c r="Y185" i="29"/>
  <c r="Y18" i="29"/>
  <c r="Y71" i="29"/>
  <c r="Y137" i="29"/>
  <c r="Y138" i="29"/>
  <c r="Y171" i="29"/>
  <c r="Y115" i="29"/>
  <c r="Y130" i="29"/>
  <c r="Y38" i="29"/>
  <c r="Y17" i="29"/>
  <c r="Y36" i="29"/>
  <c r="Y191" i="29"/>
  <c r="Y31" i="29"/>
  <c r="Y11" i="29"/>
  <c r="Y94" i="29"/>
  <c r="Y176" i="29"/>
  <c r="Z88" i="29"/>
  <c r="Y59" i="29"/>
  <c r="Y102" i="29"/>
  <c r="Y160" i="29"/>
  <c r="Y98" i="29"/>
  <c r="Y35" i="29"/>
  <c r="Y60" i="29"/>
  <c r="Y78" i="29"/>
  <c r="Y158" i="29"/>
  <c r="Y22" i="29"/>
  <c r="Z131" i="29"/>
  <c r="Y33" i="29"/>
  <c r="Y196" i="29"/>
  <c r="Y15" i="29"/>
  <c r="Y41" i="29"/>
  <c r="Y161" i="29"/>
  <c r="Y24" i="29"/>
  <c r="Y42" i="29"/>
  <c r="Y87" i="29"/>
  <c r="Y91" i="29"/>
  <c r="Y82" i="29"/>
  <c r="Y37" i="29"/>
  <c r="Y13" i="29"/>
  <c r="Y109" i="29"/>
  <c r="Y39" i="29"/>
  <c r="Y107" i="29"/>
  <c r="Y168" i="29"/>
  <c r="Y16" i="29"/>
  <c r="Y193" i="29"/>
  <c r="Y151" i="29"/>
  <c r="Y48" i="29"/>
  <c r="Y62" i="29"/>
  <c r="Y157" i="29"/>
  <c r="Y127" i="29"/>
  <c r="Y106" i="29"/>
  <c r="Y65" i="29"/>
  <c r="Y28" i="29"/>
  <c r="Y146" i="29"/>
  <c r="Y81" i="29"/>
  <c r="Y51" i="29"/>
  <c r="Y178" i="29"/>
  <c r="Y68" i="29"/>
  <c r="Y129" i="29"/>
  <c r="Y135" i="29"/>
  <c r="Z92" i="29"/>
  <c r="Y128" i="29"/>
  <c r="Y182"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202" i="29"/>
  <c r="Z200" i="29"/>
  <c r="Z73" i="29"/>
  <c r="Z192" i="29"/>
  <c r="Z155" i="29"/>
  <c r="Z32" i="29"/>
  <c r="Z66" i="29"/>
  <c r="Z14" i="29"/>
  <c r="Z5" i="29"/>
  <c r="Z181" i="29"/>
  <c r="Z109" i="29"/>
  <c r="Z151" i="29"/>
  <c r="Z170" i="29"/>
  <c r="Z62" i="29"/>
  <c r="Z168" i="29"/>
  <c r="V117" i="29"/>
  <c r="Z188" i="29"/>
  <c r="Z201" i="29"/>
  <c r="Z164" i="29"/>
  <c r="Z197" i="29"/>
  <c r="Z132" i="29"/>
  <c r="Z106" i="29"/>
  <c r="Z21" i="29"/>
  <c r="Z142" i="29"/>
  <c r="Z67" i="29"/>
  <c r="Z94" i="29"/>
  <c r="Z124" i="29"/>
  <c r="Z180" i="29"/>
  <c r="Z191" i="29"/>
  <c r="Z13" i="29"/>
  <c r="Z30" i="29"/>
  <c r="Z107" i="29"/>
  <c r="Z68" i="29"/>
  <c r="Z70" i="29"/>
  <c r="W79" i="29"/>
  <c r="Z127" i="29"/>
  <c r="Z149" i="29"/>
  <c r="Z182" i="29"/>
  <c r="Z161" i="29"/>
  <c r="V79" i="29"/>
  <c r="Z35" i="29"/>
  <c r="Z19" i="29"/>
  <c r="Z52" i="29"/>
  <c r="Z166" i="29"/>
  <c r="Z195" i="29"/>
  <c r="Z196" i="29"/>
  <c r="Z18" i="29"/>
  <c r="Z75" i="29"/>
  <c r="Z81" i="29"/>
  <c r="Z97" i="29"/>
  <c r="Z16" i="29"/>
  <c r="Z65" i="29"/>
  <c r="Z159" i="29"/>
  <c r="Z103" i="29"/>
  <c r="Z187" i="29"/>
  <c r="Z185" i="29"/>
  <c r="Z36" i="29"/>
  <c r="Z23" i="29"/>
  <c r="Z102" i="29"/>
  <c r="Z206" i="29"/>
  <c r="Z90" i="29"/>
  <c r="Z183" i="29"/>
  <c r="Z120" i="29"/>
  <c r="Z172" i="29"/>
  <c r="Z82" i="29"/>
  <c r="Z99" i="29"/>
  <c r="Z26" i="29"/>
  <c r="Z48" i="29"/>
  <c r="Z203" i="29"/>
  <c r="Z169" i="29"/>
  <c r="Z116" i="29"/>
  <c r="Z154" i="29"/>
  <c r="Z158" i="29"/>
  <c r="Z55" i="29"/>
  <c r="Z20" i="29"/>
  <c r="Z42" i="29"/>
  <c r="Z40" i="29"/>
  <c r="Z95" i="29"/>
  <c r="Z194" i="29"/>
  <c r="Z100" i="29"/>
  <c r="Z54" i="29"/>
  <c r="Z126" i="29"/>
  <c r="Z135" i="29"/>
  <c r="Z136" i="29"/>
  <c r="Z41" i="29"/>
  <c r="Z189" i="29"/>
  <c r="Z160" i="29"/>
  <c r="Z105" i="29"/>
  <c r="Z3" i="29"/>
  <c r="Z63" i="29"/>
  <c r="Z171" i="29"/>
  <c r="Z38" i="29"/>
  <c r="Z84" i="29"/>
  <c r="Z53" i="29"/>
  <c r="Z43" i="29"/>
  <c r="Z25" i="29"/>
  <c r="Z96" i="29"/>
  <c r="Z179" i="29"/>
  <c r="Z22" i="29"/>
  <c r="Z117" i="29"/>
  <c r="Z129" i="29"/>
  <c r="Z27" i="29"/>
  <c r="Z114" i="29"/>
  <c r="Z60" i="29"/>
  <c r="Z17" i="29"/>
  <c r="Z12" i="29"/>
  <c r="Z156" i="29"/>
  <c r="Z69" i="29"/>
  <c r="Z79" i="29"/>
  <c r="Z121" i="29"/>
  <c r="Z56" i="29"/>
  <c r="Z178" i="29"/>
  <c r="Z78" i="29"/>
  <c r="Z34" i="29"/>
  <c r="Z173" i="29"/>
  <c r="Z111" i="29"/>
  <c r="Z72" i="29"/>
  <c r="Z87" i="29"/>
  <c r="Z167" i="29"/>
  <c r="Z133" i="29"/>
  <c r="Z143" i="29"/>
  <c r="Z74" i="29"/>
  <c r="Z10" i="29"/>
  <c r="Z204" i="29"/>
  <c r="Z157" i="29"/>
  <c r="Z49" i="29"/>
  <c r="Z115" i="29"/>
  <c r="Z146" i="29"/>
  <c r="Z193" i="29"/>
  <c r="Z199" i="29"/>
  <c r="Z28" i="29"/>
  <c r="Z139" i="29"/>
  <c r="Z110" i="29"/>
  <c r="Z138" i="29"/>
  <c r="Z64" i="29"/>
  <c r="Z59" i="29"/>
  <c r="Z198" i="29"/>
  <c r="Z8" i="29"/>
  <c r="Z86" i="29"/>
  <c r="Z128" i="29"/>
  <c r="Z101" i="29"/>
  <c r="Z148" i="29"/>
  <c r="Z15" i="29"/>
  <c r="Z29" i="29"/>
  <c r="Z130" i="29"/>
  <c r="Z119" i="29"/>
  <c r="Z50" i="29"/>
  <c r="Z31" i="29"/>
  <c r="Z9" i="29"/>
  <c r="Z37" i="29"/>
  <c r="Z91" i="29"/>
  <c r="Z11" i="29"/>
  <c r="Z176" i="29"/>
  <c r="Z71" i="29"/>
  <c r="Z39" i="29"/>
  <c r="Z186" i="29"/>
  <c r="AU206" i="29" l="1"/>
  <c r="AV79" i="29"/>
  <c r="N177" i="29"/>
  <c r="AP177" i="29" s="1"/>
  <c r="X79" i="29"/>
  <c r="AU79" i="29" l="1"/>
  <c r="N44" i="29"/>
  <c r="AP44" i="29" s="1"/>
  <c r="N98" i="29"/>
  <c r="AP98" i="29" s="1"/>
  <c r="AB217" i="29" l="1"/>
  <c r="AB216" i="29"/>
  <c r="AE210" i="29"/>
  <c r="AE211" i="29"/>
  <c r="V205" i="29"/>
  <c r="V204" i="29"/>
  <c r="W205" i="29"/>
  <c r="W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5" i="29"/>
  <c r="X204"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F4" i="88" l="1"/>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F4" i="76" l="1"/>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V134" i="29"/>
  <c r="V90" i="29"/>
  <c r="V193" i="29"/>
  <c r="V18" i="29"/>
  <c r="W25" i="29"/>
  <c r="V45" i="29"/>
  <c r="W14" i="29"/>
  <c r="V102" i="29"/>
  <c r="V7" i="29"/>
  <c r="W157" i="29"/>
  <c r="W70" i="29"/>
  <c r="V41" i="29"/>
  <c r="V57" i="29"/>
  <c r="V133" i="29"/>
  <c r="W89" i="29"/>
  <c r="W33" i="29"/>
  <c r="V85" i="29"/>
  <c r="V161" i="29"/>
  <c r="V130" i="29"/>
  <c r="W167" i="29"/>
  <c r="V33" i="29"/>
  <c r="V62" i="29"/>
  <c r="W55" i="29"/>
  <c r="W128" i="29"/>
  <c r="V187" i="29"/>
  <c r="V31" i="29"/>
  <c r="W154" i="29"/>
  <c r="W127" i="29"/>
  <c r="V175" i="29"/>
  <c r="V52" i="29"/>
  <c r="V69" i="29"/>
  <c r="W200" i="29"/>
  <c r="V153" i="29"/>
  <c r="W199" i="29"/>
  <c r="V4" i="29"/>
  <c r="W38" i="29"/>
  <c r="W92" i="29"/>
  <c r="W87" i="29"/>
  <c r="V87" i="29"/>
  <c r="V35" i="29"/>
  <c r="V50" i="29"/>
  <c r="W176" i="29"/>
  <c r="W45" i="29"/>
  <c r="V122" i="29"/>
  <c r="W160" i="29"/>
  <c r="V147" i="29"/>
  <c r="W183" i="29"/>
  <c r="V116" i="29"/>
  <c r="W107" i="29"/>
  <c r="W130" i="29"/>
  <c r="V137" i="29"/>
  <c r="V186" i="29"/>
  <c r="V129" i="29"/>
  <c r="W150" i="29"/>
  <c r="W148" i="29"/>
  <c r="W7" i="29"/>
  <c r="W175" i="29"/>
  <c r="W113" i="29"/>
  <c r="V28" i="29"/>
  <c r="W65" i="29"/>
  <c r="W72" i="29"/>
  <c r="V72" i="29"/>
  <c r="W139" i="29"/>
  <c r="W161" i="29"/>
  <c r="V106" i="29"/>
  <c r="W156" i="29"/>
  <c r="V113" i="29"/>
  <c r="W179" i="29"/>
  <c r="W10" i="29"/>
  <c r="V171" i="29"/>
  <c r="V66" i="29"/>
  <c r="W158" i="29"/>
  <c r="W109" i="29"/>
  <c r="W66" i="29"/>
  <c r="W58" i="29"/>
  <c r="W101" i="29"/>
  <c r="V172" i="29"/>
  <c r="W120" i="29"/>
  <c r="V155" i="29"/>
  <c r="V100" i="29"/>
  <c r="W194" i="29"/>
  <c r="V22" i="29"/>
  <c r="W4" i="29"/>
  <c r="V11" i="29"/>
  <c r="V96" i="29"/>
  <c r="W129" i="29"/>
  <c r="V21" i="29"/>
  <c r="W11" i="29"/>
  <c r="V109" i="29"/>
  <c r="W77" i="29"/>
  <c r="W28" i="29"/>
  <c r="W52" i="29"/>
  <c r="V142" i="29"/>
  <c r="Y104" i="29"/>
  <c r="W57" i="29"/>
  <c r="V114" i="29"/>
  <c r="W124" i="29"/>
  <c r="V202" i="29"/>
  <c r="V81" i="29"/>
  <c r="W48" i="29"/>
  <c r="W78" i="29"/>
  <c r="V92" i="29"/>
  <c r="V14" i="29"/>
  <c r="V177" i="29"/>
  <c r="V93" i="29"/>
  <c r="W39" i="29"/>
  <c r="W8" i="29"/>
  <c r="W149" i="29"/>
  <c r="V24" i="29"/>
  <c r="V135" i="29"/>
  <c r="V152" i="29"/>
  <c r="V48" i="29"/>
  <c r="V191" i="29"/>
  <c r="W136" i="29"/>
  <c r="V131" i="29"/>
  <c r="Y177" i="29"/>
  <c r="W98" i="29"/>
  <c r="W123" i="29"/>
  <c r="V180" i="29"/>
  <c r="W133" i="29"/>
  <c r="V198" i="29"/>
  <c r="V139" i="29"/>
  <c r="W145" i="29"/>
  <c r="V105" i="29"/>
  <c r="V51" i="29"/>
  <c r="W181" i="29"/>
  <c r="W188" i="29"/>
  <c r="V111" i="29"/>
  <c r="Y140" i="29"/>
  <c r="V148" i="29"/>
  <c r="W115" i="29"/>
  <c r="V120" i="29"/>
  <c r="V9" i="29"/>
  <c r="V25" i="29"/>
  <c r="V49" i="29"/>
  <c r="W60" i="29"/>
  <c r="V53" i="29"/>
  <c r="W151" i="29"/>
  <c r="V75" i="29"/>
  <c r="W67" i="29"/>
  <c r="V40" i="29"/>
  <c r="W190" i="29"/>
  <c r="W23" i="29"/>
  <c r="W152" i="29"/>
  <c r="V190" i="29"/>
  <c r="V203" i="29"/>
  <c r="V123" i="29"/>
  <c r="W193" i="29"/>
  <c r="W104" i="29"/>
  <c r="W69" i="29"/>
  <c r="V42" i="29"/>
  <c r="W144" i="29"/>
  <c r="W99" i="29"/>
  <c r="V201" i="29"/>
  <c r="V63" i="29"/>
  <c r="V163" i="29"/>
  <c r="V146" i="29"/>
  <c r="W170" i="29"/>
  <c r="W141" i="29"/>
  <c r="W180" i="29"/>
  <c r="V141" i="29"/>
  <c r="W94" i="29"/>
  <c r="V179" i="29"/>
  <c r="V59" i="29"/>
  <c r="V73" i="29"/>
  <c r="V168" i="29"/>
  <c r="V154" i="29"/>
  <c r="W173" i="29"/>
  <c r="W19" i="29"/>
  <c r="V138" i="29"/>
  <c r="W103" i="29"/>
  <c r="W81" i="29"/>
  <c r="Y190" i="29"/>
  <c r="W132" i="29"/>
  <c r="V38" i="29"/>
  <c r="V199" i="29"/>
  <c r="W201" i="29"/>
  <c r="V160" i="29"/>
  <c r="W110" i="29"/>
  <c r="V149" i="29"/>
  <c r="W111" i="29"/>
  <c r="V74" i="29"/>
  <c r="V60" i="29"/>
  <c r="V189" i="29"/>
  <c r="V159" i="29"/>
  <c r="W43" i="29"/>
  <c r="W83" i="29"/>
  <c r="V181" i="29"/>
  <c r="V65" i="29"/>
  <c r="W44" i="29"/>
  <c r="V43" i="29"/>
  <c r="V164" i="29"/>
  <c r="W64" i="29"/>
  <c r="V55" i="29"/>
  <c r="V23" i="29"/>
  <c r="W202" i="29"/>
  <c r="V15" i="29"/>
  <c r="W137" i="29"/>
  <c r="W122" i="29"/>
  <c r="V70" i="29"/>
  <c r="W90" i="29"/>
  <c r="W53" i="29"/>
  <c r="V176" i="29"/>
  <c r="W20" i="29"/>
  <c r="V37" i="29"/>
  <c r="W198" i="29"/>
  <c r="W6" i="29"/>
  <c r="W184" i="29"/>
  <c r="W108" i="29"/>
  <c r="W153" i="29"/>
  <c r="V170" i="29"/>
  <c r="W185" i="29"/>
  <c r="W165" i="29"/>
  <c r="W116" i="29"/>
  <c r="V128" i="29"/>
  <c r="W22" i="29"/>
  <c r="W3" i="29"/>
  <c r="W73" i="29"/>
  <c r="V110" i="29"/>
  <c r="W36" i="29"/>
  <c r="V145" i="29"/>
  <c r="V182" i="29"/>
  <c r="W189" i="29"/>
  <c r="V39" i="29"/>
  <c r="V32" i="29"/>
  <c r="V184" i="29"/>
  <c r="W62" i="29"/>
  <c r="Y58" i="29"/>
  <c r="W21" i="29"/>
  <c r="W56" i="29"/>
  <c r="W74" i="29"/>
  <c r="W51" i="29"/>
  <c r="W162" i="29"/>
  <c r="W178" i="29"/>
  <c r="V165" i="29"/>
  <c r="W37" i="29"/>
  <c r="V195" i="29"/>
  <c r="W76" i="29"/>
  <c r="V194" i="29"/>
  <c r="W177" i="29"/>
  <c r="V118" i="29"/>
  <c r="W195" i="29"/>
  <c r="V54" i="29"/>
  <c r="W138" i="29"/>
  <c r="W197" i="29"/>
  <c r="V47" i="29"/>
  <c r="W119" i="29"/>
  <c r="V136" i="29"/>
  <c r="V13" i="29"/>
  <c r="V174" i="29"/>
  <c r="V158" i="29"/>
  <c r="V68" i="29"/>
  <c r="W163" i="29"/>
  <c r="V143" i="29"/>
  <c r="V97" i="29"/>
  <c r="V206" i="29"/>
  <c r="W155" i="29"/>
  <c r="V183" i="29"/>
  <c r="V127" i="29"/>
  <c r="V44" i="29"/>
  <c r="W114" i="29"/>
  <c r="V94" i="29"/>
  <c r="W134" i="29"/>
  <c r="V36" i="29"/>
  <c r="W29" i="29"/>
  <c r="V140" i="29"/>
  <c r="V104" i="29"/>
  <c r="W131" i="29"/>
  <c r="W88" i="29"/>
  <c r="V150" i="29"/>
  <c r="V56" i="29"/>
  <c r="W143" i="29"/>
  <c r="W17" i="29"/>
  <c r="V77" i="29"/>
  <c r="W12" i="29"/>
  <c r="W121" i="29"/>
  <c r="V67" i="29"/>
  <c r="W182" i="29"/>
  <c r="W47" i="29"/>
  <c r="V99" i="29"/>
  <c r="V78" i="29"/>
  <c r="V185" i="29"/>
  <c r="W32" i="29"/>
  <c r="W142" i="29"/>
  <c r="W13" i="29"/>
  <c r="V144" i="29"/>
  <c r="V103" i="29"/>
  <c r="W203" i="29"/>
  <c r="V61" i="29"/>
  <c r="W95" i="29"/>
  <c r="W24" i="29"/>
  <c r="W191" i="29"/>
  <c r="W34" i="29"/>
  <c r="W40" i="29"/>
  <c r="V151" i="29"/>
  <c r="V178" i="29"/>
  <c r="W146" i="29"/>
  <c r="V8" i="29"/>
  <c r="V101" i="29"/>
  <c r="V157" i="29"/>
  <c r="W174" i="29"/>
  <c r="W41" i="29"/>
  <c r="W117" i="29"/>
  <c r="V95" i="29"/>
  <c r="V20" i="29"/>
  <c r="V197" i="29"/>
  <c r="W172" i="29"/>
  <c r="W112" i="29"/>
  <c r="W30" i="29"/>
  <c r="V82" i="29"/>
  <c r="V112" i="29"/>
  <c r="W59" i="29"/>
  <c r="W63" i="29"/>
  <c r="V107" i="29"/>
  <c r="W71" i="29"/>
  <c r="W106" i="29"/>
  <c r="V162" i="29"/>
  <c r="W147" i="29"/>
  <c r="W100" i="29"/>
  <c r="W49" i="29"/>
  <c r="W85" i="29"/>
  <c r="V34" i="29"/>
  <c r="V5" i="29"/>
  <c r="W102" i="29"/>
  <c r="W16" i="29"/>
  <c r="W126" i="29"/>
  <c r="W135" i="29"/>
  <c r="W5" i="29"/>
  <c r="V46" i="29"/>
  <c r="V84" i="29"/>
  <c r="W140" i="29"/>
  <c r="V80" i="29"/>
  <c r="W93" i="29"/>
  <c r="W35" i="29"/>
  <c r="W159" i="29"/>
  <c r="V196" i="29"/>
  <c r="V173" i="29"/>
  <c r="V169" i="29"/>
  <c r="W192" i="29"/>
  <c r="W169" i="29"/>
  <c r="V26" i="29"/>
  <c r="V16" i="29"/>
  <c r="V76" i="29"/>
  <c r="V10" i="29"/>
  <c r="W75" i="29"/>
  <c r="W26" i="29"/>
  <c r="W50" i="29"/>
  <c r="W171" i="29"/>
  <c r="W164" i="29"/>
  <c r="W84" i="29"/>
  <c r="W166" i="29"/>
  <c r="V98" i="29"/>
  <c r="V27" i="29"/>
  <c r="V115" i="29"/>
  <c r="W96" i="29"/>
  <c r="W91" i="29"/>
  <c r="W196" i="29"/>
  <c r="W82" i="29"/>
  <c r="W61" i="29"/>
  <c r="V156" i="29"/>
  <c r="W97" i="29"/>
  <c r="V119" i="29"/>
  <c r="V30" i="29"/>
  <c r="V200" i="29"/>
  <c r="V58" i="29"/>
  <c r="V167" i="29"/>
  <c r="W187" i="29"/>
  <c r="V88" i="29"/>
  <c r="W86" i="29"/>
  <c r="W27" i="29"/>
  <c r="W46" i="29"/>
  <c r="V6" i="29"/>
  <c r="W186" i="29"/>
  <c r="W125" i="29"/>
  <c r="V19" i="29"/>
  <c r="W15" i="29"/>
  <c r="V89" i="29"/>
  <c r="W168" i="29"/>
  <c r="V108" i="29"/>
  <c r="W9" i="29"/>
  <c r="W54" i="29"/>
  <c r="V124" i="29"/>
  <c r="V86" i="29"/>
  <c r="V12" i="29"/>
  <c r="V91" i="29"/>
  <c r="W105" i="29"/>
  <c r="V126" i="29"/>
  <c r="V64" i="29"/>
  <c r="W42" i="29"/>
  <c r="V71" i="29"/>
  <c r="W31" i="29"/>
  <c r="V192" i="29"/>
  <c r="V83" i="29"/>
  <c r="V29" i="29"/>
  <c r="V17" i="29"/>
  <c r="V166" i="29"/>
  <c r="V125" i="29"/>
  <c r="V132" i="29"/>
  <c r="W118" i="29"/>
  <c r="V121" i="29"/>
  <c r="W80" i="29"/>
  <c r="V188" i="29"/>
  <c r="W18" i="29"/>
  <c r="W68" i="29"/>
  <c r="AV101" i="29" l="1"/>
  <c r="AV43" i="29"/>
  <c r="AV166" i="29"/>
  <c r="AV18" i="29"/>
  <c r="AV177" i="29"/>
  <c r="AV62" i="29"/>
  <c r="AV68" i="29"/>
  <c r="AV48" i="29"/>
  <c r="AV178" i="29"/>
  <c r="AV110" i="29"/>
  <c r="AV78" i="29"/>
  <c r="AV15" i="29"/>
  <c r="AV100" i="29"/>
  <c r="AV93" i="29"/>
  <c r="AV172" i="29"/>
  <c r="AV16" i="29"/>
  <c r="AV10" i="29"/>
  <c r="X58" i="29"/>
  <c r="AV193" i="29"/>
  <c r="AV63" i="29"/>
  <c r="AV175" i="29"/>
  <c r="X175" i="29"/>
  <c r="AV36" i="29"/>
  <c r="AV14" i="29"/>
  <c r="AV60" i="29"/>
  <c r="AV126" i="29"/>
  <c r="AV184" i="29"/>
  <c r="AV174" i="29"/>
  <c r="X174" i="29"/>
  <c r="AV86" i="29"/>
  <c r="AV80" i="29"/>
  <c r="X80" i="29"/>
  <c r="AV32" i="29"/>
  <c r="AV196" i="29"/>
  <c r="AV130" i="29"/>
  <c r="AV200" i="29"/>
  <c r="AV139" i="29"/>
  <c r="AV53" i="29"/>
  <c r="X190" i="29"/>
  <c r="AV190" i="29"/>
  <c r="AV121" i="29"/>
  <c r="AV116" i="29"/>
  <c r="AV84" i="29"/>
  <c r="AV128" i="29"/>
  <c r="AV81" i="29"/>
  <c r="AV87" i="29"/>
  <c r="AV194" i="29"/>
  <c r="AV197" i="29"/>
  <c r="AV180" i="29"/>
  <c r="X147" i="29"/>
  <c r="AV147" i="29"/>
  <c r="X162" i="29"/>
  <c r="AV162" i="29"/>
  <c r="AV102" i="29"/>
  <c r="AV118" i="29"/>
  <c r="AV179" i="29"/>
  <c r="AV54" i="29"/>
  <c r="AV66" i="29"/>
  <c r="X7" i="29"/>
  <c r="AV99" i="29"/>
  <c r="AV40" i="29"/>
  <c r="X6" i="29"/>
  <c r="AV125" i="29"/>
  <c r="X125" i="29"/>
  <c r="X45" i="29"/>
  <c r="AV59" i="29"/>
  <c r="AV91" i="29"/>
  <c r="AV107" i="29"/>
  <c r="AV188" i="29"/>
  <c r="AV202" i="29"/>
  <c r="AV88" i="29"/>
  <c r="AV12" i="29"/>
  <c r="AV165" i="29"/>
  <c r="X165" i="29"/>
  <c r="AV155" i="29"/>
  <c r="AV164" i="29"/>
  <c r="AV203" i="29"/>
  <c r="X140" i="29"/>
  <c r="AV55" i="29"/>
  <c r="AV52" i="29"/>
  <c r="AV25" i="29"/>
  <c r="AV103" i="29"/>
  <c r="AV92" i="29"/>
  <c r="AV201" i="29"/>
  <c r="AV138" i="29"/>
  <c r="X141" i="29"/>
  <c r="AV141" i="29"/>
  <c r="X51" i="29"/>
  <c r="AV51" i="29"/>
  <c r="X134" i="29"/>
  <c r="AV134" i="29"/>
  <c r="AV9" i="29"/>
  <c r="AV109" i="29"/>
  <c r="AV70" i="29"/>
  <c r="AV148" i="29"/>
  <c r="AV144" i="29"/>
  <c r="AV73" i="29"/>
  <c r="AV129" i="29"/>
  <c r="AV34" i="29"/>
  <c r="AV198" i="29"/>
  <c r="AV187" i="29"/>
  <c r="AV76" i="29"/>
  <c r="AV186" i="29"/>
  <c r="AV176" i="29"/>
  <c r="AV96" i="29"/>
  <c r="AV133" i="29"/>
  <c r="AV105" i="29"/>
  <c r="AV181" i="29"/>
  <c r="AV72" i="29"/>
  <c r="AV149" i="29"/>
  <c r="AV90" i="29"/>
  <c r="AV131" i="29"/>
  <c r="AV67" i="29"/>
  <c r="AV185" i="29"/>
  <c r="AV171" i="29"/>
  <c r="X33" i="29"/>
  <c r="AV33" i="29"/>
  <c r="AV28" i="29"/>
  <c r="AV97" i="29"/>
  <c r="AV124" i="29"/>
  <c r="AV38" i="29"/>
  <c r="AV136" i="29"/>
  <c r="AV170" i="29"/>
  <c r="AV106" i="29"/>
  <c r="AV74" i="29"/>
  <c r="AV31" i="29"/>
  <c r="AV156" i="29"/>
  <c r="X156" i="29"/>
  <c r="AV158" i="29"/>
  <c r="AV157" i="29"/>
  <c r="AV150" i="29"/>
  <c r="AV3" i="29"/>
  <c r="AV189" i="29"/>
  <c r="AV191" i="29"/>
  <c r="AV183" i="29"/>
  <c r="AV65" i="29"/>
  <c r="AV8" i="29"/>
  <c r="AV17" i="29"/>
  <c r="AV50" i="29"/>
  <c r="AV89" i="29"/>
  <c r="AV77" i="29"/>
  <c r="AV19" i="29"/>
  <c r="AV120" i="29"/>
  <c r="AV195" i="29"/>
  <c r="AV71" i="29"/>
  <c r="AV56" i="29"/>
  <c r="X85" i="29"/>
  <c r="AV85" i="29"/>
  <c r="AV114" i="29"/>
  <c r="AV117" i="29"/>
  <c r="AV159" i="29"/>
  <c r="AV168" i="29"/>
  <c r="AV152" i="29"/>
  <c r="X152" i="29"/>
  <c r="AV69" i="29"/>
  <c r="AV22" i="29"/>
  <c r="X24" i="29"/>
  <c r="AV24" i="29"/>
  <c r="AV20" i="29"/>
  <c r="AV146" i="29"/>
  <c r="AV37" i="29"/>
  <c r="X47" i="29"/>
  <c r="AV30" i="29"/>
  <c r="AV127" i="29"/>
  <c r="AV64" i="29"/>
  <c r="AV39" i="29"/>
  <c r="AV122" i="29"/>
  <c r="X122" i="29"/>
  <c r="AV151" i="29"/>
  <c r="AV111" i="29"/>
  <c r="AV143" i="29"/>
  <c r="AV169" i="29"/>
  <c r="AV153" i="29"/>
  <c r="AV26" i="29"/>
  <c r="AV13" i="29"/>
  <c r="AV5" i="29"/>
  <c r="AV167" i="29"/>
  <c r="AV61" i="29"/>
  <c r="X61" i="29"/>
  <c r="AV57" i="29"/>
  <c r="AV173" i="29"/>
  <c r="AV199" i="29"/>
  <c r="AV132" i="29"/>
  <c r="AV119" i="29"/>
  <c r="X83" i="29"/>
  <c r="AV83" i="29"/>
  <c r="AV21" i="29"/>
  <c r="AV49" i="29"/>
  <c r="AV42" i="29"/>
  <c r="AV41" i="29"/>
  <c r="AV161" i="29"/>
  <c r="AV35" i="29"/>
  <c r="AV23" i="29"/>
  <c r="X104" i="29"/>
  <c r="AV115" i="29"/>
  <c r="AV95" i="29"/>
  <c r="AV94" i="29"/>
  <c r="AV182" i="29"/>
  <c r="AV27" i="29"/>
  <c r="X112" i="29"/>
  <c r="AV112" i="29"/>
  <c r="AV160" i="29"/>
  <c r="AV98" i="29"/>
  <c r="X98" i="29"/>
  <c r="AV154" i="29"/>
  <c r="AV145" i="29"/>
  <c r="AV113" i="29"/>
  <c r="AV137" i="29"/>
  <c r="X137" i="29"/>
  <c r="AV29" i="29"/>
  <c r="AV192" i="29"/>
  <c r="AV108" i="29"/>
  <c r="X163" i="29"/>
  <c r="AV163" i="29"/>
  <c r="AV75" i="29"/>
  <c r="AV142" i="29"/>
  <c r="AV135" i="29"/>
  <c r="AV11" i="29"/>
  <c r="AV82" i="29"/>
  <c r="Z140" i="29"/>
  <c r="AV140" i="29"/>
  <c r="Z104" i="29"/>
  <c r="AV104" i="29"/>
  <c r="Z58" i="29"/>
  <c r="AV58"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X123" i="29"/>
  <c r="X31" i="29"/>
  <c r="X28" i="29"/>
  <c r="X55" i="29"/>
  <c r="X128" i="29"/>
  <c r="X135" i="29"/>
  <c r="X114" i="29"/>
  <c r="X181" i="29"/>
  <c r="X115" i="29"/>
  <c r="X88" i="29"/>
  <c r="X186" i="29"/>
  <c r="X180" i="29"/>
  <c r="X59" i="29"/>
  <c r="X143" i="29"/>
  <c r="X5" i="29"/>
  <c r="X14" i="29"/>
  <c r="X54" i="29"/>
  <c r="X202" i="29"/>
  <c r="X32" i="29"/>
  <c r="X194" i="29"/>
  <c r="X26" i="29"/>
  <c r="X130" i="29"/>
  <c r="X138" i="29"/>
  <c r="X131" i="29"/>
  <c r="X154" i="29"/>
  <c r="X102" i="29"/>
  <c r="X73" i="29"/>
  <c r="X184" i="29"/>
  <c r="X49" i="29"/>
  <c r="X183" i="29"/>
  <c r="X97" i="29"/>
  <c r="X70" i="29"/>
  <c r="X21" i="29"/>
  <c r="X168" i="29"/>
  <c r="X15" i="29"/>
  <c r="X110" i="29"/>
  <c r="X84" i="29"/>
  <c r="Z190" i="29"/>
  <c r="X193" i="29"/>
  <c r="X66" i="29"/>
  <c r="X96" i="29"/>
  <c r="X124" i="29"/>
  <c r="X25" i="29"/>
  <c r="X12" i="29"/>
  <c r="X22" i="29"/>
  <c r="Z177" i="29"/>
  <c r="X18" i="29"/>
  <c r="X77" i="29"/>
  <c r="X87" i="29"/>
  <c r="X177" i="29"/>
  <c r="X196" i="29"/>
  <c r="X95" i="29"/>
  <c r="X149" i="29"/>
  <c r="X30" i="29"/>
  <c r="X105" i="29"/>
  <c r="X118" i="29"/>
  <c r="X39" i="29"/>
  <c r="X103" i="29"/>
  <c r="X106" i="29"/>
  <c r="X10" i="29"/>
  <c r="X76" i="29"/>
  <c r="X136" i="29"/>
  <c r="X126" i="29"/>
  <c r="X173" i="29"/>
  <c r="X150" i="29"/>
  <c r="X107" i="29"/>
  <c r="X19" i="29"/>
  <c r="X37" i="29"/>
  <c r="X148" i="29"/>
  <c r="X203" i="29"/>
  <c r="X69" i="29"/>
  <c r="X145" i="29"/>
  <c r="X133" i="29"/>
  <c r="X142" i="29"/>
  <c r="Y123" i="29"/>
  <c r="X46" i="29"/>
  <c r="X155" i="29"/>
  <c r="X17" i="29"/>
  <c r="X113" i="29"/>
  <c r="X200" i="29"/>
  <c r="X81" i="29"/>
  <c r="X3" i="29"/>
  <c r="X41" i="29"/>
  <c r="X71" i="29"/>
  <c r="X139" i="29"/>
  <c r="X101" i="29"/>
  <c r="X75" i="29"/>
  <c r="X52" i="29"/>
  <c r="X72" i="29"/>
  <c r="X82" i="29"/>
  <c r="X68" i="29"/>
  <c r="X94" i="29"/>
  <c r="X90" i="29"/>
  <c r="X111" i="29"/>
  <c r="X40" i="29"/>
  <c r="X4" i="29"/>
  <c r="X159" i="29"/>
  <c r="Y7" i="29"/>
  <c r="X170" i="29"/>
  <c r="X198" i="29"/>
  <c r="X34" i="29"/>
  <c r="X63" i="29"/>
  <c r="X60" i="29"/>
  <c r="X176" i="29"/>
  <c r="X161" i="29"/>
  <c r="X16" i="29"/>
  <c r="X91" i="29"/>
  <c r="X178" i="29"/>
  <c r="X64" i="29"/>
  <c r="X92" i="29"/>
  <c r="X197" i="29"/>
  <c r="X167" i="29"/>
  <c r="X164" i="29"/>
  <c r="X109" i="29"/>
  <c r="X192" i="29"/>
  <c r="X199" i="29"/>
  <c r="X187" i="29"/>
  <c r="X160" i="29"/>
  <c r="X44" i="29"/>
  <c r="X9" i="29"/>
  <c r="X153" i="29"/>
  <c r="X29" i="29"/>
  <c r="X171" i="29"/>
  <c r="X120" i="29"/>
  <c r="X158" i="29"/>
  <c r="X151" i="29"/>
  <c r="X127" i="29"/>
  <c r="X23" i="29"/>
  <c r="X8" i="29"/>
  <c r="X117" i="29"/>
  <c r="X93" i="29"/>
  <c r="X53" i="29"/>
  <c r="X74" i="29"/>
  <c r="X132" i="29"/>
  <c r="X189" i="29"/>
  <c r="X185" i="29"/>
  <c r="X36" i="29"/>
  <c r="X42" i="29"/>
  <c r="X169" i="29"/>
  <c r="X78" i="29"/>
  <c r="X86" i="29"/>
  <c r="X35" i="29"/>
  <c r="X50" i="29"/>
  <c r="X89" i="29"/>
  <c r="X129" i="29"/>
  <c r="X99" i="29"/>
  <c r="X201" i="29"/>
  <c r="X13" i="29"/>
  <c r="X11" i="29"/>
  <c r="X65" i="29"/>
  <c r="X119" i="29"/>
  <c r="X108" i="29"/>
  <c r="X116" i="29"/>
  <c r="X27" i="29"/>
  <c r="X56" i="29"/>
  <c r="X166" i="29"/>
  <c r="X43" i="29"/>
  <c r="X179" i="29"/>
  <c r="X188" i="29"/>
  <c r="X100" i="29"/>
  <c r="X182" i="29"/>
  <c r="X146" i="29"/>
  <c r="X195" i="29"/>
  <c r="X62" i="29"/>
  <c r="X191" i="29"/>
  <c r="X38" i="29"/>
  <c r="X20" i="29"/>
  <c r="X144" i="29"/>
  <c r="X57" i="29"/>
  <c r="X48" i="29"/>
  <c r="X121" i="29"/>
  <c r="X157" i="29"/>
  <c r="X67" i="29"/>
  <c r="X172" i="29"/>
  <c r="AU85" i="29" l="1"/>
  <c r="AU174" i="29"/>
  <c r="AU141" i="29"/>
  <c r="AU98" i="29"/>
  <c r="AU125" i="29"/>
  <c r="AU80" i="29"/>
  <c r="AU122" i="29"/>
  <c r="AU137" i="29"/>
  <c r="AU104" i="29"/>
  <c r="AU61" i="29"/>
  <c r="AU33" i="29"/>
  <c r="AU51" i="29"/>
  <c r="AU165" i="29"/>
  <c r="AU162" i="29"/>
  <c r="AU169" i="29"/>
  <c r="AU114" i="29"/>
  <c r="AU56" i="29"/>
  <c r="AU195" i="29"/>
  <c r="AU19" i="29"/>
  <c r="AU103" i="29"/>
  <c r="AU155" i="29"/>
  <c r="AU139" i="29"/>
  <c r="AU130" i="29"/>
  <c r="AU82" i="29"/>
  <c r="AU127" i="29"/>
  <c r="AU9" i="29"/>
  <c r="AU138" i="29"/>
  <c r="AU92" i="29"/>
  <c r="AU25" i="29"/>
  <c r="AU55" i="29"/>
  <c r="AU54" i="29"/>
  <c r="AU118" i="29"/>
  <c r="AU180" i="29"/>
  <c r="AU10" i="29"/>
  <c r="AU172" i="29"/>
  <c r="AU100" i="29"/>
  <c r="AU178" i="29"/>
  <c r="AU191" i="29"/>
  <c r="AU3" i="29"/>
  <c r="AU157" i="29"/>
  <c r="AU74" i="29"/>
  <c r="AU170" i="29"/>
  <c r="AU38" i="29"/>
  <c r="AU99" i="29"/>
  <c r="AU66" i="29"/>
  <c r="AU86" i="29"/>
  <c r="AU62" i="29"/>
  <c r="AU43" i="29"/>
  <c r="AU75" i="29"/>
  <c r="AU108" i="29"/>
  <c r="AU29" i="29"/>
  <c r="AU113" i="29"/>
  <c r="AU154" i="29"/>
  <c r="AU160" i="29"/>
  <c r="AU115" i="29"/>
  <c r="AU23" i="29"/>
  <c r="AU161" i="29"/>
  <c r="AU21" i="29"/>
  <c r="AU119" i="29"/>
  <c r="AU199" i="29"/>
  <c r="AU57" i="29"/>
  <c r="AU167" i="29"/>
  <c r="AU13" i="29"/>
  <c r="AU153" i="29"/>
  <c r="AU143" i="29"/>
  <c r="AU151" i="29"/>
  <c r="AU27" i="29"/>
  <c r="AU94" i="29"/>
  <c r="AU42" i="29"/>
  <c r="AU39" i="29"/>
  <c r="AU69" i="29"/>
  <c r="AU117" i="29"/>
  <c r="AU71" i="29"/>
  <c r="AU120" i="29"/>
  <c r="AU77" i="29"/>
  <c r="AU50" i="29"/>
  <c r="AU8" i="29"/>
  <c r="AU183" i="29"/>
  <c r="AU189" i="29"/>
  <c r="AU150" i="29"/>
  <c r="AU158" i="29"/>
  <c r="AU106" i="29"/>
  <c r="AU124" i="29"/>
  <c r="AU28" i="29"/>
  <c r="AU171" i="29"/>
  <c r="AU67" i="29"/>
  <c r="AU72" i="29"/>
  <c r="AU105" i="29"/>
  <c r="AU186" i="29"/>
  <c r="AU187" i="29"/>
  <c r="AU73" i="29"/>
  <c r="AU109" i="29"/>
  <c r="AU188" i="29"/>
  <c r="AU91" i="29"/>
  <c r="AU40" i="29"/>
  <c r="AU194" i="29"/>
  <c r="AU81" i="29"/>
  <c r="AU121" i="29"/>
  <c r="AU53" i="29"/>
  <c r="AU196" i="29"/>
  <c r="AU126" i="29"/>
  <c r="AU14" i="29"/>
  <c r="AU193" i="29"/>
  <c r="AU78" i="29"/>
  <c r="AU68" i="29"/>
  <c r="AU166" i="29"/>
  <c r="AU101" i="29"/>
  <c r="AU30" i="29"/>
  <c r="AU37" i="29"/>
  <c r="AU17" i="29"/>
  <c r="AU131" i="29"/>
  <c r="AU149" i="29"/>
  <c r="AU181" i="29"/>
  <c r="AU133" i="29"/>
  <c r="AU176" i="29"/>
  <c r="AU76" i="29"/>
  <c r="AU198" i="29"/>
  <c r="AU129" i="29"/>
  <c r="AU144" i="29"/>
  <c r="AU70" i="29"/>
  <c r="AU202" i="29"/>
  <c r="AU107" i="29"/>
  <c r="AU59" i="29"/>
  <c r="AU197" i="29"/>
  <c r="AU87" i="29"/>
  <c r="AU128" i="29"/>
  <c r="AU116" i="29"/>
  <c r="AU60" i="29"/>
  <c r="AU36" i="29"/>
  <c r="AU63" i="29"/>
  <c r="AU142" i="29"/>
  <c r="AU145" i="29"/>
  <c r="AU182" i="29"/>
  <c r="AU41" i="29"/>
  <c r="AU173" i="29"/>
  <c r="AU111" i="29"/>
  <c r="AU31" i="29"/>
  <c r="AU136" i="29"/>
  <c r="AU90" i="29"/>
  <c r="AU96" i="29"/>
  <c r="AU34" i="29"/>
  <c r="AU148" i="29"/>
  <c r="AU201" i="29"/>
  <c r="AU164" i="29"/>
  <c r="AU88" i="29"/>
  <c r="AU179" i="29"/>
  <c r="AU84" i="29"/>
  <c r="AU200" i="29"/>
  <c r="AU16" i="29"/>
  <c r="AU93" i="29"/>
  <c r="AU190" i="29"/>
  <c r="AU177" i="29"/>
  <c r="AU35" i="29"/>
  <c r="AU5" i="29"/>
  <c r="AU168" i="29"/>
  <c r="AU65" i="29"/>
  <c r="AU52" i="29"/>
  <c r="AU15" i="29"/>
  <c r="AU18" i="29"/>
  <c r="AU192" i="29"/>
  <c r="AU132" i="29"/>
  <c r="AU20" i="29"/>
  <c r="AU159" i="29"/>
  <c r="AU97" i="29"/>
  <c r="AU184" i="29"/>
  <c r="AU110" i="29"/>
  <c r="AU95" i="29"/>
  <c r="AU49" i="29"/>
  <c r="AU146" i="29"/>
  <c r="AU22" i="29"/>
  <c r="AU89" i="29"/>
  <c r="AU12" i="29"/>
  <c r="AU48" i="29"/>
  <c r="AU11" i="29"/>
  <c r="AU26" i="29"/>
  <c r="AU185" i="29"/>
  <c r="AU102" i="29"/>
  <c r="AU135" i="29"/>
  <c r="AU64" i="29"/>
  <c r="AU203" i="29"/>
  <c r="AU32" i="29"/>
  <c r="AU152" i="29"/>
  <c r="AU156" i="29"/>
  <c r="AU58" i="29"/>
  <c r="AU140" i="29"/>
  <c r="AU24" i="29"/>
  <c r="AU134" i="29"/>
  <c r="AU163" i="29"/>
  <c r="AU112" i="29"/>
  <c r="AU83" i="29"/>
  <c r="AU147" i="29"/>
  <c r="AU175" i="29"/>
  <c r="Z123" i="29"/>
  <c r="AV7" i="29"/>
  <c r="AV123" i="29"/>
  <c r="F4" i="72"/>
  <c r="A22" i="71"/>
  <c r="A21" i="71"/>
  <c r="A20" i="71"/>
  <c r="A19" i="71"/>
  <c r="A18" i="71"/>
  <c r="A17" i="71"/>
  <c r="A16" i="71"/>
  <c r="A15" i="71"/>
  <c r="A14" i="71"/>
  <c r="A13" i="71"/>
  <c r="A12" i="71"/>
  <c r="A11" i="71"/>
  <c r="A10" i="71"/>
  <c r="A9" i="71"/>
  <c r="A8" i="71"/>
  <c r="A7" i="71"/>
  <c r="A6" i="71"/>
  <c r="A5" i="71"/>
  <c r="Z7" i="29"/>
  <c r="AU123" i="29" l="1"/>
  <c r="AU7" i="29"/>
  <c r="F4" i="7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Y6" i="29"/>
  <c r="Z4" i="29"/>
  <c r="Z6" i="29" l="1"/>
  <c r="AV6" i="29"/>
  <c r="AU6" i="29" s="1"/>
  <c r="AU4" i="29"/>
  <c r="F4" i="63"/>
  <c r="F4" i="62"/>
  <c r="F4" i="61"/>
  <c r="Y45" i="29"/>
  <c r="Y46" i="29"/>
  <c r="Y47" i="29"/>
  <c r="AV45" i="29" l="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7" i="29"/>
  <c r="Z45" i="29"/>
  <c r="Z46" i="29"/>
  <c r="AU45" i="29" l="1"/>
  <c r="AU47" i="29"/>
  <c r="AU46" i="29"/>
  <c r="A3" i="36"/>
  <c r="F3" i="36"/>
  <c r="F4" i="36"/>
  <c r="Y44" i="29"/>
  <c r="AV44" i="29" l="1"/>
  <c r="Z44" i="29"/>
  <c r="AU44" i="29" l="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L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family val="2"/>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L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L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L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L162" authorId="0" shapeId="0">
      <text>
        <r>
          <rPr>
            <b/>
            <sz val="9"/>
            <color indexed="81"/>
            <rFont val="Tahoma"/>
            <family val="2"/>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family val="2"/>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family val="2"/>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<sst xmlns="http://schemas.openxmlformats.org/spreadsheetml/2006/main" count="19636" uniqueCount="2615">
  <si>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</si>
  <si>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</si>
  <si>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</si>
  <si>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</si>
  <si>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</si>
  <si>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</si>
  <si>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</si>
  <si>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</si>
  <si>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</si>
  <si>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</si>
  <si>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</si>
  <si>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</si>
  <si>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</si>
  <si>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</si>
  <si>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</si>
  <si>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</si>
  <si>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</si>
  <si>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</si>
  <si>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</si>
  <si>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</si>
  <si>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</si>
  <si>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</si>
  <si>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</si>
  <si>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</si>
  <si>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</si>
  <si>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</si>
  <si>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</si>
  <si>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</si>
  <si>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</si>
  <si>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</si>
  <si>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</si>
  <si>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</si>
  <si>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</si>
  <si>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</si>
  <si>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</si>
  <si>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</si>
  <si>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</si>
  <si>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</si>
  <si>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</si>
  <si>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</si>
  <si>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</si>
  <si>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</si>
  <si>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</si>
  <si>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</si>
  <si>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</si>
  <si>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</si>
  <si>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</si>
  <si>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</si>
  <si>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</si>
  <si>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</si>
  <si>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</si>
  <si>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</si>
  <si>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</si>
  <si>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</si>
  <si>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</si>
  <si>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</si>
  <si>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</si>
  <si>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</si>
  <si>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</si>
  <si>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</si>
  <si>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</si>
  <si>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</si>
  <si>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</si>
  <si>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</si>
  <si>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</si>
  <si>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</si>
  <si>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</si>
  <si>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</si>
  <si>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</si>
  <si>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</si>
  <si>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</si>
  <si>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</si>
  <si>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</si>
  <si>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</si>
  <si>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</si>
  <si>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</si>
  <si>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</si>
  <si>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</si>
  <si>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</si>
  <si>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</si>
  <si>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</si>
  <si>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</si>
  <si>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</si>
  <si>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</si>
  <si>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</si>
  <si>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</si>
  <si>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</si>
  <si>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</si>
  <si>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</si>
  <si>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</si>
  <si>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</si>
  <si>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</si>
  <si>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</si>
  <si>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</si>
  <si>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</si>
  <si>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</si>
  <si>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</si>
  <si>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</si>
  <si>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</si>
  <si>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</si>
  <si>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</si>
  <si>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</si>
  <si>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</si>
  <si>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</si>
  <si>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</si>
  <si>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</si>
  <si>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</si>
  <si>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</si>
  <si>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</si>
  <si>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</si>
  <si>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</si>
  <si>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</si>
  <si>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</si>
  <si>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</si>
  <si>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</si>
  <si>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</si>
  <si>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</si>
  <si>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</si>
  <si>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</si>
  <si>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</si>
  <si>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</si>
  <si>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</si>
  <si>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</si>
  <si>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</si>
  <si>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</si>
  <si>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</si>
  <si>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</si>
  <si>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</si>
  <si>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</si>
  <si>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</si>
  <si>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</si>
  <si>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</si>
  <si>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</si>
  <si>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</si>
  <si>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</si>
  <si>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</si>
  <si>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</si>
  <si>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</si>
  <si>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</si>
  <si>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</si>
  <si>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</si>
  <si>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</si>
  <si>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</si>
  <si>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</si>
  <si>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</si>
  <si>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</si>
  <si>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</si>
  <si>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</si>
  <si>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</si>
  <si>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</si>
  <si>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</si>
  <si>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</si>
  <si>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</si>
  <si>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</si>
  <si>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</si>
  <si>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</si>
  <si>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</si>
  <si>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</si>
  <si>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</si>
  <si>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</si>
  <si>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</si>
  <si>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</si>
  <si>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</si>
  <si>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</si>
  <si>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</si>
  <si>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</si>
  <si>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</si>
  <si>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</si>
  <si>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</si>
  <si>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</si>
  <si>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</si>
  <si>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</si>
  <si>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</si>
  <si>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</si>
  <si>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</si>
  <si>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</si>
  <si>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</si>
  <si>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</si>
  <si>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</si>
  <si>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</si>
  <si>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</si>
  <si>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</si>
  <si>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</si>
  <si>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</si>
  <si>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</si>
  <si>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</si>
  <si>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</si>
  <si>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</si>
  <si>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</si>
  <si>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</si>
  <si>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</si>
  <si>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</si>
  <si>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</si>
  <si>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</si>
  <si>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</si>
  <si>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</si>
  <si>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</si>
  <si>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</si>
  <si>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</si>
  <si>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</si>
  <si>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</si>
  <si>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</si>
  <si>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</si>
  <si>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</si>
  <si>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</si>
  <si>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</si>
  <si>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</si>
  <si>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</si>
  <si>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</si>
  <si>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</si>
  <si>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</si>
  <si>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</si>
  <si>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</si>
  <si>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</si>
  <si>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</si>
  <si>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</si>
  <si>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</si>
  <si>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</si>
  <si>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</si>
  <si>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</si>
  <si>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</si>
  <si>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</si>
  <si>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</si>
  <si>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</si>
  <si>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</si>
  <si>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</si>
  <si>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</si>
  <si>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</si>
  <si>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</si>
  <si>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</si>
  <si>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</si>
  <si>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</si>
  <si>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</si>
  <si>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</si>
  <si>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</si>
  <si>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</si>
  <si>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</si>
  <si>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</si>
  <si>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</si>
  <si>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</si>
  <si>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</si>
  <si>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</si>
  <si>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</si>
  <si>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</si>
  <si>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</si>
  <si>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</si>
  <si>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</si>
  <si>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</si>
  <si>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</si>
  <si>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</si>
  <si>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</si>
  <si>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</si>
  <si>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</si>
  <si>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</si>
  <si>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</si>
  <si>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</si>
  <si>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</si>
  <si>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</si>
  <si>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</si>
  <si>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</si>
  <si>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</si>
  <si>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</si>
  <si>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</si>
  <si>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</si>
  <si>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</si>
  <si>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</si>
  <si>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</si>
  <si>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</si>
  <si>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</si>
  <si>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</si>
  <si>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</si>
  <si>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</si>
  <si>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</si>
  <si>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</si>
  <si>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</si>
  <si>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</si>
  <si>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</si>
  <si>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</si>
  <si>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</si>
  <si>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</si>
  <si>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</si>
  <si>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</si>
  <si>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</si>
  <si>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</si>
  <si>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</si>
  <si>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</si>
  <si>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</si>
  <si>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</si>
  <si>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</si>
  <si>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</si>
  <si>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</si>
  <si>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</si>
  <si>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</si>
  <si>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</si>
  <si>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</si>
  <si>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</si>
  <si>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</si>
  <si>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</si>
  <si>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</si>
  <si>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</si>
  <si>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</si>
  <si>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</si>
  <si>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</si>
  <si>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</si>
  <si>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</si>
  <si>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</si>
  <si>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</si>
  <si>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</si>
  <si>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</si>
  <si>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</si>
  <si>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</si>
  <si>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</si>
  <si>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</si>
  <si>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</si>
  <si>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</si>
  <si>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</si>
  <si>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</si>
  <si>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</si>
  <si>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</si>
  <si>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</si>
  <si>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</si>
  <si>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</si>
  <si>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</si>
  <si>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</si>
  <si>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</si>
  <si>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</si>
  <si>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</si>
  <si>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</si>
  <si>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</si>
  <si>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</si>
  <si>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</si>
  <si>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</si>
  <si>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</si>
  <si>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</si>
  <si>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</si>
  <si>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</si>
  <si>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</si>
  <si>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</si>
  <si>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</si>
  <si>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</si>
  <si>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</si>
  <si>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</si>
  <si>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</si>
  <si>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</si>
  <si>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</si>
  <si>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</si>
  <si>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</si>
  <si>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</si>
  <si>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</si>
  <si>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</si>
  <si>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</si>
  <si>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</si>
  <si>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</si>
  <si>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</si>
  <si>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</si>
  <si>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</si>
  <si>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</si>
  <si>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</si>
  <si>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</si>
  <si>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</si>
  <si>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</si>
  <si>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</si>
  <si>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</si>
  <si>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</si>
  <si>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</si>
  <si>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</si>
  <si>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</si>
  <si>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</si>
  <si>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</si>
  <si>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</si>
  <si>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</si>
  <si>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</si>
  <si>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</si>
  <si>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</si>
  <si>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</si>
  <si>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</si>
  <si>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</si>
  <si>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</si>
  <si>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</si>
  <si>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</si>
  <si>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</si>
  <si>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</si>
  <si>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</si>
  <si>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</si>
  <si>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</si>
  <si>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</si>
  <si>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</si>
  <si>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</si>
  <si>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</si>
  <si>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</si>
  <si>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</si>
  <si>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</si>
  <si>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</si>
  <si>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</si>
  <si>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</si>
  <si>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</si>
  <si>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</si>
  <si>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</si>
  <si>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</si>
  <si>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</si>
  <si>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</si>
  <si>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</si>
  <si>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</si>
  <si>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</si>
  <si>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</si>
  <si>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</si>
  <si>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</si>
  <si>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</si>
  <si>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</si>
  <si>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</si>
  <si>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</si>
  <si>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</si>
  <si>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</si>
  <si>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</si>
  <si>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</si>
  <si>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</si>
  <si>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</si>
  <si>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</si>
  <si>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</si>
  <si>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</si>
  <si>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</si>
  <si>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</si>
  <si>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</si>
  <si>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</si>
  <si>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</si>
  <si>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</si>
  <si>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</si>
  <si>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</si>
  <si>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</si>
  <si>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</si>
  <si>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</si>
  <si>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</si>
  <si>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</si>
  <si>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</si>
  <si>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</si>
  <si>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</si>
  <si>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</si>
  <si>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</si>
  <si>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</si>
  <si>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</si>
  <si>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</si>
  <si>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</si>
  <si>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</si>
  <si>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</si>
  <si>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</si>
  <si>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</si>
  <si>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</si>
  <si>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</si>
  <si>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</si>
  <si>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</si>
  <si>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</si>
  <si>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</si>
  <si>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</si>
  <si>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</si>
  <si>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</si>
  <si>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</si>
  <si>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</si>
  <si>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</si>
  <si>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</si>
  <si>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</si>
  <si>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</si>
  <si>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</si>
  <si>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</si>
  <si>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</si>
  <si>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</si>
  <si>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</si>
  <si>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</si>
  <si>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</si>
  <si>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</si>
  <si>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</si>
  <si>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</si>
  <si>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</si>
  <si>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</si>
  <si>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</si>
  <si>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</si>
  <si>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</si>
  <si>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</si>
  <si>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</si>
  <si>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</si>
  <si>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</si>
  <si>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</si>
  <si>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</si>
  <si>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</si>
  <si>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</si>
  <si>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</si>
  <si>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</si>
  <si>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</si>
  <si>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</si>
  <si>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</si>
  <si>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</si>
  <si>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</si>
  <si>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</si>
  <si>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</si>
  <si>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</si>
  <si>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</si>
  <si>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</si>
  <si>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</si>
  <si>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</si>
  <si>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</si>
  <si>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</si>
  <si>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</si>
  <si>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</si>
  <si>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</si>
  <si>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</si>
  <si>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</si>
  <si>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</si>
  <si>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</si>
  <si>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</si>
  <si>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</si>
  <si>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</si>
  <si>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</si>
  <si>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</si>
  <si>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</si>
  <si>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</si>
  <si>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</si>
  <si>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</si>
  <si>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</si>
  <si>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</si>
  <si>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</si>
  <si>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</si>
  <si>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</si>
  <si>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</si>
  <si>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</si>
  <si>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</si>
  <si>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</si>
  <si>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</si>
  <si>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</si>
  <si>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</si>
  <si>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</si>
  <si>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</si>
  <si>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</si>
  <si>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</si>
  <si>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</si>
  <si>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</si>
  <si>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</si>
  <si>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</si>
  <si>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</si>
  <si>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</si>
  <si>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</si>
  <si>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</si>
  <si>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</si>
  <si>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</si>
  <si>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</si>
  <si>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</si>
  <si>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</si>
  <si>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</si>
  <si>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</si>
  <si>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</si>
  <si>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</si>
  <si>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</si>
  <si>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</si>
  <si>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</si>
  <si>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</si>
  <si>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</si>
  <si>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</si>
  <si>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</si>
  <si>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</si>
  <si>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</si>
  <si>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</si>
  <si>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</si>
  <si>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</si>
  <si>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</si>
  <si>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</si>
  <si>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</si>
  <si>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</si>
  <si>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</si>
  <si>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</si>
  <si>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</si>
  <si>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</si>
  <si>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</si>
  <si>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</si>
  <si>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</si>
  <si>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</si>
  <si>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</si>
  <si>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</si>
  <si>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</si>
  <si>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</si>
  <si>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</si>
  <si>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</si>
  <si>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</si>
  <si>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</si>
  <si>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</si>
  <si>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</si>
  <si>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</si>
  <si>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</si>
  <si>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</si>
  <si>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</si>
  <si>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</si>
  <si>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</si>
  <si>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</si>
  <si>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</si>
  <si>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</si>
  <si>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</si>
  <si>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</si>
  <si>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</si>
  <si>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</si>
  <si>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</si>
  <si>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</si>
  <si>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</si>
  <si>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</si>
  <si>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</si>
  <si>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</si>
  <si>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</si>
  <si>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</si>
  <si>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</si>
  <si>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</si>
  <si>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</si>
  <si>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</si>
  <si>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</si>
  <si>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</si>
  <si>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</si>
  <si>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</si>
  <si>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</si>
  <si>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</si>
  <si>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</si>
  <si>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</si>
  <si>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</si>
  <si>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</si>
  <si>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</si>
  <si>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</si>
  <si>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</si>
  <si>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</si>
  <si>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</si>
  <si>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</si>
  <si>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</si>
  <si>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</si>
  <si>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</si>
  <si>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</si>
  <si>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</si>
  <si>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</si>
  <si>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</si>
  <si>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</si>
  <si>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</si>
  <si>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</si>
  <si>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</si>
  <si>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</si>
  <si>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</si>
  <si>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</si>
  <si>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</si>
  <si>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</si>
  <si>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</si>
  <si>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</si>
  <si>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</si>
  <si>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</si>
  <si>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</si>
  <si>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</si>
  <si>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</si>
  <si>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</si>
  <si>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</si>
  <si>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</si>
  <si>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</si>
  <si>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</si>
  <si>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</si>
  <si>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</si>
  <si>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</si>
  <si>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</si>
  <si>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</si>
  <si>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</si>
  <si>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</si>
  <si>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</si>
  <si>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</si>
  <si>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</si>
  <si>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</si>
  <si>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</si>
  <si>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</si>
  <si>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</si>
  <si>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</si>
  <si>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</si>
  <si>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</si>
  <si>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</si>
  <si>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</si>
  <si>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</si>
  <si>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</si>
  <si>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</si>
  <si>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</si>
  <si>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</si>
  <si>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</si>
  <si>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</si>
  <si>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</si>
  <si>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</si>
  <si>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</si>
  <si>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</si>
  <si>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</si>
  <si>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</si>
  <si>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</si>
  <si>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</si>
  <si>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</si>
  <si>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</si>
  <si>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</si>
  <si>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</si>
  <si>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</si>
  <si>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</si>
  <si>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</si>
  <si>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</si>
  <si>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</si>
  <si>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</si>
  <si>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</si>
  <si>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</si>
  <si>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</si>
  <si>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</si>
  <si>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</si>
  <si>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</si>
  <si>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</si>
  <si>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</si>
  <si>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</si>
  <si>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</si>
  <si>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</si>
  <si>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</si>
  <si>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</si>
  <si>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</si>
  <si>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</si>
  <si>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</si>
  <si>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</si>
  <si>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</si>
  <si>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</si>
  <si>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</si>
  <si>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</si>
  <si>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</si>
  <si>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</si>
  <si>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</si>
  <si>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</si>
  <si>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</si>
  <si>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</si>
  <si>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</si>
  <si>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</si>
  <si>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</si>
  <si>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</si>
  <si>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</si>
  <si>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</si>
  <si>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</si>
  <si>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</si>
  <si>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</si>
  <si>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</si>
  <si>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</si>
  <si>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</si>
  <si>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</si>
  <si>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</si>
  <si>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</si>
  <si>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</si>
  <si>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</si>
  <si>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</si>
  <si>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</si>
  <si>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</si>
  <si>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</si>
  <si>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</si>
  <si>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</si>
  <si>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</si>
  <si>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</si>
  <si>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</si>
  <si>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</si>
  <si>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</si>
  <si>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</si>
  <si>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</si>
  <si>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</si>
  <si>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</si>
  <si>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</si>
  <si>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</si>
  <si>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</si>
  <si>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</si>
  <si>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</si>
  <si>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</si>
  <si>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</si>
  <si>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</si>
  <si>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</si>
  <si>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</si>
  <si>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</si>
  <si>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</si>
  <si>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</si>
  <si>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</si>
  <si>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</si>
  <si>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</si>
  <si>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</si>
  <si>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</si>
  <si>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</si>
  <si>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</si>
  <si>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</si>
  <si>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</si>
  <si>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</si>
  <si>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</si>
  <si>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</si>
  <si>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</si>
  <si>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</si>
  <si>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</si>
  <si>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</si>
  <si>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</si>
  <si>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</si>
  <si>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</si>
  <si>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</si>
  <si>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</si>
  <si>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</si>
  <si>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</si>
  <si>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</si>
  <si>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</si>
  <si>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</si>
  <si>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</si>
  <si>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</si>
  <si>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</si>
  <si>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</si>
  <si>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</si>
  <si>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</si>
  <si>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</si>
  <si>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</si>
  <si>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</si>
  <si>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</si>
  <si>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</si>
  <si>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</si>
  <si>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</si>
  <si>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</si>
  <si>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</si>
  <si>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</si>
  <si>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</si>
  <si>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</si>
  <si>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</si>
  <si>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</si>
  <si>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</si>
  <si>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</si>
  <si>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</si>
  <si>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</si>
  <si>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</si>
  <si>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</si>
  <si>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</si>
  <si>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</si>
  <si>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</si>
  <si>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</si>
  <si>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</si>
  <si>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</si>
  <si>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</si>
  <si>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</si>
  <si>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</si>
  <si>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</si>
  <si>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</si>
  <si>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</si>
  <si>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</si>
  <si>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</si>
  <si>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</si>
  <si>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</si>
  <si>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</si>
  <si>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</si>
  <si>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</si>
  <si>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</si>
  <si>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</si>
  <si>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</si>
  <si>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</si>
  <si>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</si>
  <si>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</si>
  <si>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</si>
  <si>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</si>
  <si>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</si>
  <si>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</si>
  <si>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</si>
  <si>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</si>
  <si>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</si>
  <si>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</si>
  <si>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</si>
  <si>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</si>
  <si>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</si>
  <si>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</si>
  <si>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</si>
  <si>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</si>
  <si>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</si>
  <si>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</si>
  <si>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</si>
  <si>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</si>
  <si>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</si>
  <si>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</si>
  <si>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</si>
  <si>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</si>
  <si>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</si>
  <si>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</si>
  <si>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</si>
  <si>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</si>
  <si>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</si>
  <si>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</si>
  <si>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</si>
  <si>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</si>
  <si>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</si>
  <si>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</si>
  <si>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</si>
  <si>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</si>
  <si>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</si>
  <si>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</si>
  <si>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</si>
  <si>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</si>
  <si>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</si>
  <si>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</si>
  <si>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</si>
  <si>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</si>
  <si>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</si>
  <si>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</si>
  <si>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</si>
  <si>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</si>
  <si>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</si>
  <si>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</si>
  <si>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</si>
  <si>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</si>
  <si>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</si>
  <si>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</si>
  <si>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</si>
  <si>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</si>
  <si>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</si>
  <si>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</si>
  <si>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</si>
  <si>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</si>
  <si>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</si>
  <si>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</si>
  <si>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</si>
  <si>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</si>
  <si>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</si>
  <si>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</si>
  <si>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</si>
  <si>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</si>
  <si>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</si>
  <si>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</si>
  <si>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</si>
  <si>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</si>
  <si>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</si>
  <si>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</si>
  <si>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</si>
  <si>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</si>
  <si>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</si>
  <si>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</si>
  <si>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</si>
  <si>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</si>
  <si>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</si>
  <si>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</si>
  <si>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</si>
  <si>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</si>
  <si>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</si>
  <si>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</si>
  <si>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</si>
  <si>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</si>
  <si>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</si>
  <si>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</si>
  <si>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</si>
  <si>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</si>
  <si>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</si>
  <si>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</si>
  <si>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</si>
  <si>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</si>
  <si>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</si>
  <si>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</si>
  <si>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</si>
  <si>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</si>
  <si>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</si>
  <si>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</si>
  <si>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</si>
  <si>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</si>
  <si>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</si>
  <si>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</si>
  <si>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</si>
  <si>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</si>
  <si>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</si>
  <si>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</si>
  <si>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</si>
  <si>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</si>
  <si>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</si>
  <si>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</si>
  <si>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</si>
  <si>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</si>
  <si>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</si>
  <si>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</si>
  <si>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</si>
  <si>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</si>
  <si>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</si>
  <si>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</si>
  <si>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</si>
  <si>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</si>
  <si>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</si>
  <si>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</si>
  <si>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</si>
  <si>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</si>
  <si>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</si>
  <si>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</si>
  <si>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</si>
  <si>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</si>
  <si>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</si>
  <si>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</si>
  <si>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</si>
  <si>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</si>
  <si>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</si>
  <si>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</si>
  <si>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</si>
  <si>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</si>
  <si>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</si>
  <si>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</si>
  <si>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</si>
  <si>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</si>
  <si>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</si>
  <si>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</si>
  <si>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</si>
  <si>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</si>
  <si>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</si>
  <si>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</si>
  <si>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</si>
  <si>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</si>
  <si>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</si>
  <si>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</si>
  <si>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</si>
  <si>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</si>
  <si>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</si>
  <si>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</si>
  <si>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</si>
  <si>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</si>
  <si>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</si>
  <si>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</si>
  <si>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</si>
  <si>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</si>
  <si>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</si>
  <si>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</si>
  <si>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</si>
  <si>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</si>
  <si>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</si>
  <si>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</si>
  <si>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</si>
  <si>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</si>
  <si>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</si>
  <si>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</si>
  <si>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</si>
  <si>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</si>
  <si>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</si>
  <si>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</si>
  <si>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</si>
  <si>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</si>
  <si>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</si>
  <si>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</si>
  <si>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</si>
  <si>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</si>
  <si>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</si>
  <si>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</si>
  <si>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</si>
  <si>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</si>
  <si>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</si>
  <si>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</si>
  <si>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</si>
  <si>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</si>
  <si>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</si>
  <si>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</si>
  <si>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</si>
  <si>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</si>
  <si>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</si>
  <si>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</si>
  <si>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</si>
  <si>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</si>
  <si>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</si>
  <si>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</si>
  <si>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</si>
  <si>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</si>
  <si>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</si>
  <si>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</si>
  <si>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</si>
  <si>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</si>
  <si>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</si>
  <si>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</si>
  <si>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</si>
  <si>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</si>
  <si>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</si>
  <si>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</si>
  <si>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</si>
  <si>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</si>
  <si>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</si>
  <si>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</si>
  <si>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</si>
  <si>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</si>
  <si>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</si>
  <si>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</si>
  <si>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</si>
  <si>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</si>
  <si>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</si>
  <si>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</si>
  <si>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</si>
  <si>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</si>
  <si>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</si>
  <si>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</si>
  <si>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</si>
  <si>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</si>
  <si>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</si>
  <si>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</si>
  <si>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</si>
  <si>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</si>
  <si>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</si>
  <si>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</si>
  <si>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</si>
  <si>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</si>
  <si>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</si>
  <si>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</si>
  <si>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</si>
  <si>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</si>
  <si>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</si>
  <si>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</si>
  <si>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</si>
  <si>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</si>
  <si>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</si>
  <si>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</si>
  <si>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</si>
  <si>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</si>
  <si>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</si>
  <si>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</si>
  <si>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</si>
  <si>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</si>
  <si>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</si>
  <si>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</si>
  <si>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</si>
  <si>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</si>
  <si>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</si>
  <si>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</si>
  <si>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</si>
  <si>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</si>
  <si>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</si>
  <si>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</si>
  <si>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</si>
  <si>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</si>
  <si>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</si>
  <si>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</si>
  <si>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</si>
  <si>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</si>
  <si>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</si>
  <si>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</si>
  <si>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</si>
  <si>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</si>
  <si>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</si>
  <si>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</si>
  <si>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</si>
  <si>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</si>
  <si>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</si>
  <si>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</si>
  <si>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</si>
  <si>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</si>
  <si>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</si>
  <si>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</si>
  <si>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</si>
  <si>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</si>
  <si>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</si>
  <si>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</si>
  <si>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</si>
  <si>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</si>
  <si>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</si>
  <si>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</si>
  <si>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</si>
  <si>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</si>
  <si>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</si>
  <si>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</si>
  <si>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</si>
  <si>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</si>
  <si>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</si>
  <si>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</si>
  <si>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</si>
  <si>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</si>
  <si>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</si>
  <si>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</si>
  <si>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</si>
  <si>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</si>
  <si>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</si>
  <si>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</si>
  <si>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</si>
  <si>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</si>
  <si>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</si>
  <si>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</si>
  <si>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</si>
  <si>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</si>
  <si>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</si>
  <si>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</si>
  <si>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</si>
  <si>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</si>
  <si>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</si>
  <si>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</si>
  <si>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</si>
  <si>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</si>
  <si>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</si>
  <si>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</si>
  <si>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</si>
  <si>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</si>
  <si>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</si>
  <si>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</si>
  <si>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</si>
  <si>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</si>
  <si>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</si>
  <si>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</si>
  <si>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</si>
  <si>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</si>
  <si>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</si>
  <si>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</si>
  <si>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</si>
  <si>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</si>
  <si>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</si>
  <si>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</si>
  <si>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</si>
  <si>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</si>
  <si>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</si>
  <si>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</si>
  <si>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</si>
  <si>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</si>
  <si>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</si>
  <si>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</si>
  <si>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</si>
  <si>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</si>
  <si>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</si>
  <si>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</si>
  <si>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</si>
  <si>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</si>
  <si>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</si>
  <si>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</si>
  <si>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</si>
  <si>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</si>
  <si>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</si>
  <si>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</si>
  <si>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</si>
  <si>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</si>
  <si>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</si>
  <si>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</si>
  <si>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</si>
  <si>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</si>
  <si>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</si>
  <si>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</si>
  <si>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</si>
  <si>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</si>
  <si>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</si>
  <si>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</si>
  <si>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</si>
  <si>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</si>
  <si>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</si>
  <si>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</si>
  <si>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</si>
  <si>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</si>
  <si>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</si>
  <si>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</si>
  <si>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</si>
  <si>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</si>
  <si>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</si>
  <si>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</si>
  <si>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</si>
  <si>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</si>
  <si>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</si>
  <si>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</si>
  <si>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</si>
  <si>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</si>
  <si>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</si>
  <si>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</si>
  <si>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</si>
  <si>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</si>
  <si>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</si>
  <si>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</si>
  <si>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</si>
  <si>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</si>
  <si>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</si>
  <si>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</si>
  <si>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</si>
  <si>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</si>
  <si>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</si>
  <si>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</si>
  <si>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</si>
  <si>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</si>
  <si>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</si>
  <si>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</si>
  <si>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</si>
  <si>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</si>
  <si>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</si>
  <si>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</si>
  <si>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</si>
  <si>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</si>
  <si>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</si>
  <si>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</si>
  <si>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</si>
  <si>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</si>
  <si>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</si>
  <si>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</si>
  <si>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</si>
  <si>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</si>
  <si>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</si>
  <si>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</si>
  <si>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</si>
  <si>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</si>
  <si>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</si>
  <si>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</si>
  <si>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</si>
  <si>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</si>
  <si>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</si>
  <si>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</si>
  <si>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</si>
  <si>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</si>
  <si>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</si>
  <si>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</si>
  <si>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</si>
  <si>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</si>
  <si>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</si>
  <si>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</si>
  <si>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</si>
  <si>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</si>
  <si>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</si>
  <si>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</si>
  <si>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</si>
  <si>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</si>
  <si>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</si>
  <si>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</si>
  <si>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</si>
  <si>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</si>
  <si>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</si>
  <si>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</si>
  <si>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</si>
  <si>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</si>
  <si>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</si>
  <si>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</si>
  <si>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</si>
  <si>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</si>
  <si>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</si>
  <si>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</si>
  <si>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</si>
  <si>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</si>
  <si>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</si>
  <si>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</si>
  <si>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</si>
  <si>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</si>
  <si>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</si>
  <si>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</si>
  <si>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</si>
  <si>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</si>
  <si>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</si>
  <si>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</si>
  <si>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</si>
  <si>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</si>
  <si>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</si>
  <si>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</si>
  <si>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</si>
  <si>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</si>
  <si>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</si>
  <si>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</si>
  <si>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</si>
  <si>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</si>
  <si>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</si>
  <si>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</si>
  <si>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</si>
  <si>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</si>
  <si>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</si>
  <si>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</si>
  <si>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</si>
  <si>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</si>
  <si>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</si>
  <si>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</si>
  <si>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</si>
  <si>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</si>
  <si>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</si>
  <si>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</si>
  <si>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</si>
  <si>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</si>
  <si>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</si>
  <si>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</si>
  <si>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</si>
  <si>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</si>
  <si>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</si>
  <si>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</si>
  <si>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</si>
  <si>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</si>
  <si>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</si>
  <si>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</si>
  <si>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</si>
  <si>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</si>
  <si>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</si>
  <si>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</si>
  <si>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</si>
  <si>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</si>
  <si>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</si>
  <si>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</si>
  <si>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</si>
  <si>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</si>
  <si>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</si>
  <si>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</si>
  <si>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</si>
  <si>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</si>
  <si>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</si>
  <si>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</si>
  <si>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</si>
  <si>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</si>
  <si>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</si>
  <si>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</si>
  <si>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</si>
  <si>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</si>
  <si>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</si>
  <si>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</si>
  <si>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</si>
  <si>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</si>
  <si>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</si>
  <si>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</si>
  <si>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</si>
  <si>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</si>
  <si>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</si>
  <si>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</si>
  <si>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</si>
  <si>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</si>
  <si>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</si>
  <si>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</si>
  <si>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</si>
  <si>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</si>
  <si>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</si>
  <si>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</si>
  <si>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</si>
  <si>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</si>
  <si>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</si>
  <si>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</si>
  <si>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</si>
  <si>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</si>
  <si>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</si>
  <si>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</si>
  <si>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</si>
  <si>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</si>
  <si>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</si>
  <si>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</si>
  <si>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</si>
  <si>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</si>
  <si>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</si>
  <si>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</si>
  <si>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</si>
  <si>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</si>
  <si>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</si>
  <si>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</si>
  <si>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</si>
  <si>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</si>
  <si>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</si>
  <si>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</si>
  <si>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</si>
  <si>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</si>
  <si>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</si>
  <si>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</si>
  <si>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</si>
  <si>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</si>
  <si>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</si>
  <si>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</si>
  <si>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</si>
  <si>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</si>
  <si>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</si>
  <si>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</si>
  <si>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</si>
  <si>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</si>
  <si>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</si>
  <si>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</si>
  <si>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</si>
  <si>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</si>
  <si>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</si>
  <si>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</si>
  <si>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</si>
  <si>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</si>
  <si>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</si>
  <si>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</si>
  <si>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</si>
  <si>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</si>
  <si>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</si>
  <si>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</si>
  <si>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</si>
  <si>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</si>
  <si>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</si>
  <si>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</si>
  <si>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</si>
  <si>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</si>
  <si>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</si>
  <si>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</si>
  <si>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</si>
  <si>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</si>
  <si>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</si>
  <si>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</si>
  <si>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</si>
  <si>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</si>
  <si>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</si>
  <si>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</si>
  <si>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</si>
  <si>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</si>
  <si>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</si>
  <si>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</si>
  <si>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</si>
  <si>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</si>
  <si>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</si>
  <si>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</si>
  <si>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</si>
  <si>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</si>
  <si>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</si>
  <si>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</si>
  <si>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</si>
  <si>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</si>
  <si>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</si>
  <si>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</si>
  <si>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</si>
  <si>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</si>
  <si>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</si>
  <si>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</si>
  <si>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</si>
  <si>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</si>
  <si>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</si>
  <si>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</si>
  <si>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</si>
  <si>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</si>
  <si>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</si>
  <si>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</si>
  <si>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</si>
  <si>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</si>
  <si>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</si>
  <si>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</si>
  <si>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</si>
  <si>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</si>
  <si>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</si>
  <si>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</si>
  <si>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</si>
  <si>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</si>
  <si>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</si>
  <si>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</si>
  <si>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</si>
  <si>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</si>
  <si>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</si>
  <si>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</si>
  <si>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</si>
  <si>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</si>
  <si>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</si>
  <si>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</si>
  <si>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</si>
  <si>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</si>
  <si>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</si>
  <si>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</si>
  <si>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</si>
  <si>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</si>
  <si>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</si>
  <si>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</si>
  <si>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</si>
  <si>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</si>
  <si>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</si>
  <si>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</si>
  <si>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</si>
  <si>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</si>
  <si>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</si>
  <si>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</si>
  <si>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</si>
  <si>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</si>
  <si>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</si>
  <si>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</si>
  <si>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</si>
  <si>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</si>
  <si>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</si>
  <si>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</si>
  <si>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</si>
  <si>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</si>
  <si>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</si>
  <si>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</si>
  <si>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</si>
  <si>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</si>
  <si>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</si>
  <si>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</si>
  <si>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</si>
  <si>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</si>
  <si>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</si>
  <si>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</si>
  <si>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</si>
  <si>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</si>
  <si>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</si>
  <si>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</si>
  <si>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</si>
  <si>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</si>
  <si>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</si>
  <si>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</si>
  <si>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</si>
  <si>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</si>
  <si>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</si>
  <si>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</si>
  <si>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</si>
  <si>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</si>
  <si>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</si>
  <si>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</si>
  <si>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</si>
  <si>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</si>
  <si>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</si>
  <si>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</si>
  <si>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</si>
  <si>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</si>
  <si>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</si>
  <si>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</si>
  <si>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</si>
  <si>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</si>
  <si>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</si>
  <si>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</si>
  <si>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</si>
  <si>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</si>
  <si>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</si>
  <si>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</si>
  <si>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</si>
  <si>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</si>
  <si>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</si>
  <si>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</si>
  <si>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</si>
  <si>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</si>
  <si>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</si>
  <si>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</si>
  <si>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</si>
  <si>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</si>
  <si>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</si>
  <si>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</si>
  <si>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</si>
  <si>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</si>
  <si>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</si>
  <si>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</si>
  <si>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</si>
  <si>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</si>
  <si>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</si>
  <si>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</si>
  <si>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</si>
  <si>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</si>
  <si>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</si>
  <si>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</si>
  <si>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</si>
  <si>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</si>
  <si>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</si>
  <si>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</si>
  <si>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</si>
  <si>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</si>
  <si>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</si>
  <si>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</si>
  <si>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</si>
  <si>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</si>
  <si>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</si>
  <si>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</si>
  <si>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</si>
  <si>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</si>
  <si>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</si>
  <si>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</si>
  <si>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</si>
  <si>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</si>
  <si>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</si>
  <si>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</si>
  <si>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</si>
  <si>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</si>
  <si>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</si>
  <si>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</si>
  <si>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</si>
  <si>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</si>
  <si>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</si>
  <si>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</si>
  <si>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</si>
  <si>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</si>
  <si>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</si>
  <si>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</si>
  <si>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</si>
  <si>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</si>
  <si>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</si>
  <si>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</si>
  <si>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</si>
  <si>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</si>
  <si>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</si>
  <si>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</si>
  <si>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</si>
  <si>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</si>
  <si>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</si>
  <si>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</si>
  <si>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</si>
  <si>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</si>
  <si>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</si>
  <si>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</si>
  <si>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</si>
  <si>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</si>
  <si>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</si>
  <si>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</si>
  <si>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</si>
  <si>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</si>
  <si>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</si>
  <si>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</si>
  <si>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</si>
  <si>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</si>
  <si>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</si>
  <si>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</si>
  <si>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</si>
  <si>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</si>
  <si>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</si>
  <si>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</si>
  <si>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</si>
  <si>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</si>
  <si>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</si>
  <si>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</si>
  <si>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</si>
  <si>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</si>
  <si>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</si>
  <si>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</si>
  <si>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</si>
  <si>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</si>
  <si>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</si>
  <si>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</si>
  <si>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</si>
  <si>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</si>
  <si>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</si>
  <si>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</si>
  <si>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</si>
  <si>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</si>
  <si>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</si>
  <si>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</si>
  <si>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</si>
  <si>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</si>
  <si>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</si>
  <si>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</si>
  <si>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</si>
  <si>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</si>
  <si>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</si>
  <si>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</si>
  <si>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</si>
  <si>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</si>
  <si>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</si>
  <si>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</si>
  <si>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</si>
  <si>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</si>
  <si>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</si>
  <si>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</si>
  <si>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</si>
  <si>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</si>
  <si>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</si>
  <si>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</si>
  <si>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</si>
  <si>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</si>
  <si>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</si>
  <si>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</si>
  <si>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</si>
  <si>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</si>
  <si>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</si>
  <si>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</si>
  <si>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</si>
  <si>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</si>
  <si>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</si>
  <si>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</si>
  <si>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</si>
  <si>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</si>
  <si>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</si>
  <si>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</si>
  <si>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</si>
  <si>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</si>
  <si>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</si>
  <si>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</si>
  <si>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</si>
  <si>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</si>
  <si>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</si>
  <si>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</si>
  <si>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</si>
  <si>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</si>
  <si>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</si>
  <si>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</si>
  <si>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</si>
  <si>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</si>
  <si>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</si>
  <si>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</si>
  <si>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</si>
  <si>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</si>
  <si>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</si>
  <si>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</si>
  <si>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</si>
  <si>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</si>
  <si>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</si>
  <si>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</si>
  <si>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</si>
  <si>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</si>
  <si>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</si>
  <si>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</si>
  <si>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</si>
  <si>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</si>
  <si>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</si>
  <si>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</si>
  <si>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</si>
  <si>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</si>
  <si>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</si>
  <si>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</si>
  <si>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</si>
  <si>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</si>
  <si>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</si>
  <si>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</si>
  <si>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</si>
  <si>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</si>
  <si>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</si>
  <si>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</si>
  <si>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</si>
  <si>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</si>
  <si>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</si>
  <si>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</si>
  <si>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</si>
  <si>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</si>
  <si>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</si>
  <si>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</si>
  <si>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</si>
  <si>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</si>
  <si>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</si>
  <si>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</si>
  <si>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</si>
  <si>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</si>
  <si>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</si>
  <si>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</si>
  <si>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</si>
  <si>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</si>
  <si>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</si>
  <si>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</si>
  <si>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</si>
  <si>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</si>
  <si>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</si>
  <si>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</si>
  <si>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</si>
  <si>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</si>
  <si>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</si>
  <si>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</si>
  <si>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</si>
  <si>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</si>
  <si>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</si>
  <si>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</si>
  <si>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</si>
  <si>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</si>
  <si>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</si>
  <si>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</si>
  <si>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</si>
  <si>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</si>
  <si>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</si>
  <si>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</si>
  <si>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</si>
  <si>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</si>
  <si>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</si>
  <si>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</si>
  <si>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</si>
  <si>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</si>
  <si>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</si>
  <si>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</si>
  <si>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</si>
  <si>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</si>
  <si>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</si>
  <si>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</si>
  <si>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</si>
  <si>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</si>
  <si>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</si>
  <si>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</si>
  <si>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</si>
  <si>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</si>
  <si>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</si>
  <si>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</si>
  <si>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</si>
  <si>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</si>
  <si>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</si>
  <si>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</si>
  <si>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</si>
  <si>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</si>
  <si>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</si>
  <si>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</si>
  <si>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</si>
  <si>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</si>
  <si>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</si>
  <si>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</si>
  <si>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</si>
  <si>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</si>
  <si>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</si>
  <si>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</si>
  <si>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</si>
  <si>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</si>
  <si>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</si>
  <si>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</si>
  <si>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</si>
  <si>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</si>
  <si>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</si>
  <si>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</si>
  <si>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</si>
  <si>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</si>
  <si>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</si>
  <si>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</si>
  <si>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</si>
  <si>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</si>
  <si>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</si>
  <si>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</si>
  <si>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</si>
  <si>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</si>
  <si>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</si>
  <si>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</si>
  <si>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</si>
  <si>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</si>
  <si>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</si>
  <si>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</si>
  <si>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</si>
  <si>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</si>
  <si>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</si>
  <si>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</si>
  <si>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</si>
  <si>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</si>
  <si>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</si>
  <si>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</si>
  <si>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</si>
  <si>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</si>
  <si>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</si>
  <si>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</si>
  <si>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</si>
  <si>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</si>
  <si>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</si>
  <si>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</si>
  <si>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</si>
  <si>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</si>
  <si>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</si>
  <si>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</si>
  <si>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</si>
  <si>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</si>
  <si>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</si>
  <si>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</si>
  <si>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</si>
  <si>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</si>
  <si>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</si>
  <si>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</si>
  <si>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</si>
  <si>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</si>
  <si>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</si>
  <si>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</si>
  <si>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</si>
  <si>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</si>
  <si>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</si>
  <si>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</si>
  <si>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</si>
  <si>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</si>
  <si>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</si>
  <si>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</si>
  <si>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</si>
  <si>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</si>
  <si>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</si>
  <si>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</si>
  <si>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</si>
  <si>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</si>
  <si>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</si>
  <si>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</si>
  <si>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</si>
  <si>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</si>
  <si>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</si>
  <si>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</si>
  <si>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</si>
  <si>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</si>
  <si>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</si>
  <si>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</si>
  <si>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</si>
  <si>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</si>
  <si>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</si>
  <si>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</si>
  <si>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</si>
  <si>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</si>
  <si>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</si>
  <si>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</si>
  <si>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</si>
  <si>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</si>
  <si>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</si>
  <si>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</si>
  <si>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</si>
  <si>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</si>
  <si>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</si>
  <si>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</si>
  <si>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</si>
  <si>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</si>
  <si>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</si>
  <si>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</si>
  <si>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</si>
  <si>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</si>
  <si>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</si>
  <si>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</si>
  <si>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</si>
  <si>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</si>
  <si>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</si>
  <si>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</si>
  <si>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</si>
  <si>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</si>
  <si>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</si>
  <si>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</si>
  <si>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</si>
  <si>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</si>
  <si>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</si>
  <si>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</si>
  <si>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</si>
  <si>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</si>
  <si>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</si>
  <si>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</si>
  <si>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</si>
  <si>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</si>
  <si>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</si>
  <si>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</si>
  <si>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</si>
  <si>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</si>
  <si>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</si>
  <si>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</si>
  <si>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</si>
  <si>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</si>
  <si>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</si>
  <si>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</si>
  <si>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</si>
  <si>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</si>
  <si>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</si>
  <si>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</si>
  <si>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</si>
  <si>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</si>
  <si>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</si>
  <si>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</si>
  <si>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</si>
  <si>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</si>
  <si>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</si>
  <si>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</si>
  <si>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</si>
  <si>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</si>
  <si>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</si>
  <si>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</si>
  <si>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</si>
  <si>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</si>
  <si>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</si>
  <si>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</si>
  <si>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</si>
  <si>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</si>
  <si>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</si>
  <si>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</si>
  <si>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</si>
  <si>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</si>
  <si>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</si>
  <si>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</si>
  <si>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</si>
  <si>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</si>
  <si>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</si>
  <si>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</si>
  <si>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</si>
  <si>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</si>
  <si>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</si>
  <si>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</si>
  <si>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</si>
  <si>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</si>
  <si>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</si>
  <si>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</si>
  <si>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</si>
  <si>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</si>
  <si>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</si>
  <si>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</si>
  <si>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</si>
  <si>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</si>
  <si>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</si>
  <si>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</si>
  <si>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</si>
  <si>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</si>
  <si>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</si>
  <si>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</si>
  <si>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</si>
  <si>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</si>
  <si>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</si>
  <si>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</si>
  <si>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</si>
  <si>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</si>
  <si>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</si>
  <si>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</si>
  <si>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</si>
  <si>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</si>
  <si>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</si>
  <si>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</si>
  <si>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</si>
  <si>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</si>
  <si>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</si>
  <si>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</si>
  <si>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</si>
  <si>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</si>
  <si>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</si>
  <si>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</si>
  <si>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</si>
  <si>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</si>
  <si>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</si>
  <si>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</si>
  <si>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</si>
  <si>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</si>
  <si>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</si>
  <si>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</si>
  <si>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</si>
  <si>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</si>
  <si>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</si>
  <si>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</si>
  <si>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</si>
  <si>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</si>
  <si>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</si>
  <si>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</si>
  <si>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</si>
  <si>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</si>
  <si>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</si>
  <si>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</si>
  <si>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</si>
  <si>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</si>
  <si>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</si>
  <si>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</si>
  <si>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</si>
  <si>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</si>
  <si>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</si>
  <si>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</si>
  <si>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</si>
  <si>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</si>
  <si>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</si>
  <si>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</si>
  <si>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</si>
  <si>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</si>
  <si>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</si>
  <si>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</si>
  <si>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</si>
  <si>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</si>
  <si>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</si>
  <si>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</si>
  <si>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</si>
  <si>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</si>
  <si>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</si>
  <si>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</si>
  <si>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</si>
  <si>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</si>
  <si>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</si>
  <si>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</si>
  <si>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</si>
  <si>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</si>
  <si>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</si>
  <si>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</si>
  <si>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</si>
  <si>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</si>
  <si>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</si>
  <si>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</si>
  <si>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</si>
  <si>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</si>
  <si>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</si>
  <si>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</si>
  <si>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</si>
  <si>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</si>
  <si>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</si>
  <si>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</si>
  <si>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</si>
  <si>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</si>
  <si>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</si>
  <si>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</si>
  <si>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</si>
  <si>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</si>
  <si>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</si>
  <si>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</si>
  <si>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</si>
  <si>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</si>
  <si>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</si>
  <si>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</si>
  <si>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</si>
  <si>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</si>
  <si>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</si>
  <si>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</si>
  <si>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</si>
  <si>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</si>
  <si>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</si>
  <si>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</si>
  <si>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</si>
  <si>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</si>
  <si>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</si>
  <si>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</si>
  <si>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</si>
  <si>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</si>
  <si>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</si>
  <si>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</si>
  <si>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</si>
  <si>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</si>
  <si>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</si>
  <si>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</si>
  <si>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</si>
  <si>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</si>
  <si>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</si>
  <si>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</si>
  <si>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</si>
  <si>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</si>
  <si>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</si>
  <si>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</si>
  <si>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</si>
  <si>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</si>
  <si>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</si>
  <si>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</si>
  <si>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</si>
  <si>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</si>
  <si>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</si>
  <si>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</si>
  <si>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</si>
  <si>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</si>
  <si>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</si>
  <si>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</si>
  <si>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</si>
  <si>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</si>
  <si>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</si>
  <si>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</si>
  <si>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</si>
  <si>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</si>
  <si>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</si>
  <si>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</si>
  <si>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</si>
  <si>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</si>
  <si>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</si>
  <si>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</si>
  <si>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</si>
  <si>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</si>
  <si>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</si>
  <si>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</si>
  <si>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</si>
  <si>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</si>
  <si>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</si>
  <si>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</si>
  <si>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</si>
  <si>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</si>
  <si>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</si>
  <si>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</si>
  <si>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</si>
  <si>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</si>
  <si>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</si>
  <si>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</si>
  <si>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</si>
  <si>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</si>
  <si>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</si>
  <si>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</si>
  <si>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</si>
  <si>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</si>
  <si>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</si>
  <si>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</si>
  <si>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</si>
  <si>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</si>
  <si>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</si>
  <si>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</si>
  <si>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</si>
  <si>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</si>
  <si>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</si>
  <si>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</si>
  <si>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</si>
  <si>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</si>
  <si>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</si>
  <si>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</si>
  <si>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</si>
  <si>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</si>
  <si>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</si>
  <si>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</si>
  <si>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</si>
  <si>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</si>
  <si>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</si>
  <si>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</si>
  <si>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</si>
  <si>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</si>
  <si>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</si>
  <si>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</si>
  <si>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</si>
  <si>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</si>
  <si>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</si>
  <si>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</si>
  <si>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</si>
  <si>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</si>
  <si>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</si>
  <si>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</si>
  <si>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</si>
  <si>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</si>
  <si>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</si>
  <si>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</si>
  <si>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</si>
  <si>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</si>
  <si>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</si>
  <si>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</si>
  <si>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</si>
  <si>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</si>
  <si>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</si>
  <si>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</si>
  <si>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</si>
  <si>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</si>
  <si>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</si>
  <si>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</si>
  <si>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</si>
  <si>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</si>
  <si>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</si>
  <si>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</si>
  <si>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</si>
  <si>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</si>
  <si>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</si>
  <si>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</si>
  <si>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</si>
  <si>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</si>
  <si>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</si>
  <si>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</si>
  <si>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</si>
  <si>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</si>
  <si>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</si>
  <si>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</si>
  <si>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</si>
  <si>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</si>
  <si>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</si>
  <si>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</si>
  <si>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</si>
  <si>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</si>
  <si>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</si>
  <si>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</si>
  <si>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</si>
  <si>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</si>
  <si>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</si>
  <si>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</si>
  <si>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</si>
  <si>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</si>
  <si>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</si>
  <si>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</si>
  <si>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</si>
  <si>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</si>
  <si>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</si>
  <si>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</si>
  <si>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</si>
  <si>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</si>
  <si>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</si>
  <si>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</si>
  <si>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</si>
  <si>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</si>
  <si>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</si>
  <si>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</si>
  <si>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</si>
  <si>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</si>
  <si>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</si>
  <si>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</si>
  <si>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</si>
  <si>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</si>
  <si>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</si>
  <si>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</si>
  <si>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</si>
  <si>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</si>
  <si>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</si>
  <si>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</si>
  <si>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</si>
  <si>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</si>
  <si>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</si>
  <si>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</si>
  <si>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</si>
  <si>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</si>
  <si>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</si>
  <si>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</si>
  <si>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</si>
  <si>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</si>
  <si>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</si>
  <si>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</si>
  <si>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</si>
  <si>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</si>
  <si>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</si>
  <si>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</si>
  <si>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</si>
  <si>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</si>
  <si>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</si>
  <si>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</si>
  <si>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</si>
  <si>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</si>
  <si>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</si>
  <si>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</si>
  <si>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</si>
  <si>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</si>
  <si>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</si>
  <si>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</si>
  <si>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</si>
  <si>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</si>
  <si>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</si>
  <si>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</si>
  <si>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</si>
  <si>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</si>
  <si>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</si>
  <si>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</si>
  <si>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</si>
  <si>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</si>
  <si>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</si>
  <si>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</si>
  <si>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</si>
  <si>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</si>
  <si>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</si>
  <si>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</si>
  <si>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</si>
  <si>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</si>
  <si>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</si>
  <si>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</si>
  <si>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</si>
  <si>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</si>
  <si>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</si>
  <si>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</si>
  <si>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</si>
  <si>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</si>
  <si>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</si>
  <si>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</si>
  <si>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</si>
  <si>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</si>
  <si>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</si>
  <si>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</si>
  <si>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</si>
  <si>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</si>
  <si>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</si>
  <si>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</si>
  <si>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</si>
  <si>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</si>
  <si>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</si>
  <si>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</si>
  <si>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</si>
  <si>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</si>
  <si>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</si>
  <si>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</si>
  <si>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</si>
  <si>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</si>
  <si>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</si>
  <si>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</si>
  <si>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</si>
  <si>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</si>
  <si>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</si>
  <si>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</si>
  <si>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</si>
  <si>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</si>
  <si>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</si>
  <si>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</si>
  <si>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</si>
  <si>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</si>
  <si>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</si>
  <si>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</si>
  <si>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</si>
  <si>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</si>
  <si>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</si>
  <si>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</si>
  <si>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</si>
  <si>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</si>
  <si>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</si>
  <si>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</si>
  <si>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</si>
  <si>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</si>
  <si>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</si>
  <si>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</si>
  <si>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</si>
  <si>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</si>
  <si>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</si>
  <si>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</si>
  <si>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</si>
  <si>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</si>
  <si>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</si>
  <si>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</si>
  <si>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</si>
  <si>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</si>
  <si>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</si>
  <si>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</si>
  <si>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</si>
  <si>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</si>
  <si>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</si>
  <si>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</si>
  <si>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</si>
  <si>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</si>
  <si>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</si>
  <si>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</si>
  <si>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</si>
  <si>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</si>
  <si>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</si>
  <si>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</si>
  <si>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</si>
  <si>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</si>
  <si>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</si>
  <si>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</si>
  <si>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</si>
  <si>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</si>
  <si>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</si>
  <si>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</si>
  <si>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</si>
  <si>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</si>
  <si>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</si>
  <si>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</si>
  <si>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</si>
  <si>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</si>
  <si>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</si>
  <si>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</si>
  <si>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</si>
  <si>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</si>
  <si>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</si>
  <si>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</si>
  <si>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</si>
  <si>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</si>
  <si>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</si>
  <si>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</si>
  <si>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</si>
  <si>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</si>
  <si>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</si>
  <si>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</si>
  <si>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</si>
  <si>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</si>
  <si>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</si>
  <si>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</si>
  <si>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</si>
  <si>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</si>
  <si>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</si>
  <si>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</si>
  <si>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</si>
  <si>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</si>
  <si>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</si>
  <si>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</si>
  <si>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</si>
  <si>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</si>
  <si>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</si>
  <si>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</si>
  <si>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</si>
  <si>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</si>
  <si>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</si>
  <si>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</si>
  <si>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</si>
  <si>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</si>
  <si>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</si>
  <si>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</si>
  <si>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</si>
  <si>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</si>
  <si>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</si>
  <si>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</si>
  <si>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</si>
  <si>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</si>
  <si>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</si>
  <si>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</si>
  <si>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</si>
  <si>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</si>
  <si>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</si>
  <si>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</si>
  <si>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</si>
  <si>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</si>
  <si>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</si>
  <si>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</si>
  <si>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</si>
  <si>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</si>
  <si>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</si>
  <si>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</si>
  <si>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</si>
  <si>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</si>
  <si>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</si>
  <si>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</si>
  <si>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</si>
  <si>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</si>
  <si>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</si>
  <si>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</si>
  <si>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</si>
  <si>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</si>
  <si>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</si>
  <si>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</si>
  <si>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</si>
  <si>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</si>
  <si>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</si>
  <si>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</si>
  <si>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</si>
  <si>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</si>
  <si>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</si>
  <si>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</si>
  <si>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</si>
  <si>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</si>
  <si>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</si>
  <si>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</si>
  <si>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</si>
  <si>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</si>
  <si>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</si>
  <si>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</si>
  <si>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</si>
  <si>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</si>
  <si>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</si>
  <si>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</si>
  <si>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</si>
  <si>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</si>
  <si>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</si>
  <si>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</si>
  <si>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</si>
  <si>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</si>
  <si>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</si>
  <si>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</si>
  <si>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</si>
  <si>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</si>
  <si>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</si>
  <si>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</si>
  <si>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</si>
  <si>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</si>
  <si>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</si>
  <si>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</si>
  <si>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</si>
  <si>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</si>
  <si>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</si>
  <si>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</si>
  <si>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</si>
  <si>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</si>
  <si>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</si>
  <si>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</si>
  <si>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</si>
  <si>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</si>
  <si>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</si>
  <si>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</si>
  <si>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</si>
  <si>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</si>
  <si>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</si>
  <si>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</si>
  <si>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</si>
  <si>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</si>
  <si>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</si>
  <si>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</si>
  <si>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</si>
  <si>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</si>
  <si>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</si>
  <si>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</si>
  <si>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</si>
  <si>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</si>
  <si>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</si>
  <si>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</si>
  <si>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</si>
  <si>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</si>
  <si>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</si>
  <si>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</si>
  <si>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</si>
  <si>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</si>
  <si>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</si>
  <si>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</si>
  <si>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</si>
  <si>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</si>
  <si>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</si>
  <si>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</si>
  <si>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</si>
  <si>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</si>
  <si>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</si>
  <si>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</si>
  <si>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</si>
  <si>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</si>
  <si>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</si>
  <si>
    <t>C</t>
  </si>
  <si>
    <t>Pz</t>
  </si>
  <si>
    <t>Av</t>
  </si>
  <si>
    <t>Av de la</t>
  </si>
  <si>
    <t>C Dos Hermanas</t>
  </si>
  <si>
    <t>Pz de los</t>
  </si>
  <si>
    <t>Av. de</t>
  </si>
  <si>
    <t>CS.Juan</t>
  </si>
  <si>
    <t>Av de los</t>
  </si>
  <si>
    <t>Pz del</t>
  </si>
  <si>
    <t>Ur</t>
  </si>
  <si>
    <t>Pz El</t>
  </si>
  <si>
    <t>Pz de las</t>
  </si>
  <si>
    <t>Bª</t>
  </si>
  <si>
    <t>Rª</t>
  </si>
  <si>
    <t>CDos Hermanas</t>
  </si>
  <si>
    <t>Pz de</t>
  </si>
  <si>
    <t>LaBª</t>
  </si>
  <si>
    <t>AvS.Juan</t>
  </si>
  <si>
    <t>Núcleo Residencial</t>
  </si>
  <si>
    <t>Pza</t>
  </si>
  <si>
    <t>LasC</t>
  </si>
  <si>
    <t>Alcalá Gra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</si>
</sst>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29"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7" fillId="7" borderId="7" xfId="2" applyNumberFormat="1" applyFont="1" applyFill="1" applyBorder="1" applyAlignment="1">
      <alignment vertical="center"/>
    </xf>
    <xf numFmtId="0" fontId="27"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8" fillId="7" borderId="20" xfId="2" applyNumberFormat="1" applyFont="1" applyFill="1" applyBorder="1" applyAlignment="1">
      <alignment horizontal="center" vertical="top"/>
    </xf>
    <xf numFmtId="0" fontId="27" fillId="7" borderId="22" xfId="2" applyNumberFormat="1" applyFont="1" applyFill="1" applyBorder="1" applyAlignment="1">
      <alignment vertical="center"/>
    </xf>
    <xf numFmtId="0" fontId="27" fillId="7" borderId="20" xfId="2" applyNumberFormat="1" applyFont="1" applyFill="1" applyBorder="1" applyAlignment="1">
      <alignment vertical="center"/>
    </xf>
    <xf numFmtId="14" fontId="27" fillId="7" borderId="20" xfId="2" applyNumberFormat="1" applyFont="1" applyFill="1" applyBorder="1" applyAlignment="1">
      <alignment vertical="center"/>
    </xf>
    <xf numFmtId="0" fontId="27"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7" fillId="7" borderId="56" xfId="2" applyNumberFormat="1" applyFont="1" applyFill="1" applyBorder="1" applyAlignment="1">
      <alignment vertical="center"/>
    </xf>
    <xf numFmtId="0" fontId="27"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7"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7"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7"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7"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7" fillId="2" borderId="0" xfId="0" applyFont="1" applyFill="1" applyBorder="1" applyAlignment="1">
      <alignment vertical="center"/>
    </xf>
    <xf numFmtId="0" fontId="28"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8"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9"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11" fillId="2" borderId="4" xfId="0" applyFont="1" applyFill="1" applyBorder="1" applyAlignment="1">
      <alignment textRotation="90" wrapText="1"/>
    </xf>
    <xf numFmtId="0" fontId="11" fillId="2" borderId="9" xfId="0" applyFont="1" applyFill="1" applyBorder="1" applyAlignment="1">
      <alignment textRotation="90"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tabSelected="1" zoomScale="85" zoomScaleNormal="85" workbookViewId="0">
      <pane xSplit="2" ySplit="2" topLeftCell="C3" activePane="bottomRight" state="frozen"/>
      <selection pane="topRight"/>
      <selection pane="bottomLeft"/>
      <selection pane="bottomRight" activeCell="T190" sqref="T190"/>
    </sheetView>
  </sheetViews>
  <sheetFormatPr baseColWidth="10" defaultColWidth="17" defaultRowHeight="15.75" outlineLevelCol="1" x14ac:dyDescent="0.25"/>
  <cols>
    <col min="1" max="1" width="5.7109375" style="301" customWidth="1"/>
    <col min="2" max="2" width="30.7109375" style="301" bestFit="1" customWidth="1" collapsed="1"/>
    <col min="3" max="3" width="10.7109375" style="302" hidden="1" customWidth="1" outlineLevel="1"/>
    <col min="4" max="4" width="10.7109375" style="303" hidden="1" customWidth="1" outlineLevel="1"/>
    <col min="5" max="5" width="11.7109375" style="304" hidden="1" customWidth="1" outlineLevel="1"/>
    <col min="6" max="6" width="10.7109375" style="303" hidden="1" customWidth="1" outlineLevel="1"/>
    <col min="7" max="7" width="10.7109375" style="302" hidden="1" customWidth="1" outlineLevel="1"/>
    <col min="8" max="8" width="12.7109375" style="304" hidden="1" customWidth="1" outlineLevel="1"/>
    <col min="9" max="9" width="10.7109375" style="302" hidden="1" customWidth="1" outlineLevel="1"/>
    <col min="10" max="13" width="10.7109375" style="305" hidden="1"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2523</v>
      </c>
      <c r="C1" s="34" t="s">
        <v>2096</v>
      </c>
      <c r="D1" s="34" t="s">
        <v>2093</v>
      </c>
      <c r="E1" s="200" t="s">
        <v>1333</v>
      </c>
      <c r="F1" s="34" t="s">
        <v>2094</v>
      </c>
      <c r="G1" s="34" t="s">
        <v>2095</v>
      </c>
      <c r="H1" s="200" t="s">
        <v>1333</v>
      </c>
      <c r="I1" s="34" t="s">
        <v>2094</v>
      </c>
      <c r="J1" s="39" t="s">
        <v>2522</v>
      </c>
      <c r="K1" s="39" t="s">
        <v>1355</v>
      </c>
      <c r="L1" s="39" t="s">
        <v>2521</v>
      </c>
      <c r="M1" s="39"/>
      <c r="N1" s="39" t="s">
        <v>1774</v>
      </c>
      <c r="O1" s="34"/>
      <c r="P1" s="34" t="s">
        <v>2514</v>
      </c>
      <c r="Q1" s="35" t="s">
        <v>1352</v>
      </c>
      <c r="R1" s="35" t="s">
        <v>1348</v>
      </c>
      <c r="S1" s="35" t="s">
        <v>2524</v>
      </c>
      <c r="T1" s="35" t="s">
        <v>2525</v>
      </c>
      <c r="U1" s="35" t="s">
        <v>2526</v>
      </c>
      <c r="V1" s="36" t="s">
        <v>1353</v>
      </c>
      <c r="W1" s="37" t="s">
        <v>2475</v>
      </c>
      <c r="X1" s="37" t="s">
        <v>2481</v>
      </c>
      <c r="Y1" s="37" t="s">
        <v>2476</v>
      </c>
      <c r="Z1" s="37" t="s">
        <v>2482</v>
      </c>
      <c r="AA1" s="123" t="s">
        <v>1388</v>
      </c>
      <c r="AB1" s="371" t="s">
        <v>1431</v>
      </c>
      <c r="AC1" s="372"/>
      <c r="AD1" s="373"/>
      <c r="AE1" s="38" t="s">
        <v>1353</v>
      </c>
      <c r="AF1" s="368" t="s">
        <v>2369</v>
      </c>
      <c r="AG1" s="370"/>
      <c r="AH1" s="374" t="s">
        <v>1435</v>
      </c>
      <c r="AI1" s="375"/>
      <c r="AJ1" s="368" t="s">
        <v>1436</v>
      </c>
      <c r="AK1" s="369"/>
      <c r="AL1" s="370"/>
      <c r="AM1" s="366">
        <v>0.2</v>
      </c>
      <c r="AN1" s="367"/>
      <c r="AO1" s="275"/>
      <c r="AP1" s="274" t="s">
        <v>2520</v>
      </c>
      <c r="AQ1" s="253" t="s">
        <v>2519</v>
      </c>
      <c r="AR1" s="253" t="s">
        <v>2518</v>
      </c>
      <c r="AS1" s="253" t="s">
        <v>2513</v>
      </c>
      <c r="AT1" s="273" t="s">
        <v>2515</v>
      </c>
      <c r="AU1" s="252" t="s">
        <v>2516</v>
      </c>
      <c r="AV1" s="255"/>
      <c r="AW1" s="255"/>
      <c r="AX1" s="252"/>
      <c r="AY1" s="252"/>
    </row>
    <row r="2" spans="1:51" s="261" customFormat="1" x14ac:dyDescent="0.25">
      <c r="A2" s="231"/>
      <c r="B2" s="232" t="s">
        <v>2164</v>
      </c>
      <c r="C2" s="233"/>
      <c r="D2" s="233"/>
      <c r="E2" s="234"/>
      <c r="F2" s="233"/>
      <c r="G2" s="233"/>
      <c r="H2" s="234"/>
      <c r="I2" s="233"/>
      <c r="J2" s="235"/>
      <c r="K2" s="235"/>
      <c r="L2" s="235"/>
      <c r="M2" s="235"/>
      <c r="N2" s="232"/>
      <c r="O2" s="236"/>
      <c r="P2" s="365"/>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2512</v>
      </c>
      <c r="AP2" s="251"/>
      <c r="AQ2" s="251"/>
      <c r="AR2" s="251"/>
      <c r="AS2" s="251"/>
      <c r="AT2" s="254"/>
      <c r="AU2" s="254"/>
      <c r="AV2" s="250"/>
      <c r="AW2" s="250"/>
      <c r="AX2" s="254"/>
      <c r="AY2" s="254"/>
    </row>
    <row r="3" spans="1:51" s="262" customFormat="1" x14ac:dyDescent="0.25">
      <c r="A3" s="41" t="s">
        <v>2592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2449</v>
      </c>
      <c r="P3" s="126" t="s">
        <v>2502</v>
      </c>
      <c r="Q3" s="45" t="s">
        <v>1354</v>
      </c>
      <c r="R3" s="45" t="s">
        <v>1354</v>
      </c>
      <c r="S3" s="45" t="s">
        <v>1354</v>
      </c>
      <c r="T3" s="45" t="s">
        <v>1354</v>
      </c>
      <c r="U3" s="45"/>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2358</v>
      </c>
      <c r="AR3" s="141" t="s">
        <v>2351</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2592</v>
      </c>
      <c r="B4" s="41" t="s">
        <v>2162</v>
      </c>
      <c r="C4" s="209" t="s">
        <v>0</v>
      </c>
      <c r="D4" s="58" t="s">
        <v>0</v>
      </c>
      <c r="E4" s="202" t="s">
        <v>0</v>
      </c>
      <c r="F4" s="58" t="s">
        <v>0</v>
      </c>
      <c r="G4" s="58" t="s">
        <v>0</v>
      </c>
      <c r="H4" s="202" t="s">
        <v>0</v>
      </c>
      <c r="I4" s="208" t="s">
        <v>0</v>
      </c>
      <c r="J4" s="134" t="s">
        <v>0</v>
      </c>
      <c r="K4" s="134" t="s">
        <v>0</v>
      </c>
      <c r="L4" s="134" t="s">
        <v>0</v>
      </c>
      <c r="M4" s="134"/>
      <c r="N4" s="127" t="s">
        <v>0</v>
      </c>
      <c r="O4" s="128" t="s">
        <v>0</v>
      </c>
      <c r="P4" s="126" t="s">
        <v>2502</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2358</v>
      </c>
      <c r="AR4" s="141" t="s">
        <v>2351</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2592</v>
      </c>
      <c r="B5" s="60" t="s">
        <v>2163</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2358</v>
      </c>
      <c r="AR5" s="141" t="s">
        <v>2351</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2592</v>
      </c>
      <c r="B6" s="41" t="s">
        <v>2164</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2358</v>
      </c>
      <c r="AR6" s="141" t="s">
        <v>2351</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2592</v>
      </c>
      <c r="B7" s="41" t="s">
        <v>2165</v>
      </c>
      <c r="C7" s="42" t="s">
        <v>2129</v>
      </c>
      <c r="D7" s="43" t="s">
        <v>228</v>
      </c>
      <c r="E7" s="201">
        <v>646321077</v>
      </c>
      <c r="F7" s="43" t="s">
        <v>1780</v>
      </c>
      <c r="G7" s="43" t="s">
        <v>0</v>
      </c>
      <c r="H7" s="201" t="s">
        <v>0</v>
      </c>
      <c r="I7" s="43" t="s">
        <v>0</v>
      </c>
      <c r="J7" s="44">
        <v>45803</v>
      </c>
      <c r="K7" s="44">
        <v>45804</v>
      </c>
      <c r="L7" s="44">
        <v>45806</v>
      </c>
      <c r="M7" s="44"/>
      <c r="N7" s="127">
        <f>Q7+23+5+13+7+4+13+5</f>
        <v>46147</v>
      </c>
      <c r="O7" s="199" t="s">
        <v>2576</v>
      </c>
      <c r="P7" s="126" t="s">
        <v>2498</v>
      </c>
      <c r="Q7" s="45">
        <v>46077</v>
      </c>
      <c r="R7" s="45"/>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SI</v>
      </c>
      <c r="AQ7" s="141" t="s">
        <v>2358</v>
      </c>
      <c r="AR7" s="141" t="s">
        <v>2351</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2592</v>
      </c>
      <c r="B8" s="60" t="s">
        <v>2166</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2499</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2358</v>
      </c>
      <c r="AR8" s="141" t="s">
        <v>2351</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2592</v>
      </c>
      <c r="B9" s="60" t="s">
        <v>2167</v>
      </c>
      <c r="C9" s="61" t="s">
        <v>2129</v>
      </c>
      <c r="D9" s="43" t="s">
        <v>2101</v>
      </c>
      <c r="E9" s="201">
        <v>637492592</v>
      </c>
      <c r="F9" s="263" t="s">
        <v>2367</v>
      </c>
      <c r="G9" s="43" t="s">
        <v>1783</v>
      </c>
      <c r="H9" s="201">
        <v>662132045</v>
      </c>
      <c r="I9" s="43" t="s">
        <v>0</v>
      </c>
      <c r="J9" s="44">
        <v>45922</v>
      </c>
      <c r="K9" s="44">
        <v>45958</v>
      </c>
      <c r="L9" s="44">
        <v>46086</v>
      </c>
      <c r="M9" s="44"/>
      <c r="N9" s="127">
        <v>46157</v>
      </c>
      <c r="O9" s="128" t="s">
        <v>2103</v>
      </c>
      <c r="P9" s="126" t="s">
        <v>2499</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2358</v>
      </c>
      <c r="AR9" s="141" t="s">
        <v>2351</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2592</v>
      </c>
      <c r="B10" s="60" t="s">
        <v>2168</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2358</v>
      </c>
      <c r="AR10" s="141" t="s">
        <v>2351</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2592</v>
      </c>
      <c r="B11" s="60" t="s">
        <v>2169</v>
      </c>
      <c r="C11" s="208" t="s">
        <v>2129</v>
      </c>
      <c r="D11" s="58" t="s">
        <v>2142</v>
      </c>
      <c r="E11" s="202">
        <v>676059612</v>
      </c>
      <c r="F11" s="264" t="s">
        <v>1826</v>
      </c>
      <c r="G11" s="58" t="s">
        <v>0</v>
      </c>
      <c r="H11" s="202" t="s">
        <v>0</v>
      </c>
      <c r="I11" s="58" t="s">
        <v>0</v>
      </c>
      <c r="J11" s="59">
        <v>46105</v>
      </c>
      <c r="K11" s="59"/>
      <c r="L11" s="59"/>
      <c r="M11" s="59"/>
      <c r="N11" s="127">
        <v>46157</v>
      </c>
      <c r="O11" s="128" t="s">
        <v>2133</v>
      </c>
      <c r="P11" s="126" t="s">
        <v>2491</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2358</v>
      </c>
      <c r="AR11" s="141" t="s">
        <v>2351</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2593</v>
      </c>
      <c r="B12" s="60" t="s">
        <v>2172</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2491</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2358</v>
      </c>
      <c r="AR12" s="141" t="s">
        <v>2351</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2592</v>
      </c>
      <c r="B13" s="60" t="s">
        <v>2170</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2358</v>
      </c>
      <c r="AR13" s="141" t="s">
        <v>2351</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2594</v>
      </c>
      <c r="B14" s="60" t="s">
        <v>2171</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2358</v>
      </c>
      <c r="AR14" s="141" t="s">
        <v>2351</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2592</v>
      </c>
      <c r="B15" s="60" t="s">
        <v>2174</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2499</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2358</v>
      </c>
      <c r="AR15" s="141" t="s">
        <v>2351</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2592</v>
      </c>
      <c r="B16" s="60" t="s">
        <v>2173</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2358</v>
      </c>
      <c r="AR16" s="141" t="s">
        <v>2351</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2593</v>
      </c>
      <c r="B17" s="60" t="s">
        <v>2175</v>
      </c>
      <c r="C17" s="61" t="s">
        <v>1798</v>
      </c>
      <c r="D17" s="43" t="s">
        <v>1800</v>
      </c>
      <c r="E17" s="201">
        <v>655956504</v>
      </c>
      <c r="F17" s="263" t="s">
        <v>1799</v>
      </c>
      <c r="G17" s="43" t="s">
        <v>0</v>
      </c>
      <c r="H17" s="201" t="s">
        <v>0</v>
      </c>
      <c r="I17" s="43" t="s">
        <v>0</v>
      </c>
      <c r="J17" s="44">
        <v>46066</v>
      </c>
      <c r="K17" s="44"/>
      <c r="L17" s="44"/>
      <c r="M17" s="44"/>
      <c r="N17" s="127">
        <v>46157</v>
      </c>
      <c r="O17" s="128" t="s">
        <v>2134</v>
      </c>
      <c r="P17" s="126" t="s">
        <v>2491</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2358</v>
      </c>
      <c r="AR17" s="141" t="s">
        <v>2351</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2592</v>
      </c>
      <c r="B18" s="60" t="s">
        <v>2176</v>
      </c>
      <c r="C18" s="61" t="s">
        <v>1798</v>
      </c>
      <c r="D18" s="43" t="s">
        <v>1801</v>
      </c>
      <c r="E18" s="201">
        <v>625341839</v>
      </c>
      <c r="F18" s="263" t="s">
        <v>1802</v>
      </c>
      <c r="G18" s="43" t="s">
        <v>0</v>
      </c>
      <c r="H18" s="201" t="s">
        <v>0</v>
      </c>
      <c r="I18" s="43" t="s">
        <v>0</v>
      </c>
      <c r="J18" s="44">
        <v>46056</v>
      </c>
      <c r="K18" s="44"/>
      <c r="L18" s="44"/>
      <c r="M18" s="44"/>
      <c r="N18" s="127">
        <v>46157</v>
      </c>
      <c r="O18" s="128" t="s">
        <v>2135</v>
      </c>
      <c r="P18" s="126" t="s">
        <v>2491</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2358</v>
      </c>
      <c r="AR18" s="141" t="s">
        <v>2351</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2592</v>
      </c>
      <c r="B19" s="60" t="s">
        <v>2179</v>
      </c>
      <c r="C19" s="61" t="s">
        <v>2129</v>
      </c>
      <c r="D19" s="43" t="s">
        <v>1803</v>
      </c>
      <c r="E19" s="201">
        <v>954276868</v>
      </c>
      <c r="F19" s="263" t="s">
        <v>2366</v>
      </c>
      <c r="G19" s="43" t="s">
        <v>1804</v>
      </c>
      <c r="H19" s="201">
        <v>600636351</v>
      </c>
      <c r="I19" s="43" t="s">
        <v>0</v>
      </c>
      <c r="J19" s="44">
        <v>46087</v>
      </c>
      <c r="K19" s="44"/>
      <c r="L19" s="44"/>
      <c r="M19" s="44"/>
      <c r="N19" s="127"/>
      <c r="O19" s="128" t="s">
        <v>2406</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2358</v>
      </c>
      <c r="AR19" s="141" t="s">
        <v>2351</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2592</v>
      </c>
      <c r="B20" s="60" t="s">
        <v>2177</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2358</v>
      </c>
      <c r="AR20" s="141" t="s">
        <v>2351</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2592</v>
      </c>
      <c r="B21" s="60" t="s">
        <v>2178</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2358</v>
      </c>
      <c r="AR21" s="141" t="s">
        <v>2351</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2592</v>
      </c>
      <c r="B22" s="60" t="s">
        <v>2180</v>
      </c>
      <c r="C22" s="61" t="s">
        <v>2129</v>
      </c>
      <c r="D22" s="43" t="s">
        <v>1807</v>
      </c>
      <c r="E22" s="201">
        <v>658774143</v>
      </c>
      <c r="F22" s="61" t="s">
        <v>0</v>
      </c>
      <c r="G22" s="203" t="s">
        <v>2156</v>
      </c>
      <c r="H22" s="203" t="s">
        <v>0</v>
      </c>
      <c r="I22" s="122" t="s">
        <v>0</v>
      </c>
      <c r="J22" s="136">
        <v>45980</v>
      </c>
      <c r="K22" s="136"/>
      <c r="L22" s="136"/>
      <c r="M22" s="136"/>
      <c r="N22" s="127">
        <v>46157</v>
      </c>
      <c r="O22" s="128" t="s">
        <v>2492</v>
      </c>
      <c r="P22" s="126" t="s">
        <v>2491</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2358</v>
      </c>
      <c r="AR22" s="141" t="s">
        <v>2351</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2592</v>
      </c>
      <c r="B23" s="60" t="s">
        <v>2181</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2491</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2358</v>
      </c>
      <c r="AR23" s="141" t="s">
        <v>2351</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2592</v>
      </c>
      <c r="B24" s="41" t="s">
        <v>2182</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2358</v>
      </c>
      <c r="AR24" s="141" t="s">
        <v>2351</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2592</v>
      </c>
      <c r="B25" s="60" t="s">
        <v>2183</v>
      </c>
      <c r="C25" s="61" t="s">
        <v>2129</v>
      </c>
      <c r="D25" s="43" t="s">
        <v>2413</v>
      </c>
      <c r="E25" s="201">
        <v>600035101</v>
      </c>
      <c r="F25" s="364" t="s">
        <v>1814</v>
      </c>
      <c r="G25" s="43" t="s">
        <v>0</v>
      </c>
      <c r="H25" s="201" t="s">
        <v>0</v>
      </c>
      <c r="I25" s="43" t="s">
        <v>0</v>
      </c>
      <c r="J25" s="44">
        <v>46073</v>
      </c>
      <c r="K25" s="44">
        <v>46127</v>
      </c>
      <c r="L25" s="44">
        <v>46141</v>
      </c>
      <c r="M25" s="44"/>
      <c r="N25" s="127">
        <v>46172</v>
      </c>
      <c r="O25" s="128" t="s">
        <v>2571</v>
      </c>
      <c r="P25" s="126" t="s">
        <v>2499</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2358</v>
      </c>
      <c r="AR25" s="141" t="s">
        <v>2351</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2595</v>
      </c>
      <c r="B26" s="60" t="s">
        <v>2184</v>
      </c>
      <c r="C26" s="61" t="s">
        <v>2129</v>
      </c>
      <c r="D26" s="43" t="s">
        <v>1866</v>
      </c>
      <c r="E26" s="201">
        <v>661592498</v>
      </c>
      <c r="F26" s="263" t="s">
        <v>1867</v>
      </c>
      <c r="G26" s="43" t="s">
        <v>2446</v>
      </c>
      <c r="H26" s="201">
        <v>954641272</v>
      </c>
      <c r="I26" s="263" t="s">
        <v>2447</v>
      </c>
      <c r="J26" s="136">
        <v>46122</v>
      </c>
      <c r="K26" s="136"/>
      <c r="L26" s="136"/>
      <c r="M26" s="136"/>
      <c r="N26" s="127"/>
      <c r="O26" s="128" t="s">
        <v>2405</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2358</v>
      </c>
      <c r="AR26" s="141" t="s">
        <v>2351</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2594</v>
      </c>
      <c r="B27" s="60" t="s">
        <v>2188</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2499</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2358</v>
      </c>
      <c r="AR27" s="141" t="s">
        <v>2351</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2592</v>
      </c>
      <c r="B28" s="60" t="s">
        <v>2189</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2499</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2358</v>
      </c>
      <c r="AR28" s="141" t="s">
        <v>2351</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2592</v>
      </c>
      <c r="B29" s="60" t="s">
        <v>2185</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2358</v>
      </c>
      <c r="AR29" s="141" t="s">
        <v>2351</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2592</v>
      </c>
      <c r="B30" s="64" t="s">
        <v>2186</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2358</v>
      </c>
      <c r="AR30" s="142" t="s">
        <v>2351</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2592</v>
      </c>
      <c r="B31" s="64" t="s">
        <v>2187</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2358</v>
      </c>
      <c r="AR31" s="142" t="s">
        <v>2351</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2592</v>
      </c>
      <c r="B32" s="64" t="s">
        <v>2190</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2499</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2358</v>
      </c>
      <c r="AR32" s="142" t="s">
        <v>2351</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2592</v>
      </c>
      <c r="B33" s="75" t="s">
        <v>2191</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2157</v>
      </c>
      <c r="P33" s="129" t="s">
        <v>2505</v>
      </c>
      <c r="Q33" s="65">
        <v>46032</v>
      </c>
      <c r="R33" s="65">
        <v>46097</v>
      </c>
      <c r="S33" s="65">
        <v>46128</v>
      </c>
      <c r="T33" s="65"/>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2358</v>
      </c>
      <c r="AR33" s="142" t="s">
        <v>2351</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2594</v>
      </c>
      <c r="B34" s="64" t="s">
        <v>2193</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2499</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2358</v>
      </c>
      <c r="AR34" s="142" t="s">
        <v>2351</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2594</v>
      </c>
      <c r="B35" s="75" t="s">
        <v>2194</v>
      </c>
      <c r="C35" s="42" t="s">
        <v>2129</v>
      </c>
      <c r="D35" s="43" t="s">
        <v>241</v>
      </c>
      <c r="E35" s="201">
        <v>637377199</v>
      </c>
      <c r="F35" s="43" t="s">
        <v>1839</v>
      </c>
      <c r="G35" s="43" t="s">
        <v>1840</v>
      </c>
      <c r="H35" s="201" t="s">
        <v>0</v>
      </c>
      <c r="I35" s="43" t="s">
        <v>0</v>
      </c>
      <c r="J35" s="44">
        <v>45790</v>
      </c>
      <c r="K35" s="44">
        <v>45812</v>
      </c>
      <c r="L35" s="44">
        <v>45819</v>
      </c>
      <c r="M35" s="44"/>
      <c r="N35" s="127">
        <v>46129</v>
      </c>
      <c r="O35" s="199" t="s">
        <v>2438</v>
      </c>
      <c r="P35" s="129" t="s">
        <v>2502</v>
      </c>
      <c r="Q35" s="65">
        <v>45946</v>
      </c>
      <c r="R35" s="65">
        <v>46024</v>
      </c>
      <c r="S35" s="65">
        <v>46056</v>
      </c>
      <c r="T35" s="65">
        <v>46083</v>
      </c>
      <c r="U35" s="65"/>
      <c r="V35" s="46" t="str">
        <f t="shared" ca="1" si="0"/>
        <v>OK</v>
      </c>
      <c r="W35" s="47">
        <f t="shared" ca="1" si="1"/>
        <v>0.5</v>
      </c>
      <c r="X35" s="47" t="str">
        <f t="shared" ca="1" si="8"/>
        <v>PENDIENTE -JUSTIFICANTE PAGO</v>
      </c>
      <c r="Y35" s="47">
        <f t="shared" ca="1" si="2"/>
        <v>0.91666666666666663</v>
      </c>
      <c r="Z35" s="227"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2358</v>
      </c>
      <c r="AR35" s="142" t="s">
        <v>2351</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2593</v>
      </c>
      <c r="B36" s="64" t="s">
        <v>2192</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2358</v>
      </c>
      <c r="AR36" s="142" t="s">
        <v>2351</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2592</v>
      </c>
      <c r="B37" s="64" t="s">
        <v>2195</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2491</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2358</v>
      </c>
      <c r="AR37" s="142" t="s">
        <v>2351</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2592</v>
      </c>
      <c r="B38" s="64" t="s">
        <v>2196</v>
      </c>
      <c r="C38" s="61" t="s">
        <v>2129</v>
      </c>
      <c r="D38" s="43" t="s">
        <v>1803</v>
      </c>
      <c r="E38" s="201">
        <v>954276868</v>
      </c>
      <c r="F38" s="263" t="s">
        <v>2366</v>
      </c>
      <c r="G38" s="43" t="s">
        <v>1845</v>
      </c>
      <c r="H38" s="201">
        <v>687313399</v>
      </c>
      <c r="I38" s="43" t="s">
        <v>0</v>
      </c>
      <c r="J38" s="44">
        <v>46008</v>
      </c>
      <c r="K38" s="44"/>
      <c r="L38" s="44"/>
      <c r="M38" s="44"/>
      <c r="N38" s="127"/>
      <c r="O38" s="199" t="s">
        <v>2485</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2358</v>
      </c>
      <c r="AR38" s="142" t="s">
        <v>2351</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2594</v>
      </c>
      <c r="B39" s="64" t="s">
        <v>2197</v>
      </c>
      <c r="C39" s="61" t="s">
        <v>1798</v>
      </c>
      <c r="D39" s="43" t="s">
        <v>1846</v>
      </c>
      <c r="E39" s="201">
        <v>651758719</v>
      </c>
      <c r="F39" s="263" t="s">
        <v>1847</v>
      </c>
      <c r="G39" s="43" t="s">
        <v>0</v>
      </c>
      <c r="H39" s="201" t="s">
        <v>0</v>
      </c>
      <c r="I39" s="43" t="s">
        <v>0</v>
      </c>
      <c r="J39" s="44">
        <v>46034</v>
      </c>
      <c r="K39" s="44"/>
      <c r="L39" s="44"/>
      <c r="M39" s="44"/>
      <c r="N39" s="127">
        <v>46157</v>
      </c>
      <c r="O39" s="128" t="s">
        <v>2130</v>
      </c>
      <c r="P39" s="129" t="s">
        <v>2491</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2358</v>
      </c>
      <c r="AR39" s="142" t="s">
        <v>2351</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2592</v>
      </c>
      <c r="B40" s="64" t="s">
        <v>2199</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2491</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2358</v>
      </c>
      <c r="AR40" s="142" t="s">
        <v>2351</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2592</v>
      </c>
      <c r="B41" s="64" t="s">
        <v>2200</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2491</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2358</v>
      </c>
      <c r="AR41" s="142" t="s">
        <v>2351</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2592</v>
      </c>
      <c r="B42" s="64" t="s">
        <v>2198</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2358</v>
      </c>
      <c r="AR42" s="142" t="s">
        <v>2351</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2594</v>
      </c>
      <c r="B43" s="64" t="s">
        <v>2201</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2499</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2358</v>
      </c>
      <c r="AR43" s="142" t="s">
        <v>2351</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2592</v>
      </c>
      <c r="B44" s="75" t="s">
        <v>2202</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2392</v>
      </c>
      <c r="P44" s="129" t="s">
        <v>2498</v>
      </c>
      <c r="Q44" s="65">
        <v>46062</v>
      </c>
      <c r="R44" s="65"/>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2358</v>
      </c>
      <c r="AR44" s="142" t="s">
        <v>2351</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2592</v>
      </c>
      <c r="B45" s="75" t="s">
        <v>2203</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2498</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2358</v>
      </c>
      <c r="AR45" s="142" t="s">
        <v>2351</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2592</v>
      </c>
      <c r="B46" s="75" t="s">
        <v>2207</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2385</v>
      </c>
      <c r="P46" s="129" t="s">
        <v>2498</v>
      </c>
      <c r="Q46" s="65">
        <v>46093</v>
      </c>
      <c r="R46" s="65"/>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2358</v>
      </c>
      <c r="AR46" s="142" t="s">
        <v>2351</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2592</v>
      </c>
      <c r="B47" s="75" t="s">
        <v>2208</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2498</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2358</v>
      </c>
      <c r="AR47" s="142" t="s">
        <v>2351</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2594</v>
      </c>
      <c r="B48" s="64" t="s">
        <v>2204</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2358</v>
      </c>
      <c r="AR48" s="142" t="s">
        <v>2351</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2594</v>
      </c>
      <c r="B49" s="64" t="s">
        <v>2205</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2358</v>
      </c>
      <c r="AR49" s="142" t="s">
        <v>2351</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2594</v>
      </c>
      <c r="B50" s="64" t="s">
        <v>2206</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2358</v>
      </c>
      <c r="AR50" s="142" t="s">
        <v>2351</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2594</v>
      </c>
      <c r="B51" s="75" t="s">
        <v>2210</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2358</v>
      </c>
      <c r="AR51" s="142" t="s">
        <v>2351</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2596</v>
      </c>
      <c r="B52" s="64" t="s">
        <v>2212</v>
      </c>
      <c r="C52" s="61" t="s">
        <v>2129</v>
      </c>
      <c r="D52" s="43" t="s">
        <v>1868</v>
      </c>
      <c r="E52" s="201">
        <v>955676454</v>
      </c>
      <c r="F52" s="43" t="s">
        <v>1869</v>
      </c>
      <c r="G52" s="122" t="s">
        <v>0</v>
      </c>
      <c r="H52" s="201" t="s">
        <v>0</v>
      </c>
      <c r="I52" s="43" t="s">
        <v>0</v>
      </c>
      <c r="J52" s="44">
        <v>45980</v>
      </c>
      <c r="K52" s="44"/>
      <c r="L52" s="44"/>
      <c r="M52" s="44"/>
      <c r="N52" s="127">
        <v>46157</v>
      </c>
      <c r="O52" s="128" t="s">
        <v>2133</v>
      </c>
      <c r="P52" s="129" t="s">
        <v>2491</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2358</v>
      </c>
      <c r="AR52" s="142" t="s">
        <v>2351</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2592</v>
      </c>
      <c r="B53" s="64" t="s">
        <v>2209</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2358</v>
      </c>
      <c r="AR53" s="142" t="s">
        <v>2351</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2592</v>
      </c>
      <c r="B54" s="64" t="s">
        <v>2368</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2358</v>
      </c>
      <c r="AR54" s="142" t="s">
        <v>2351</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2592</v>
      </c>
      <c r="B55" s="75" t="s">
        <v>2213</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2450</v>
      </c>
      <c r="P55" s="129" t="s">
        <v>2506</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2358</v>
      </c>
      <c r="AR55" s="142" t="s">
        <v>2351</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2592</v>
      </c>
      <c r="B56" s="64" t="s">
        <v>2211</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2358</v>
      </c>
      <c r="AR56" s="142" t="s">
        <v>2351</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2592</v>
      </c>
      <c r="B57" s="64" t="s">
        <v>2216</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2499</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2358</v>
      </c>
      <c r="AR57" s="142" t="s">
        <v>2351</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2592</v>
      </c>
      <c r="B58" s="75" t="s">
        <v>2217</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2505</v>
      </c>
      <c r="Q58" s="65">
        <v>46366</v>
      </c>
      <c r="R58" s="65">
        <v>46072</v>
      </c>
      <c r="S58" s="65">
        <v>46091</v>
      </c>
      <c r="T58" s="65"/>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2358</v>
      </c>
      <c r="AR58" s="142" t="s">
        <v>2351</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2592</v>
      </c>
      <c r="B59" s="64" t="s">
        <v>2214</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2358</v>
      </c>
      <c r="AR59" s="142" t="s">
        <v>2351</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2592</v>
      </c>
      <c r="B60" s="64" t="s">
        <v>2215</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2358</v>
      </c>
      <c r="AR60" s="142" t="s">
        <v>2351</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2597</v>
      </c>
      <c r="B61" s="75" t="s">
        <v>2218</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2358</v>
      </c>
      <c r="AR61" s="142" t="s">
        <v>2351</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2597</v>
      </c>
      <c r="B62" s="64" t="s">
        <v>2220</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2491</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2358</v>
      </c>
      <c r="AR62" s="142" t="s">
        <v>2351</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2594</v>
      </c>
      <c r="B63" s="64" t="s">
        <v>2221</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2499</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2358</v>
      </c>
      <c r="AR63" s="142" t="s">
        <v>2351</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2594</v>
      </c>
      <c r="B64" s="64" t="s">
        <v>2219</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2358</v>
      </c>
      <c r="AR64" s="142" t="s">
        <v>2351</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2594</v>
      </c>
      <c r="B65" s="64" t="s">
        <v>2222</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2499</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2358</v>
      </c>
      <c r="AR65" s="142" t="s">
        <v>2351</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2594</v>
      </c>
      <c r="B66" s="64" t="s">
        <v>2225</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2499</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2358</v>
      </c>
      <c r="AR66" s="142" t="s">
        <v>2351</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2598</v>
      </c>
      <c r="B67" s="64" t="s">
        <v>2226</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2499</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2358</v>
      </c>
      <c r="AR67" s="142" t="s">
        <v>2351</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2592</v>
      </c>
      <c r="B68" s="64" t="s">
        <v>2223</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2358</v>
      </c>
      <c r="AR68" s="142" t="s">
        <v>2351</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2592</v>
      </c>
      <c r="B69" s="64" t="s">
        <v>2224</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2358</v>
      </c>
      <c r="AR69" s="142" t="s">
        <v>2351</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2592</v>
      </c>
      <c r="B70" s="64" t="s">
        <v>2228</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2491</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2358</v>
      </c>
      <c r="AR70" s="142" t="s">
        <v>2351</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2592</v>
      </c>
      <c r="B71" s="64" t="s">
        <v>2231</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2491</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2358</v>
      </c>
      <c r="AR71" s="142" t="s">
        <v>2351</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2592</v>
      </c>
      <c r="B72" s="64" t="s">
        <v>2227</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2358</v>
      </c>
      <c r="AR72" s="142" t="s">
        <v>2351</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2592</v>
      </c>
      <c r="B73" s="64" t="s">
        <v>2234</v>
      </c>
      <c r="C73" s="61" t="s">
        <v>2129</v>
      </c>
      <c r="D73" s="43" t="s">
        <v>2112</v>
      </c>
      <c r="E73" s="201">
        <v>954283221</v>
      </c>
      <c r="F73" s="263" t="s">
        <v>1928</v>
      </c>
      <c r="G73" s="43" t="s">
        <v>2154</v>
      </c>
      <c r="H73" s="201">
        <v>610271473</v>
      </c>
      <c r="I73" s="122" t="s">
        <v>0</v>
      </c>
      <c r="J73" s="136">
        <v>46121</v>
      </c>
      <c r="K73" s="136"/>
      <c r="L73" s="136"/>
      <c r="M73" s="136"/>
      <c r="N73" s="127"/>
      <c r="O73" s="128" t="s">
        <v>2399</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2358</v>
      </c>
      <c r="AR73" s="142" t="s">
        <v>2351</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2592</v>
      </c>
      <c r="B74" s="64" t="s">
        <v>2235</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2499</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2358</v>
      </c>
      <c r="AR74" s="142" t="s">
        <v>2351</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2599</v>
      </c>
      <c r="B75" s="64" t="s">
        <v>2229</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2358</v>
      </c>
      <c r="AR75" s="142" t="s">
        <v>2351</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2592</v>
      </c>
      <c r="B76" s="64" t="s">
        <v>2236</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2491</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2358</v>
      </c>
      <c r="AR76" s="142" t="s">
        <v>2351</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2592</v>
      </c>
      <c r="B77" s="64" t="s">
        <v>2238</v>
      </c>
      <c r="C77" s="61" t="s">
        <v>2129</v>
      </c>
      <c r="D77" s="43" t="s">
        <v>1288</v>
      </c>
      <c r="E77" s="203">
        <v>954440400</v>
      </c>
      <c r="F77" s="263" t="s">
        <v>1872</v>
      </c>
      <c r="G77" s="61" t="s">
        <v>2147</v>
      </c>
      <c r="H77" s="201">
        <v>691310364</v>
      </c>
      <c r="I77" s="265" t="s">
        <v>2148</v>
      </c>
      <c r="J77" s="136">
        <v>46120</v>
      </c>
      <c r="K77" s="134"/>
      <c r="L77" s="136"/>
      <c r="M77" s="136"/>
      <c r="N77" s="127"/>
      <c r="O77" s="128" t="s">
        <v>2401</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2358</v>
      </c>
      <c r="AR77" s="142" t="s">
        <v>2351</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2600</v>
      </c>
      <c r="B78" s="64" t="s">
        <v>2230</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2358</v>
      </c>
      <c r="AR78" s="142" t="s">
        <v>2351</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2592</v>
      </c>
      <c r="B79" s="64" t="s">
        <v>2411</v>
      </c>
      <c r="C79" s="61" t="s">
        <v>2129</v>
      </c>
      <c r="D79" s="122" t="s">
        <v>2412</v>
      </c>
      <c r="E79" s="201">
        <v>631282498</v>
      </c>
      <c r="F79" s="122" t="s">
        <v>0</v>
      </c>
      <c r="G79" s="203" t="s">
        <v>2156</v>
      </c>
      <c r="H79" s="203" t="s">
        <v>0</v>
      </c>
      <c r="I79" s="122" t="s">
        <v>0</v>
      </c>
      <c r="J79" s="136">
        <v>46069</v>
      </c>
      <c r="K79" s="134">
        <v>46127</v>
      </c>
      <c r="L79" s="136">
        <v>46141</v>
      </c>
      <c r="M79" s="136"/>
      <c r="N79" s="127"/>
      <c r="O79" s="128"/>
      <c r="P79" s="129" t="s">
        <v>2499</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2358</v>
      </c>
      <c r="AR79" s="142" t="s">
        <v>2351</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2601</v>
      </c>
      <c r="B80" s="75" t="s">
        <v>2239</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2358</v>
      </c>
      <c r="AR80" s="142" t="s">
        <v>2351</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2592</v>
      </c>
      <c r="B81" s="64" t="s">
        <v>2232</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2358</v>
      </c>
      <c r="AR81" s="142" t="s">
        <v>2351</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2592</v>
      </c>
      <c r="B82" s="64" t="s">
        <v>2233</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2358</v>
      </c>
      <c r="AR82" s="142" t="s">
        <v>2351</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2592</v>
      </c>
      <c r="B83" s="75" t="s">
        <v>2241</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2358</v>
      </c>
      <c r="AR83" s="142" t="s">
        <v>2351</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2592</v>
      </c>
      <c r="B84" s="64" t="s">
        <v>2243</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2491</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2358</v>
      </c>
      <c r="AR84" s="142" t="s">
        <v>2351</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2592</v>
      </c>
      <c r="B85" s="75" t="s">
        <v>2244</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2358</v>
      </c>
      <c r="AR85" s="142" t="s">
        <v>2351</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2592</v>
      </c>
      <c r="B86" s="64" t="s">
        <v>2237</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2358</v>
      </c>
      <c r="AR86" s="142" t="s">
        <v>2351</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2592</v>
      </c>
      <c r="B87" s="64" t="s">
        <v>2246</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2499</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2358</v>
      </c>
      <c r="AR87" s="142" t="s">
        <v>2351</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2592</v>
      </c>
      <c r="B88" s="64" t="s">
        <v>2247</v>
      </c>
      <c r="C88" s="61" t="s">
        <v>1798</v>
      </c>
      <c r="D88" s="43" t="s">
        <v>1924</v>
      </c>
      <c r="E88" s="203" t="s">
        <v>0</v>
      </c>
      <c r="F88" s="263" t="s">
        <v>1925</v>
      </c>
      <c r="G88" s="203" t="s">
        <v>2156</v>
      </c>
      <c r="H88" s="203" t="s">
        <v>0</v>
      </c>
      <c r="I88" s="122" t="s">
        <v>0</v>
      </c>
      <c r="J88" s="44">
        <v>46086</v>
      </c>
      <c r="K88" s="44"/>
      <c r="L88" s="44"/>
      <c r="M88" s="44"/>
      <c r="N88" s="127">
        <v>46157</v>
      </c>
      <c r="O88" s="128" t="s">
        <v>2124</v>
      </c>
      <c r="P88" s="126" t="s">
        <v>2491</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2358</v>
      </c>
      <c r="AR88" s="142" t="s">
        <v>2351</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2592</v>
      </c>
      <c r="B89" s="64" t="s">
        <v>2240</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2358</v>
      </c>
      <c r="AR89" s="142" t="s">
        <v>2351</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2592</v>
      </c>
      <c r="B90" s="64" t="s">
        <v>2248</v>
      </c>
      <c r="C90" s="61" t="s">
        <v>2129</v>
      </c>
      <c r="D90" s="43" t="s">
        <v>2146</v>
      </c>
      <c r="E90" s="201">
        <v>605472196</v>
      </c>
      <c r="F90" s="263" t="s">
        <v>2060</v>
      </c>
      <c r="G90" s="122" t="s">
        <v>0</v>
      </c>
      <c r="H90" s="203" t="s">
        <v>0</v>
      </c>
      <c r="I90" s="122" t="s">
        <v>0</v>
      </c>
      <c r="J90" s="44">
        <v>46104</v>
      </c>
      <c r="K90" s="44"/>
      <c r="L90" s="44"/>
      <c r="M90" s="44"/>
      <c r="N90" s="127"/>
      <c r="O90" s="128" t="s">
        <v>2408</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2358</v>
      </c>
      <c r="AR90" s="142" t="s">
        <v>2351</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2592</v>
      </c>
      <c r="B91" s="64" t="s">
        <v>2249</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2499</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2358</v>
      </c>
      <c r="AR91" s="142" t="s">
        <v>2351</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2592</v>
      </c>
      <c r="B92" s="64" t="s">
        <v>2242</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2358</v>
      </c>
      <c r="AR92" s="142" t="s">
        <v>2351</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2592</v>
      </c>
      <c r="B93" s="64" t="s">
        <v>2252</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2499</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2358</v>
      </c>
      <c r="AR93" s="142" t="s">
        <v>2351</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2592</v>
      </c>
      <c r="B94" s="64" t="s">
        <v>2253</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2491</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2358</v>
      </c>
      <c r="AR94" s="142" t="s">
        <v>2351</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2594</v>
      </c>
      <c r="B95" s="64" t="s">
        <v>2403</v>
      </c>
      <c r="C95" s="61" t="s">
        <v>2129</v>
      </c>
      <c r="D95" s="43" t="s">
        <v>2075</v>
      </c>
      <c r="E95" s="201">
        <v>606845436</v>
      </c>
      <c r="F95" s="263" t="s">
        <v>2076</v>
      </c>
      <c r="G95" s="203" t="s">
        <v>2156</v>
      </c>
      <c r="H95" s="203" t="s">
        <v>0</v>
      </c>
      <c r="I95" s="122" t="s">
        <v>0</v>
      </c>
      <c r="J95" s="44">
        <v>46084</v>
      </c>
      <c r="K95" s="44"/>
      <c r="L95" s="44"/>
      <c r="M95" s="44"/>
      <c r="N95" s="127"/>
      <c r="O95" s="128" t="s">
        <v>2407</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2358</v>
      </c>
      <c r="AR95" s="142" t="s">
        <v>2351</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2592</v>
      </c>
      <c r="B96" s="64" t="s">
        <v>2245</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2358</v>
      </c>
      <c r="AR96" s="142" t="s">
        <v>2351</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2592</v>
      </c>
      <c r="B97" s="64" t="s">
        <v>2254</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2499</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2358</v>
      </c>
      <c r="AR97" s="142" t="s">
        <v>2351</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2592</v>
      </c>
      <c r="B98" s="75" t="s">
        <v>2255</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2386</v>
      </c>
      <c r="P98" s="126" t="s">
        <v>2502</v>
      </c>
      <c r="Q98" s="65">
        <v>46073</v>
      </c>
      <c r="R98" s="65">
        <v>46070</v>
      </c>
      <c r="S98" s="65">
        <v>46101</v>
      </c>
      <c r="T98" s="65">
        <v>46125</v>
      </c>
      <c r="U98" s="65"/>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2358</v>
      </c>
      <c r="AR98" s="142" t="s">
        <v>2351</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2592</v>
      </c>
      <c r="B99" s="64" t="s">
        <v>2256</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2499</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2358</v>
      </c>
      <c r="AR99" s="142" t="s">
        <v>2351</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2592</v>
      </c>
      <c r="B100" s="64" t="s">
        <v>2258</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2499</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2358</v>
      </c>
      <c r="AR100" s="142" t="s">
        <v>2351</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2592</v>
      </c>
      <c r="B101" s="64" t="s">
        <v>2250</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2358</v>
      </c>
      <c r="AR101" s="142" t="s">
        <v>2351</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2592</v>
      </c>
      <c r="B102" s="64" t="s">
        <v>2251</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2358</v>
      </c>
      <c r="AR102" s="142" t="s">
        <v>2351</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2592</v>
      </c>
      <c r="B103" s="64" t="s">
        <v>2261</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2491</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2358</v>
      </c>
      <c r="AR103" s="142" t="s">
        <v>2351</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2592</v>
      </c>
      <c r="B104" s="75" t="s">
        <v>2262</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2358</v>
      </c>
      <c r="AR104" s="142" t="s">
        <v>2351</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2592</v>
      </c>
      <c r="B105" s="64" t="s">
        <v>2263</v>
      </c>
      <c r="C105" s="61" t="s">
        <v>2129</v>
      </c>
      <c r="D105" s="43" t="s">
        <v>2101</v>
      </c>
      <c r="E105" s="201">
        <v>637492592</v>
      </c>
      <c r="F105" s="263" t="s">
        <v>2367</v>
      </c>
      <c r="G105" s="43" t="s">
        <v>1948</v>
      </c>
      <c r="H105" s="201">
        <v>653831491</v>
      </c>
      <c r="I105" s="43" t="s">
        <v>0</v>
      </c>
      <c r="J105" s="44">
        <v>45929</v>
      </c>
      <c r="K105" s="44"/>
      <c r="L105" s="44"/>
      <c r="M105" s="44"/>
      <c r="N105" s="127">
        <v>46157</v>
      </c>
      <c r="O105" s="128" t="s">
        <v>2133</v>
      </c>
      <c r="P105" s="129" t="s">
        <v>2491</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2358</v>
      </c>
      <c r="AR105" s="142" t="s">
        <v>2351</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2592</v>
      </c>
      <c r="B106" s="64" t="s">
        <v>2265</v>
      </c>
      <c r="C106" s="61" t="s">
        <v>2129</v>
      </c>
      <c r="D106" s="43" t="s">
        <v>1949</v>
      </c>
      <c r="E106" s="201">
        <v>619842488</v>
      </c>
      <c r="F106" s="61" t="s">
        <v>0</v>
      </c>
      <c r="G106" s="203" t="s">
        <v>2156</v>
      </c>
      <c r="H106" s="203" t="s">
        <v>0</v>
      </c>
      <c r="I106" s="122" t="s">
        <v>0</v>
      </c>
      <c r="J106" s="136">
        <v>45980</v>
      </c>
      <c r="K106" s="136"/>
      <c r="L106" s="136"/>
      <c r="M106" s="136"/>
      <c r="N106" s="127">
        <v>46157</v>
      </c>
      <c r="O106" s="128" t="s">
        <v>2492</v>
      </c>
      <c r="P106" s="126" t="s">
        <v>2491</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2358</v>
      </c>
      <c r="AR106" s="142" t="s">
        <v>2351</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2592</v>
      </c>
      <c r="B107" s="64" t="s">
        <v>2267</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2491</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2358</v>
      </c>
      <c r="AR107" s="142" t="s">
        <v>2351</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2592</v>
      </c>
      <c r="B108" s="64" t="s">
        <v>2257</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2358</v>
      </c>
      <c r="AR108" s="142" t="s">
        <v>2351</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2592</v>
      </c>
      <c r="B109" s="64" t="s">
        <v>2268</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2499</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2358</v>
      </c>
      <c r="AR109" s="142" t="s">
        <v>2351</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2592</v>
      </c>
      <c r="B110" s="64" t="s">
        <v>2259</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2358</v>
      </c>
      <c r="AR110" s="142" t="s">
        <v>2351</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2597</v>
      </c>
      <c r="B111" s="64" t="s">
        <v>2260</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2358</v>
      </c>
      <c r="AR111" s="142" t="s">
        <v>2351</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2597</v>
      </c>
      <c r="B112" s="75" t="s">
        <v>2269</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2505</v>
      </c>
      <c r="Q112" s="65">
        <v>45957</v>
      </c>
      <c r="R112" s="65">
        <v>46076</v>
      </c>
      <c r="S112" s="65">
        <v>46090</v>
      </c>
      <c r="T112" s="65"/>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2358</v>
      </c>
      <c r="AR112" s="142" t="s">
        <v>2351</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2602</v>
      </c>
      <c r="B113" s="64" t="s">
        <v>2270</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2491</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2358</v>
      </c>
      <c r="AR113" s="142" t="s">
        <v>2351</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2592</v>
      </c>
      <c r="B114" s="75" t="s">
        <v>2271</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2457</v>
      </c>
      <c r="P114" s="129" t="s">
        <v>2502</v>
      </c>
      <c r="Q114" s="65">
        <v>45978</v>
      </c>
      <c r="R114" s="65">
        <v>46086</v>
      </c>
      <c r="S114" s="65">
        <v>46099</v>
      </c>
      <c r="T114" s="65">
        <v>46127</v>
      </c>
      <c r="U114" s="65"/>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2358</v>
      </c>
      <c r="AR114" s="142" t="s">
        <v>2351</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2592</v>
      </c>
      <c r="B115" s="64" t="s">
        <v>2272</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2499</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2358</v>
      </c>
      <c r="AR115" s="142" t="s">
        <v>2351</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2592</v>
      </c>
      <c r="B116" s="64" t="s">
        <v>2264</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2358</v>
      </c>
      <c r="AR116" s="142" t="s">
        <v>2351</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2592</v>
      </c>
      <c r="B117" s="75" t="s">
        <v>2273</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2506</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2358</v>
      </c>
      <c r="AR117" s="142" t="s">
        <v>2351</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2592</v>
      </c>
      <c r="B118" s="64" t="s">
        <v>2266</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2358</v>
      </c>
      <c r="AR118" s="142" t="s">
        <v>2351</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2592</v>
      </c>
      <c r="B119" s="64" t="s">
        <v>2274</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2491</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2358</v>
      </c>
      <c r="AR119" s="142" t="s">
        <v>2351</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2592</v>
      </c>
      <c r="B120" s="64" t="s">
        <v>2276</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2462</v>
      </c>
      <c r="P120" s="126" t="s">
        <v>2499</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2358</v>
      </c>
      <c r="AR120" s="142" t="s">
        <v>2351</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2592</v>
      </c>
      <c r="B121" s="64" t="s">
        <v>2277</v>
      </c>
      <c r="C121" s="61" t="s">
        <v>2129</v>
      </c>
      <c r="D121" s="43" t="s">
        <v>1910</v>
      </c>
      <c r="E121" s="201">
        <v>744615257</v>
      </c>
      <c r="F121" s="263" t="s">
        <v>1974</v>
      </c>
      <c r="G121" s="43" t="s">
        <v>1933</v>
      </c>
      <c r="H121" s="201">
        <v>669484749</v>
      </c>
      <c r="I121" s="43" t="s">
        <v>0</v>
      </c>
      <c r="J121" s="44">
        <v>45992</v>
      </c>
      <c r="K121" s="44"/>
      <c r="L121" s="44"/>
      <c r="M121" s="44"/>
      <c r="N121" s="127"/>
      <c r="O121" s="128" t="s">
        <v>2409</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2358</v>
      </c>
      <c r="AR121" s="142" t="s">
        <v>2351</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2592</v>
      </c>
      <c r="B122" s="75" t="s">
        <v>2278</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2358</v>
      </c>
      <c r="AR122" s="142" t="s">
        <v>2351</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2592</v>
      </c>
      <c r="B123" s="75" t="s">
        <v>2281</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2574</v>
      </c>
      <c r="P123" s="126" t="s">
        <v>2497</v>
      </c>
      <c r="Q123" s="65">
        <v>46048</v>
      </c>
      <c r="R123" s="65">
        <v>46147</v>
      </c>
      <c r="S123" s="65"/>
      <c r="T123" s="65"/>
      <c r="U123" s="65"/>
      <c r="V123" s="46" t="str">
        <f t="shared" ca="1" si="14"/>
        <v>OK</v>
      </c>
      <c r="W123" s="47">
        <f t="shared" ca="1" si="15"/>
        <v>1</v>
      </c>
      <c r="X123" s="47" t="str">
        <f t="shared" ca="1" si="22"/>
        <v>COMPLETO</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SI</v>
      </c>
      <c r="AQ123" s="142" t="s">
        <v>2358</v>
      </c>
      <c r="AR123" s="142" t="s">
        <v>2351</v>
      </c>
      <c r="AS123" s="57" t="str">
        <f t="shared" si="17"/>
        <v>06</v>
      </c>
      <c r="AT123" s="141" t="str">
        <f t="shared" si="18"/>
        <v>PLAN CINCO CCPP C Mijares 3 - Recepción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Con fecha de hoy 05/05/2026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v>
      </c>
      <c r="AX123" s="141" t="s">
        <v>1410</v>
      </c>
      <c r="AY123" s="142"/>
    </row>
    <row r="124" spans="1:51" s="262" customFormat="1" x14ac:dyDescent="0.25">
      <c r="A124" s="64" t="s">
        <v>2603</v>
      </c>
      <c r="B124" s="64" t="s">
        <v>2282</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2499</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2358</v>
      </c>
      <c r="AR124" s="142" t="s">
        <v>2351</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2592</v>
      </c>
      <c r="B125" s="75" t="s">
        <v>2284</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2573</v>
      </c>
      <c r="P125" s="126" t="s">
        <v>2498</v>
      </c>
      <c r="Q125" s="65">
        <v>46108</v>
      </c>
      <c r="R125" s="65"/>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2420</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SI</v>
      </c>
      <c r="AQ125" s="142" t="s">
        <v>2358</v>
      </c>
      <c r="AR125" s="142" t="s">
        <v>2351</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2604</v>
      </c>
      <c r="B126" s="64" t="s">
        <v>2285</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2499</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2358</v>
      </c>
      <c r="AR126" s="142" t="s">
        <v>2351</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2592</v>
      </c>
      <c r="B127" s="64" t="s">
        <v>2275</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2358</v>
      </c>
      <c r="AR127" s="142" t="s">
        <v>2351</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2592</v>
      </c>
      <c r="B128" s="64" t="s">
        <v>2286</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2499</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2358</v>
      </c>
      <c r="AR128" s="142" t="s">
        <v>2351</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2592</v>
      </c>
      <c r="B129" s="64" t="s">
        <v>2288</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2499</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2358</v>
      </c>
      <c r="AR129" s="142" t="s">
        <v>2351</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2592</v>
      </c>
      <c r="B130" s="64" t="s">
        <v>2289</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2499</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2358</v>
      </c>
      <c r="AR130" s="142" t="s">
        <v>2351</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2592</v>
      </c>
      <c r="B131" s="64" t="s">
        <v>2279</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2358</v>
      </c>
      <c r="AR131" s="142" t="s">
        <v>2351</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2605</v>
      </c>
      <c r="B132" s="64" t="s">
        <v>2280</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2358</v>
      </c>
      <c r="AR132" s="142" t="s">
        <v>2351</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2605</v>
      </c>
      <c r="B133" s="64" t="s">
        <v>2290</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2499</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2358</v>
      </c>
      <c r="AR133" s="142" t="s">
        <v>2351</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2605</v>
      </c>
      <c r="B134" s="75" t="s">
        <v>2291</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2394</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2358</v>
      </c>
      <c r="AR134" s="142" t="s">
        <v>2351</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2605</v>
      </c>
      <c r="B135" s="64" t="s">
        <v>2283</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2358</v>
      </c>
      <c r="AR135" s="142" t="s">
        <v>2351</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2605</v>
      </c>
      <c r="B136" s="64" t="s">
        <v>2292</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2499</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2358</v>
      </c>
      <c r="AR136" s="142" t="s">
        <v>2351</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2605</v>
      </c>
      <c r="B137" s="75" t="s">
        <v>2293</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2358</v>
      </c>
      <c r="AR137" s="142" t="s">
        <v>2351</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2606</v>
      </c>
      <c r="B138" s="64" t="s">
        <v>2294</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2499</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2358</v>
      </c>
      <c r="AR138" s="142" t="s">
        <v>2351</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2606</v>
      </c>
      <c r="B139" s="64" t="s">
        <v>2287</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2358</v>
      </c>
      <c r="AR139" s="142" t="s">
        <v>2351</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2605</v>
      </c>
      <c r="B140" s="75" t="s">
        <v>2295</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2358</v>
      </c>
      <c r="AR140" s="142" t="s">
        <v>2351</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2605</v>
      </c>
      <c r="B141" s="75" t="s">
        <v>2297</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2358</v>
      </c>
      <c r="AR141" s="142" t="s">
        <v>2351</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2605</v>
      </c>
      <c r="B142" s="64" t="s">
        <v>2299</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2499</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2358</v>
      </c>
      <c r="AR142" s="142" t="s">
        <v>2351</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2607</v>
      </c>
      <c r="B143" s="64" t="s">
        <v>2300</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2491</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2358</v>
      </c>
      <c r="AR143" s="142" t="s">
        <v>2351</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2608</v>
      </c>
      <c r="B144" s="64" t="s">
        <v>2301</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2358</v>
      </c>
      <c r="AR144" s="142" t="s">
        <v>2351</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2608</v>
      </c>
      <c r="B145" s="64" t="s">
        <v>2302</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2499</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2358</v>
      </c>
      <c r="AR145" s="142" t="s">
        <v>2351</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2592</v>
      </c>
      <c r="B146" s="64" t="s">
        <v>2303</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2499</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2358</v>
      </c>
      <c r="AR146" s="142" t="s">
        <v>2351</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2592</v>
      </c>
      <c r="B147" s="75" t="s">
        <v>2304</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2358</v>
      </c>
      <c r="AR147" s="142" t="s">
        <v>2351</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2609</v>
      </c>
      <c r="B148" s="64" t="s">
        <v>2305</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2491</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2358</v>
      </c>
      <c r="AR148" s="142" t="s">
        <v>2351</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2610</v>
      </c>
      <c r="B149" s="64" t="s">
        <v>2296</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2358</v>
      </c>
      <c r="AR149" s="142" t="s">
        <v>2351</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2594</v>
      </c>
      <c r="B150" s="64" t="s">
        <v>2308</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2461</v>
      </c>
      <c r="P150" s="129" t="s">
        <v>2499</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2358</v>
      </c>
      <c r="AR150" s="142" t="s">
        <v>2351</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2592</v>
      </c>
      <c r="B151" s="64" t="s">
        <v>2298</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2358</v>
      </c>
      <c r="AR151" s="142" t="s">
        <v>2351</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2595</v>
      </c>
      <c r="B152" s="75" t="s">
        <v>2309</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2504</v>
      </c>
      <c r="Q152" s="65">
        <v>46057</v>
      </c>
      <c r="R152" s="65">
        <v>46126</v>
      </c>
      <c r="S152" s="65">
        <v>46147</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2358</v>
      </c>
      <c r="AR152" s="142" t="s">
        <v>2351</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2594</v>
      </c>
      <c r="B153" s="64" t="s">
        <v>2311</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2499</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2358</v>
      </c>
      <c r="AR153" s="142" t="s">
        <v>2351</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2592</v>
      </c>
      <c r="B154" s="64" t="s">
        <v>2312</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2499</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2358</v>
      </c>
      <c r="AR154" s="142" t="s">
        <v>2351</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2592</v>
      </c>
      <c r="B155" s="64" t="s">
        <v>2313</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2358</v>
      </c>
      <c r="AR155" s="142" t="s">
        <v>2351</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2592</v>
      </c>
      <c r="B156" s="75" t="s">
        <v>2314</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2436</v>
      </c>
      <c r="P156" s="126" t="s">
        <v>2498</v>
      </c>
      <c r="Q156" s="65">
        <v>46035</v>
      </c>
      <c r="R156" s="65"/>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2420</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2358</v>
      </c>
      <c r="AR156" s="142" t="s">
        <v>2351</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2592</v>
      </c>
      <c r="B157" s="64" t="s">
        <v>2315</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2499</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2358</v>
      </c>
      <c r="AR157" s="142" t="s">
        <v>2351</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2593</v>
      </c>
      <c r="B158" s="64" t="s">
        <v>2316</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2491</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2358</v>
      </c>
      <c r="AR158" s="142" t="s">
        <v>2351</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2592</v>
      </c>
      <c r="B159" s="64" t="s">
        <v>2306</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2358</v>
      </c>
      <c r="AR159" s="142" t="s">
        <v>2351</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2592</v>
      </c>
      <c r="B160" s="64" t="s">
        <v>2307</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2358</v>
      </c>
      <c r="AR160" s="142" t="s">
        <v>2351</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2592</v>
      </c>
      <c r="B161" s="64" t="s">
        <v>2317</v>
      </c>
      <c r="C161" s="61" t="s">
        <v>2129</v>
      </c>
      <c r="D161" s="43" t="s">
        <v>1866</v>
      </c>
      <c r="E161" s="201">
        <v>661592498</v>
      </c>
      <c r="F161" s="263" t="s">
        <v>1867</v>
      </c>
      <c r="G161" s="43" t="s">
        <v>2379</v>
      </c>
      <c r="H161" s="201">
        <v>626063794</v>
      </c>
      <c r="I161" s="43" t="s">
        <v>0</v>
      </c>
      <c r="J161" s="136">
        <v>46122</v>
      </c>
      <c r="K161" s="136"/>
      <c r="L161" s="136"/>
      <c r="M161" s="136"/>
      <c r="N161" s="127"/>
      <c r="O161" s="128" t="s">
        <v>2402</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2358</v>
      </c>
      <c r="AR161" s="142" t="s">
        <v>2351</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2592</v>
      </c>
      <c r="B162" s="75" t="s">
        <v>2318</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2460</v>
      </c>
      <c r="P162" s="129" t="s">
        <v>2505</v>
      </c>
      <c r="Q162" s="65">
        <v>45974</v>
      </c>
      <c r="R162" s="65">
        <v>46108</v>
      </c>
      <c r="S162" s="65">
        <v>46132</v>
      </c>
      <c r="T162" s="65"/>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2358</v>
      </c>
      <c r="AR162" s="142" t="s">
        <v>2351</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2592</v>
      </c>
      <c r="B163" s="75" t="s">
        <v>2319</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2358</v>
      </c>
      <c r="AR163" s="142" t="s">
        <v>2351</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2592</v>
      </c>
      <c r="B164" s="64" t="s">
        <v>2310</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2358</v>
      </c>
      <c r="AR164" s="142" t="s">
        <v>2351</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2592</v>
      </c>
      <c r="B165" s="75" t="s">
        <v>2320</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2358</v>
      </c>
      <c r="AR165" s="142" t="s">
        <v>2351</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2594</v>
      </c>
      <c r="B166" s="64" t="s">
        <v>2321</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2491</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2358</v>
      </c>
      <c r="AR166" s="142" t="s">
        <v>2351</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2592</v>
      </c>
      <c r="B167" s="64" t="s">
        <v>2322</v>
      </c>
      <c r="C167" s="61" t="s">
        <v>2129</v>
      </c>
      <c r="D167" s="43" t="s">
        <v>2034</v>
      </c>
      <c r="E167" s="201">
        <v>661592498</v>
      </c>
      <c r="F167" s="263" t="s">
        <v>2035</v>
      </c>
      <c r="G167" s="43" t="s">
        <v>2036</v>
      </c>
      <c r="H167" s="201">
        <v>696954953</v>
      </c>
      <c r="I167" s="43" t="s">
        <v>0</v>
      </c>
      <c r="J167" s="44">
        <v>45975</v>
      </c>
      <c r="K167" s="44"/>
      <c r="L167" s="44"/>
      <c r="M167" s="44"/>
      <c r="N167" s="127"/>
      <c r="O167" s="128" t="s">
        <v>2410</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2358</v>
      </c>
      <c r="AR167" s="142" t="s">
        <v>2351</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2592</v>
      </c>
      <c r="B168" s="64" t="s">
        <v>2323</v>
      </c>
      <c r="C168" s="61" t="s">
        <v>2129</v>
      </c>
      <c r="D168" s="43" t="s">
        <v>2037</v>
      </c>
      <c r="E168" s="201">
        <v>676332731</v>
      </c>
      <c r="F168" s="135" t="s">
        <v>0</v>
      </c>
      <c r="G168" s="203" t="s">
        <v>2156</v>
      </c>
      <c r="H168" s="203" t="s">
        <v>0</v>
      </c>
      <c r="I168" s="122" t="s">
        <v>0</v>
      </c>
      <c r="J168" s="136">
        <v>46041</v>
      </c>
      <c r="K168" s="136"/>
      <c r="L168" s="136"/>
      <c r="M168" s="136"/>
      <c r="N168" s="127">
        <v>46157</v>
      </c>
      <c r="O168" s="128" t="s">
        <v>2492</v>
      </c>
      <c r="P168" s="126" t="s">
        <v>2491</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2358</v>
      </c>
      <c r="AR168" s="142" t="s">
        <v>2351</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2611</v>
      </c>
      <c r="B169" s="64" t="s">
        <v>2324</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2491</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2358</v>
      </c>
      <c r="AR169" s="142" t="s">
        <v>2351</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2592</v>
      </c>
      <c r="B170" s="64" t="s">
        <v>2327</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2491</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2358</v>
      </c>
      <c r="AR170" s="142" t="s">
        <v>2351</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2592</v>
      </c>
      <c r="B171" s="64" t="s">
        <v>2328</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2499</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2358</v>
      </c>
      <c r="AR171" s="142" t="s">
        <v>2351</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2612</v>
      </c>
      <c r="B172" s="64" t="s">
        <v>2329</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2491</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2358</v>
      </c>
      <c r="AR172" s="142" t="s">
        <v>2351</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2613</v>
      </c>
      <c r="B173" s="64" t="s">
        <v>2331</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2499</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2358</v>
      </c>
      <c r="AR173" s="142" t="s">
        <v>2351</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2592</v>
      </c>
      <c r="B174" s="75" t="s">
        <v>2333</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2451</v>
      </c>
      <c r="P174" s="126" t="s">
        <v>2505</v>
      </c>
      <c r="Q174" s="65">
        <v>46031</v>
      </c>
      <c r="R174" s="65">
        <v>46100</v>
      </c>
      <c r="S174" s="65">
        <v>46127</v>
      </c>
      <c r="T174" s="65"/>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2358</v>
      </c>
      <c r="AR174" s="142" t="s">
        <v>2351</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2592</v>
      </c>
      <c r="B175" s="75" t="s">
        <v>2334</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2358</v>
      </c>
      <c r="AR175" s="142" t="s">
        <v>2351</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2592</v>
      </c>
      <c r="B176" s="64" t="s">
        <v>2336</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2499</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2358</v>
      </c>
      <c r="AR176" s="142" t="s">
        <v>2351</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2592</v>
      </c>
      <c r="B177" s="75" t="s">
        <v>2337</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2390</v>
      </c>
      <c r="P177" s="126" t="s">
        <v>2498</v>
      </c>
      <c r="Q177" s="65">
        <v>46078</v>
      </c>
      <c r="R177" s="65"/>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2420</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2358</v>
      </c>
      <c r="AR177" s="142" t="s">
        <v>2351</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2592</v>
      </c>
      <c r="B178" s="64" t="s">
        <v>2325</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2358</v>
      </c>
      <c r="AR178" s="142" t="s">
        <v>2351</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2592</v>
      </c>
      <c r="B179" s="64" t="s">
        <v>2339</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2499</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2358</v>
      </c>
      <c r="AR179" s="142" t="s">
        <v>2351</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2592</v>
      </c>
      <c r="B180" s="64" t="s">
        <v>2326</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2358</v>
      </c>
      <c r="AR180" s="142" t="s">
        <v>2351</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2592</v>
      </c>
      <c r="B181" s="64" t="s">
        <v>2341</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2499</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2358</v>
      </c>
      <c r="AR181" s="142" t="s">
        <v>2351</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2594</v>
      </c>
      <c r="B182" s="64" t="s">
        <v>2342</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2389</v>
      </c>
      <c r="P182" s="126" t="s">
        <v>2499</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2358</v>
      </c>
      <c r="AR182" s="142" t="s">
        <v>2351</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2592</v>
      </c>
      <c r="B183" s="64" t="s">
        <v>2343</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2499</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2358</v>
      </c>
      <c r="AR183" s="142" t="s">
        <v>2351</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2593</v>
      </c>
      <c r="B184" s="64" t="s">
        <v>2330</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2358</v>
      </c>
      <c r="AR184" s="142" t="s">
        <v>2351</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2592</v>
      </c>
      <c r="B185" s="64" t="s">
        <v>2344</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2491</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2358</v>
      </c>
      <c r="AR185" s="142" t="s">
        <v>2351</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2608</v>
      </c>
      <c r="B186" s="64" t="s">
        <v>2332</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2358</v>
      </c>
      <c r="AR186" s="142" t="s">
        <v>2351</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2592</v>
      </c>
      <c r="B187" s="64" t="s">
        <v>2345</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2491</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2358</v>
      </c>
      <c r="AR187" s="142" t="s">
        <v>2351</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2592</v>
      </c>
      <c r="B188" s="64" t="s">
        <v>2346</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2491</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2358</v>
      </c>
      <c r="AR188" s="142" t="s">
        <v>2351</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2592</v>
      </c>
      <c r="B189" s="64" t="s">
        <v>2335</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2358</v>
      </c>
      <c r="AR189" s="142" t="s">
        <v>2351</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2592</v>
      </c>
      <c r="B190" s="75" t="s">
        <v>2347</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2448</v>
      </c>
      <c r="P190" s="126" t="s">
        <v>2505</v>
      </c>
      <c r="Q190" s="65">
        <v>46037</v>
      </c>
      <c r="R190" s="65">
        <v>46066</v>
      </c>
      <c r="S190" s="65">
        <v>46098</v>
      </c>
      <c r="T190" s="65"/>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2358</v>
      </c>
      <c r="AR190" s="142" t="s">
        <v>2351</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2592</v>
      </c>
      <c r="B191" s="64" t="s">
        <v>2348</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2491</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2358</v>
      </c>
      <c r="AR191" s="142" t="s">
        <v>2351</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2592</v>
      </c>
      <c r="B192" s="64" t="s">
        <v>2338</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2358</v>
      </c>
      <c r="AR192" s="142" t="s">
        <v>2351</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2594</v>
      </c>
      <c r="B193" s="64" t="s">
        <v>2349</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2491</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2358</v>
      </c>
      <c r="AR193" s="142" t="s">
        <v>2351</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2592</v>
      </c>
      <c r="B194" s="64" t="s">
        <v>2340</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2358</v>
      </c>
      <c r="AR194" s="142" t="s">
        <v>2351</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2577</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2491</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2358</v>
      </c>
      <c r="AR195" s="142" t="s">
        <v>2351</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2578</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2491</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2358</v>
      </c>
      <c r="AR196" s="142" t="s">
        <v>2351</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2579</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2491</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2358</v>
      </c>
      <c r="AR197" s="142" t="s">
        <v>2351</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2580</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2491</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2358</v>
      </c>
      <c r="AR198" s="142" t="s">
        <v>2351</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2581</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2491</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2358</v>
      </c>
      <c r="AR199" s="142" t="s">
        <v>2351</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2582</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2491</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2358</v>
      </c>
      <c r="AR200" s="142" t="s">
        <v>2351</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2583</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2491</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2358</v>
      </c>
      <c r="AR201" s="142" t="s">
        <v>2351</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2584</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2491</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2358</v>
      </c>
      <c r="AR202" s="142" t="s">
        <v>2351</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2614</v>
      </c>
      <c r="B203" s="64" t="s">
        <v>2585</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2491</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2358</v>
      </c>
      <c r="AR203" s="142" t="s">
        <v>2351</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2586</v>
      </c>
      <c r="C204" s="61" t="s">
        <v>1798</v>
      </c>
      <c r="D204" s="43" t="s">
        <v>2380</v>
      </c>
      <c r="E204" s="203">
        <v>626204408</v>
      </c>
      <c r="F204" s="263" t="s">
        <v>2014</v>
      </c>
      <c r="G204" s="122" t="s">
        <v>0</v>
      </c>
      <c r="H204" s="203" t="s">
        <v>0</v>
      </c>
      <c r="I204" s="122" t="s">
        <v>0</v>
      </c>
      <c r="J204" s="136">
        <v>46108</v>
      </c>
      <c r="K204" s="136"/>
      <c r="L204" s="136"/>
      <c r="M204" s="136"/>
      <c r="N204" s="127">
        <v>46157</v>
      </c>
      <c r="O204" s="128" t="s">
        <v>2381</v>
      </c>
      <c r="P204" s="126" t="s">
        <v>2491</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2358</v>
      </c>
      <c r="AR204" s="142" t="s">
        <v>2351</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2587</v>
      </c>
      <c r="C205" s="61" t="s">
        <v>1798</v>
      </c>
      <c r="D205" s="43" t="s">
        <v>2382</v>
      </c>
      <c r="E205" s="203">
        <v>687811449</v>
      </c>
      <c r="F205" s="263" t="s">
        <v>2383</v>
      </c>
      <c r="G205" s="122" t="s">
        <v>0</v>
      </c>
      <c r="H205" s="203" t="s">
        <v>0</v>
      </c>
      <c r="I205" s="122" t="s">
        <v>0</v>
      </c>
      <c r="J205" s="136">
        <v>46111</v>
      </c>
      <c r="K205" s="136"/>
      <c r="L205" s="136"/>
      <c r="M205" s="136"/>
      <c r="N205" s="127">
        <v>46157</v>
      </c>
      <c r="O205" s="128" t="s">
        <v>2384</v>
      </c>
      <c r="P205" s="126" t="s">
        <v>2491</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2358</v>
      </c>
      <c r="AR205" s="142" t="s">
        <v>2351</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2592</v>
      </c>
      <c r="B206" s="64" t="s">
        <v>2350</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2358</v>
      </c>
      <c r="AR206" s="142" t="s">
        <v>2351</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2358</v>
      </c>
      <c r="AR207" s="142" t="s">
        <v>2351</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2358</v>
      </c>
      <c r="AR208" s="143" t="s">
        <v>2351</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2363</v>
      </c>
      <c r="P209" s="179">
        <f>COUNTA(P3:P208)</f>
        <v>204</v>
      </c>
      <c r="Q209" s="154"/>
      <c r="R209" s="154"/>
      <c r="S209" s="154"/>
      <c r="T209" s="154"/>
      <c r="U209" s="154"/>
      <c r="V209" s="155"/>
      <c r="W209" s="156"/>
      <c r="X209" s="156"/>
      <c r="Y209" s="156"/>
      <c r="Z209" s="156"/>
      <c r="AA209" s="271"/>
      <c r="AB209" s="183" t="s">
        <v>2372</v>
      </c>
      <c r="AC209" s="184" t="s">
        <v>2373</v>
      </c>
      <c r="AD209" s="185" t="s">
        <v>2374</v>
      </c>
      <c r="AE209" s="186" t="s">
        <v>2375</v>
      </c>
      <c r="AF209" s="187"/>
      <c r="AG209" s="182"/>
      <c r="AH209" s="188"/>
      <c r="AI209" s="182"/>
      <c r="AJ209" s="188" t="s">
        <v>2378</v>
      </c>
      <c r="AK209" s="187" t="s">
        <v>2377</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2364</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2360</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2361</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2362</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2365</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2508</v>
      </c>
    </row>
    <row r="215" spans="1:51" x14ac:dyDescent="0.25">
      <c r="O215" s="345" t="s">
        <v>2370</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2371</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2376</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2398</v>
      </c>
      <c r="P219" s="320"/>
      <c r="AR219" s="348" t="s">
        <v>2514</v>
      </c>
      <c r="AS219" s="349" t="s">
        <v>2513</v>
      </c>
      <c r="AT219" s="350" t="s">
        <v>2515</v>
      </c>
      <c r="AU219" s="348" t="s">
        <v>2516</v>
      </c>
      <c r="AV219" s="351" t="s">
        <v>2517</v>
      </c>
      <c r="AW219" s="351"/>
    </row>
    <row r="220" spans="1:51" x14ac:dyDescent="0.25">
      <c r="O220" s="320" t="s">
        <v>2401</v>
      </c>
      <c r="P220" s="320"/>
      <c r="AR220" s="352" t="s">
        <v>2491</v>
      </c>
      <c r="AS220" s="353" t="s">
        <v>2352</v>
      </c>
      <c r="AT220" s="354" t="s">
        <v>2467</v>
      </c>
      <c r="AU220" s="354" t="s">
        <v>2494</v>
      </c>
      <c r="AV220" s="351" t="s">
        <v>2507</v>
      </c>
      <c r="AW220" s="351"/>
    </row>
    <row r="221" spans="1:51" x14ac:dyDescent="0.25">
      <c r="O221" s="320" t="s">
        <v>2400</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2405</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2404</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2496</v>
      </c>
      <c r="AS223" s="349" t="s">
        <v>2353</v>
      </c>
      <c r="AT223" s="358" t="s">
        <v>2468</v>
      </c>
      <c r="AU223" s="359" t="s">
        <v>2470</v>
      </c>
      <c r="AV223" s="355" t="s">
        <v>2509</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2397</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2499</v>
      </c>
      <c r="AS224" s="349" t="s">
        <v>2354</v>
      </c>
      <c r="AT224" s="358" t="s">
        <v>2489</v>
      </c>
      <c r="AU224" s="359" t="s">
        <v>2490</v>
      </c>
      <c r="AV224" s="355" t="s">
        <v>2510</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2506</v>
      </c>
      <c r="AS225" s="349" t="s">
        <v>0</v>
      </c>
      <c r="AT225" s="358"/>
      <c r="AU225" s="359"/>
      <c r="AV225" s="355" t="s">
        <v>1410</v>
      </c>
      <c r="AW225" s="355"/>
      <c r="AX225" s="320"/>
      <c r="AY225" s="320"/>
    </row>
    <row r="226" spans="1:51"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2495</v>
      </c>
      <c r="AS226" s="349" t="s">
        <v>2355</v>
      </c>
      <c r="AT226" s="354" t="s">
        <v>2469</v>
      </c>
      <c r="AU226" s="359" t="s">
        <v>2478</v>
      </c>
      <c r="AV226" s="355" t="s">
        <v>2511</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2498</v>
      </c>
      <c r="AS227" s="349" t="s">
        <v>2356</v>
      </c>
      <c r="AT227" s="354" t="s">
        <v>2487</v>
      </c>
      <c r="AU227" s="359" t="s">
        <v>2483</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2497</v>
      </c>
      <c r="AS228" s="349" t="s">
        <v>2357</v>
      </c>
      <c r="AT228" s="354" t="s">
        <v>2473</v>
      </c>
      <c r="AU228" s="359" t="s">
        <v>2479</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2504</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2505</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2501</v>
      </c>
      <c r="AS231" s="349" t="s">
        <v>2472</v>
      </c>
      <c r="AT231" s="354" t="s">
        <v>2471</v>
      </c>
      <c r="AU231" s="359" t="s">
        <v>2500</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2502</v>
      </c>
      <c r="AS232" s="349" t="s">
        <v>2474</v>
      </c>
      <c r="AT232" s="354" t="s">
        <v>2486</v>
      </c>
      <c r="AU232" s="359" t="s">
        <v>2484</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2503</v>
      </c>
      <c r="AS233" s="349" t="s">
        <v>2477</v>
      </c>
      <c r="AT233" s="354" t="s">
        <v>2488</v>
      </c>
      <c r="AU233" s="359" t="s">
        <v>2480</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2466</v>
      </c>
      <c r="AS237" s="349"/>
      <c r="AT237" s="351" t="s">
        <v>2465</v>
      </c>
      <c r="AU237" s="359" t="s">
        <v>2359</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2558</v>
      </c>
    </row>
    <row r="3" spans="1:7" ht="14.25" customHeight="1" x14ac:dyDescent="0.25">
      <c r="A3" s="376" t="s">
        <v>2527</v>
      </c>
      <c r="B3" s="362" t="s">
        <v>2528</v>
      </c>
      <c r="C3" s="362" t="s">
        <v>2529</v>
      </c>
      <c r="D3" s="362" t="s">
        <v>2540</v>
      </c>
      <c r="E3" s="362" t="s">
        <v>2532</v>
      </c>
      <c r="F3" s="362" t="s">
        <v>2541</v>
      </c>
      <c r="G3" s="362" t="s">
        <v>2542</v>
      </c>
    </row>
    <row r="4" spans="1:7" ht="14.25" customHeight="1" x14ac:dyDescent="0.25">
      <c r="A4" s="376"/>
      <c r="B4" s="362">
        <v>1</v>
      </c>
      <c r="C4" s="362" t="s">
        <v>2530</v>
      </c>
      <c r="D4" s="362" t="s">
        <v>2543</v>
      </c>
      <c r="E4" s="362" t="s">
        <v>2544</v>
      </c>
      <c r="F4" s="362" t="s">
        <v>2545</v>
      </c>
      <c r="G4" s="362" t="s">
        <v>2534</v>
      </c>
    </row>
    <row r="5" spans="1:7" ht="14.25" customHeight="1" x14ac:dyDescent="0.25">
      <c r="A5" s="376"/>
      <c r="B5" s="362">
        <v>2</v>
      </c>
      <c r="C5" s="362" t="s">
        <v>2534</v>
      </c>
      <c r="D5" s="362" t="s">
        <v>2538</v>
      </c>
      <c r="E5" s="362" t="s">
        <v>2546</v>
      </c>
      <c r="F5" s="362" t="s">
        <v>0</v>
      </c>
      <c r="G5" s="362" t="s">
        <v>2535</v>
      </c>
    </row>
    <row r="6" spans="1:7" ht="14.25" customHeight="1" x14ac:dyDescent="0.25">
      <c r="A6" s="376"/>
      <c r="B6" s="362">
        <v>3</v>
      </c>
      <c r="C6" s="362" t="s">
        <v>2535</v>
      </c>
      <c r="D6" s="362" t="s">
        <v>2538</v>
      </c>
      <c r="E6" s="362" t="s">
        <v>2547</v>
      </c>
      <c r="F6" s="362" t="s">
        <v>2548</v>
      </c>
      <c r="G6" s="362" t="s">
        <v>2536</v>
      </c>
    </row>
    <row r="7" spans="1:7" ht="14.25" customHeight="1" x14ac:dyDescent="0.25">
      <c r="A7" s="376"/>
      <c r="B7" s="362">
        <v>4</v>
      </c>
      <c r="C7" s="362" t="s">
        <v>2536</v>
      </c>
      <c r="D7" s="362" t="s">
        <v>2549</v>
      </c>
      <c r="E7" s="362" t="s">
        <v>2539</v>
      </c>
      <c r="F7" s="362" t="s">
        <v>2550</v>
      </c>
      <c r="G7" s="362" t="s">
        <v>2537</v>
      </c>
    </row>
    <row r="8" spans="1:7" ht="14.25" customHeight="1" x14ac:dyDescent="0.25">
      <c r="A8" s="376"/>
      <c r="B8" s="362">
        <v>4</v>
      </c>
      <c r="C8" s="362" t="s">
        <v>2536</v>
      </c>
      <c r="D8" s="362" t="s">
        <v>2549</v>
      </c>
      <c r="E8" s="362" t="s">
        <v>2539</v>
      </c>
      <c r="F8" s="362" t="s">
        <v>2551</v>
      </c>
      <c r="G8" s="362" t="s">
        <v>2537</v>
      </c>
    </row>
    <row r="9" spans="1:7" ht="14.25" customHeight="1" x14ac:dyDescent="0.25">
      <c r="A9" s="376"/>
      <c r="B9" s="362">
        <v>5</v>
      </c>
      <c r="C9" s="362" t="s">
        <v>2537</v>
      </c>
      <c r="D9" s="362" t="s">
        <v>2552</v>
      </c>
      <c r="E9" s="362" t="s">
        <v>2553</v>
      </c>
      <c r="F9" s="362" t="s">
        <v>2554</v>
      </c>
      <c r="G9" s="362" t="s">
        <v>2555</v>
      </c>
    </row>
    <row r="10" spans="1:7" ht="14.25" customHeight="1" x14ac:dyDescent="0.25">
      <c r="A10" s="376"/>
      <c r="B10" s="362">
        <v>5</v>
      </c>
      <c r="C10" s="362" t="s">
        <v>2537</v>
      </c>
      <c r="D10" s="362" t="s">
        <v>2556</v>
      </c>
      <c r="E10" s="362" t="s">
        <v>2557</v>
      </c>
      <c r="F10" s="362" t="s">
        <v>2533</v>
      </c>
      <c r="G10" s="362" t="s">
        <v>2531</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77" t="s">
        <v>8</v>
      </c>
      <c r="V3" s="377" t="s">
        <v>8</v>
      </c>
    </row>
    <row r="4" spans="1:22" x14ac:dyDescent="0.25">
      <c r="A4" s="380"/>
      <c r="B4" s="382"/>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2445</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77" t="s">
        <v>8</v>
      </c>
      <c r="V3" s="377" t="s">
        <v>8</v>
      </c>
    </row>
    <row r="4" spans="1:22" x14ac:dyDescent="0.25">
      <c r="A4" s="380"/>
      <c r="B4" s="382"/>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2440</v>
      </c>
      <c r="D6" s="18" t="s">
        <v>2439</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2589</v>
      </c>
      <c r="D14" s="18" t="s">
        <v>2588</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2591</v>
      </c>
      <c r="D21" s="18" t="s">
        <v>2590</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activeCell="P5" sqref="P5:S2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2396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2423</v>
      </c>
      <c r="E8" s="18" t="s">
        <v>2572</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2416</v>
      </c>
      <c r="D10" s="18" t="s">
        <v>1404</v>
      </c>
      <c r="E10" s="18" t="s">
        <v>2415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2395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2393</v>
      </c>
      <c r="D13" s="18" t="s">
        <v>1407</v>
      </c>
      <c r="E13" s="18" t="s">
        <v>2575</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2563</v>
      </c>
      <c r="E14" s="18" t="s">
        <v>2562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77" t="s">
        <v>53</v>
      </c>
      <c r="V3" s="377" t="s">
        <v>8</v>
      </c>
    </row>
    <row r="4" spans="1:22" x14ac:dyDescent="0.25">
      <c r="A4" s="380"/>
      <c r="B4" s="382"/>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2437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2456</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2455</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77"/>
      <c r="V3" s="377"/>
    </row>
    <row r="4" spans="1:22" x14ac:dyDescent="0.25">
      <c r="A4" s="380"/>
      <c r="B4" s="382"/>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t="s">
        <v>7</v>
      </c>
      <c r="V3" s="377" t="s">
        <v>7</v>
      </c>
    </row>
    <row r="4" spans="1:22" x14ac:dyDescent="0.25">
      <c r="A4" s="380"/>
      <c r="B4" s="382"/>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2388</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2452</v>
      </c>
      <c r="D32" s="18" t="s">
        <v>405</v>
      </c>
      <c r="E32" s="18" t="s">
        <v>2566</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2570</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2565</v>
      </c>
      <c r="D18" s="18"/>
      <c r="E18" s="18" t="s">
        <v>2564</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1290</v>
      </c>
      <c r="D4" s="29" t="s">
        <v>6</v>
      </c>
      <c r="E4" s="10" t="s">
        <v>2444</v>
      </c>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78"/>
      <c r="V4" s="378"/>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2463</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78"/>
      <c r="V4" s="378"/>
    </row>
    <row r="5" spans="1:22" ht="15" customHeight="1" x14ac:dyDescent="0.25">
      <c r="A5" s="19" t="str">
        <f>IF(COUNTIF(F5:V5,"F")&gt;0,"FALTA","COMPLETO")</f>
        <v>COMPLETO</v>
      </c>
      <c r="B5" s="20" t="s">
        <v>2387</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77" t="s">
        <v>8</v>
      </c>
      <c r="V3" s="377" t="s">
        <v>8</v>
      </c>
    </row>
    <row r="4" spans="1:22" x14ac:dyDescent="0.25">
      <c r="A4" s="380"/>
      <c r="B4" s="382"/>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121</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120</v>
      </c>
      <c r="D5" s="18" t="s">
        <v>129</v>
      </c>
      <c r="E5" s="18" t="s">
        <v>2464</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2559</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1753</v>
      </c>
      <c r="D5" s="18"/>
      <c r="E5" s="18" t="s">
        <v>2414</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2567</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2454</v>
      </c>
      <c r="D9" s="18"/>
      <c r="E9" s="18" t="s">
        <v>2453</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2569</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2567</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2568</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116</v>
      </c>
    </row>
    <row r="4" spans="1:22" x14ac:dyDescent="0.25">
      <c r="A4" s="380"/>
      <c r="B4" s="382"/>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3"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3"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3" x14ac:dyDescent="0.25">
      <c r="A4" s="380"/>
      <c r="B4" s="382"/>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2455</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151</v>
      </c>
      <c r="C5" s="17" t="s">
        <v>1088</v>
      </c>
      <c r="D5" s="18" t="s">
        <v>1105</v>
      </c>
      <c r="E5" s="18" t="s">
        <v>2417</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2391</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1130</v>
      </c>
      <c r="D3" s="29" t="s">
        <v>5</v>
      </c>
      <c r="E3" s="10" t="s">
        <v>2434</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t="s">
        <v>7</v>
      </c>
      <c r="V3" s="377" t="s">
        <v>7</v>
      </c>
    </row>
    <row r="4" spans="1:22" x14ac:dyDescent="0.25">
      <c r="A4" s="380"/>
      <c r="B4" s="382"/>
      <c r="C4" s="23"/>
      <c r="D4" s="29" t="s">
        <v>6</v>
      </c>
      <c r="E4" s="10" t="s">
        <v>2429</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2425</v>
      </c>
      <c r="D5" s="18"/>
      <c r="E5" s="18" t="s">
        <v>2424</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2427</v>
      </c>
      <c r="D6" s="18"/>
      <c r="E6" s="18" t="s">
        <v>2426</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2433</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2430</v>
      </c>
      <c r="D9" s="18"/>
      <c r="E9" s="18" t="s">
        <v>2428</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2432</v>
      </c>
      <c r="D11" s="18"/>
      <c r="E11" s="18" t="s">
        <v>2431</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2435</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row>
    <row r="4" spans="1:22" x14ac:dyDescent="0.25">
      <c r="A4" s="380"/>
      <c r="B4" s="382"/>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t="s">
        <v>53</v>
      </c>
      <c r="V3" s="377" t="s">
        <v>53</v>
      </c>
    </row>
    <row r="4" spans="1:22" x14ac:dyDescent="0.25">
      <c r="A4" s="380"/>
      <c r="B4" s="382"/>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7"/>
      <c r="V3" s="377"/>
    </row>
    <row r="4" spans="1:22" x14ac:dyDescent="0.25">
      <c r="A4" s="380"/>
      <c r="B4" s="382"/>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8"/>
      <c r="V4" s="378"/>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77"/>
      <c r="V3" s="377"/>
    </row>
    <row r="4" spans="1:22" x14ac:dyDescent="0.25">
      <c r="A4" s="380"/>
      <c r="B4" s="382"/>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78"/>
      <c r="V4" s="378"/>
    </row>
    <row r="5" spans="1:22" ht="15" customHeight="1" x14ac:dyDescent="0.25">
      <c r="A5" s="19" t="s">
        <v>2493</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FALTA</v>
      </c>
      <c r="B3" s="381"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7"/>
      <c r="V3" s="377"/>
    </row>
    <row r="4" spans="1:22" x14ac:dyDescent="0.25">
      <c r="A4" s="380"/>
      <c r="B4" s="382"/>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78"/>
      <c r="V4" s="378"/>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2422</v>
      </c>
      <c r="D6" s="18"/>
      <c r="E6" s="18" t="s">
        <v>2421</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2418</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2560</v>
      </c>
      <c r="D8" s="18"/>
      <c r="E8" s="18" t="s">
        <v>2561</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2442</v>
      </c>
      <c r="D10" s="18"/>
      <c r="E10" s="18" t="s">
        <v>2441</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2443</v>
      </c>
      <c r="D11" s="18"/>
      <c r="E11" s="18" t="s">
        <v>2419</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2459</v>
      </c>
      <c r="D12" s="18"/>
      <c r="E12" s="18" t="s">
        <v>2458</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83" t="s">
        <v>11</v>
      </c>
      <c r="G1" s="383" t="s">
        <v>20</v>
      </c>
      <c r="H1" s="383" t="s">
        <v>13</v>
      </c>
      <c r="I1" s="383" t="s">
        <v>14</v>
      </c>
      <c r="J1" s="385" t="s">
        <v>1332</v>
      </c>
      <c r="K1" s="385" t="s">
        <v>1331</v>
      </c>
      <c r="L1" s="387" t="s">
        <v>15</v>
      </c>
      <c r="M1" s="385" t="s">
        <v>16</v>
      </c>
      <c r="N1" s="385" t="s">
        <v>1330</v>
      </c>
      <c r="O1" s="385" t="s">
        <v>21</v>
      </c>
      <c r="P1" s="383" t="s">
        <v>1</v>
      </c>
      <c r="Q1" s="383" t="s">
        <v>22</v>
      </c>
      <c r="R1" s="383" t="s">
        <v>2</v>
      </c>
      <c r="S1" s="383" t="s">
        <v>17</v>
      </c>
      <c r="T1" s="385" t="s">
        <v>10</v>
      </c>
      <c r="U1" s="383" t="s">
        <v>114</v>
      </c>
      <c r="V1" s="383" t="s">
        <v>115</v>
      </c>
    </row>
    <row r="2" spans="1:22" s="1" customFormat="1" ht="45" customHeight="1" x14ac:dyDescent="0.25">
      <c r="A2" s="14" t="s">
        <v>1329</v>
      </c>
      <c r="B2" s="5" t="s">
        <v>3</v>
      </c>
      <c r="C2" s="6" t="s">
        <v>4</v>
      </c>
      <c r="D2" s="5" t="s">
        <v>25</v>
      </c>
      <c r="E2" s="14" t="s">
        <v>27</v>
      </c>
      <c r="F2" s="384"/>
      <c r="G2" s="384"/>
      <c r="H2" s="384"/>
      <c r="I2" s="384"/>
      <c r="J2" s="386"/>
      <c r="K2" s="386"/>
      <c r="L2" s="388"/>
      <c r="M2" s="386"/>
      <c r="N2" s="386"/>
      <c r="O2" s="386"/>
      <c r="P2" s="384"/>
      <c r="Q2" s="384"/>
      <c r="R2" s="384"/>
      <c r="S2" s="384"/>
      <c r="T2" s="386"/>
      <c r="U2" s="384"/>
      <c r="V2" s="384"/>
    </row>
    <row r="3" spans="1:22" x14ac:dyDescent="0.25">
      <c r="A3" s="379" t="str">
        <f>IF(COUNTIF(G3:V4,"F")&gt;0,"FALTA","COMPLETO")</f>
        <v>COMPLETO</v>
      </c>
      <c r="B3" s="381"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7"/>
      <c r="V3" s="377" t="s">
        <v>116</v>
      </c>
    </row>
    <row r="4" spans="1:22" x14ac:dyDescent="0.25">
      <c r="A4" s="380"/>
      <c r="B4" s="382"/>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78"/>
      <c r="V4" s="378"/>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2026-05-06T04:42:02Z</dcterms:modified>
</cp:coreProperties>
</file>