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123" i="29" l="1"/>
  <c r="AW123" i="29"/>
  <c r="AT73" i="29"/>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8" i="29"/>
  <c r="X207"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92" i="29"/>
  <c r="Y108" i="29"/>
  <c r="Y144" i="29"/>
  <c r="Y205" i="29"/>
  <c r="Y131" i="29"/>
  <c r="Y113" i="29"/>
  <c r="Y118" i="29"/>
  <c r="Y85" i="29"/>
  <c r="Y88" i="29"/>
  <c r="Y165" i="29"/>
  <c r="Y89" i="29"/>
  <c r="Y174" i="29"/>
  <c r="Y76" i="29"/>
  <c r="Y184" i="29"/>
  <c r="V3" i="29"/>
  <c r="Y57" i="29"/>
  <c r="Y150" i="29"/>
  <c r="Y77" i="29"/>
  <c r="Y153" i="29"/>
  <c r="Y93" i="29"/>
  <c r="Y145" i="29"/>
  <c r="Z174" i="29" l="1"/>
  <c r="Z85" i="29"/>
  <c r="Z165" i="29"/>
  <c r="AH150" i="29"/>
  <c r="AJ150" i="29" s="1"/>
  <c r="N114" i="29" l="1"/>
  <c r="AP114" i="29" s="1"/>
  <c r="AP7" i="29"/>
  <c r="Y156" i="29"/>
  <c r="Y56" i="29"/>
  <c r="Y62" i="29"/>
  <c r="Y40" i="29"/>
  <c r="Y41" i="29"/>
  <c r="Z145" i="29"/>
  <c r="Y19" i="29"/>
  <c r="Y188" i="29"/>
  <c r="Y59" i="29"/>
  <c r="Y117" i="29"/>
  <c r="Y79" i="29"/>
  <c r="Z93" i="29"/>
  <c r="Y187" i="29"/>
  <c r="Y162" i="29"/>
  <c r="Y75" i="29"/>
  <c r="Y3" i="29"/>
  <c r="Z89" i="29"/>
  <c r="Y167" i="29"/>
  <c r="Z184" i="29"/>
  <c r="Y130" i="29"/>
  <c r="Y29" i="29"/>
  <c r="Y196" i="29"/>
  <c r="Y63" i="29"/>
  <c r="Y158" i="29"/>
  <c r="Y21" i="29"/>
  <c r="Y198" i="29"/>
  <c r="Y151" i="29"/>
  <c r="Y96" i="29"/>
  <c r="Y142" i="29"/>
  <c r="Y100" i="29"/>
  <c r="Y22" i="29"/>
  <c r="Y52" i="29"/>
  <c r="Y67" i="29"/>
  <c r="Y191" i="29"/>
  <c r="Y27" i="29"/>
  <c r="Y24" i="29"/>
  <c r="Y152" i="29"/>
  <c r="Y39" i="29"/>
  <c r="Z118" i="29"/>
  <c r="Y70" i="29"/>
  <c r="Y127" i="29"/>
  <c r="Y110" i="29"/>
  <c r="Y9" i="29"/>
  <c r="Y86" i="29"/>
  <c r="Y36" i="29"/>
  <c r="Y201" i="29"/>
  <c r="Y139" i="29"/>
  <c r="Y38" i="29"/>
  <c r="Y34" i="29"/>
  <c r="Y32" i="29"/>
  <c r="Y26" i="29"/>
  <c r="Z57" i="29"/>
  <c r="Y49" i="29"/>
  <c r="Y182" i="29"/>
  <c r="Y172" i="29"/>
  <c r="Y42" i="29"/>
  <c r="Y124" i="29"/>
  <c r="Y8" i="29"/>
  <c r="Y171" i="29"/>
  <c r="Y14" i="29"/>
  <c r="Y202" i="29"/>
  <c r="Y170" i="29"/>
  <c r="Z88" i="29"/>
  <c r="Y164" i="29"/>
  <c r="Z108" i="29"/>
  <c r="Y116" i="29"/>
  <c r="Y43" i="29"/>
  <c r="Y37" i="29"/>
  <c r="Y99" i="29"/>
  <c r="Z153" i="29"/>
  <c r="Y65" i="29"/>
  <c r="Y138" i="29"/>
  <c r="Y68" i="29"/>
  <c r="Y143" i="29"/>
  <c r="Y160" i="29"/>
  <c r="Y132" i="29"/>
  <c r="Y204" i="29"/>
  <c r="Y181" i="29"/>
  <c r="Y78" i="29"/>
  <c r="Y120" i="29"/>
  <c r="Y157" i="29"/>
  <c r="Y61" i="29"/>
  <c r="Z131" i="29"/>
  <c r="Y169" i="29"/>
  <c r="Y136" i="29"/>
  <c r="Y128" i="29"/>
  <c r="Y148" i="29"/>
  <c r="Y94" i="29"/>
  <c r="Y54" i="29"/>
  <c r="Y30" i="29"/>
  <c r="Y80" i="29"/>
  <c r="Y114" i="29"/>
  <c r="Y33" i="29"/>
  <c r="Y105" i="29"/>
  <c r="Y28" i="29"/>
  <c r="Y66" i="29"/>
  <c r="Y168" i="29"/>
  <c r="Y200" i="29"/>
  <c r="Z150" i="29"/>
  <c r="Y195" i="29"/>
  <c r="Y95" i="29"/>
  <c r="Y60" i="29"/>
  <c r="Y185" i="29"/>
  <c r="Y121" i="29"/>
  <c r="Y133" i="29"/>
  <c r="Y109" i="29"/>
  <c r="Y159" i="29"/>
  <c r="Y115" i="29"/>
  <c r="Y64" i="29"/>
  <c r="Y192" i="29"/>
  <c r="Z77" i="29"/>
  <c r="Y17" i="29"/>
  <c r="Y141" i="29"/>
  <c r="Y72" i="29"/>
  <c r="Y81" i="29"/>
  <c r="Y55" i="29"/>
  <c r="Y154" i="29"/>
  <c r="Y166" i="29"/>
  <c r="Y20" i="29"/>
  <c r="Y16" i="29"/>
  <c r="Y73" i="29"/>
  <c r="Y102" i="29"/>
  <c r="Y103" i="29"/>
  <c r="Y179" i="29"/>
  <c r="Y180" i="29"/>
  <c r="Y11" i="29"/>
  <c r="Y50" i="29"/>
  <c r="Y203" i="29"/>
  <c r="Y189" i="29"/>
  <c r="Y13" i="29"/>
  <c r="Y155" i="29"/>
  <c r="Y71" i="29"/>
  <c r="Y5" i="29"/>
  <c r="Y147" i="29"/>
  <c r="Y161" i="29"/>
  <c r="Y186" i="29"/>
  <c r="Z92" i="29"/>
  <c r="Y101" i="29"/>
  <c r="Y129" i="29"/>
  <c r="Y199" i="29"/>
  <c r="Y18" i="29"/>
  <c r="Y83" i="29"/>
  <c r="Y23" i="29"/>
  <c r="Y87" i="29"/>
  <c r="Y193" i="29"/>
  <c r="Y197" i="29"/>
  <c r="Y74" i="29"/>
  <c r="Y10" i="29"/>
  <c r="Y98" i="29"/>
  <c r="Y12" i="29"/>
  <c r="Y84" i="29"/>
  <c r="Y51" i="29"/>
  <c r="Y106" i="29"/>
  <c r="Y111" i="29"/>
  <c r="Y15" i="29"/>
  <c r="Y126" i="29"/>
  <c r="Y137" i="29"/>
  <c r="Y48" i="29"/>
  <c r="Y206" i="29"/>
  <c r="Y135" i="29"/>
  <c r="Y31" i="29"/>
  <c r="Y119" i="29"/>
  <c r="Y163" i="29"/>
  <c r="Y90" i="29"/>
  <c r="Y91" i="29"/>
  <c r="Y53" i="29"/>
  <c r="Z113" i="29"/>
  <c r="Y176" i="29"/>
  <c r="Y112" i="29"/>
  <c r="Y82" i="29"/>
  <c r="Y194" i="29"/>
  <c r="Y178" i="29"/>
  <c r="Y97" i="29"/>
  <c r="Y25" i="29"/>
  <c r="Y146" i="29"/>
  <c r="Y183" i="29"/>
  <c r="Z144" i="29"/>
  <c r="Z205" i="29"/>
  <c r="Y149" i="29"/>
  <c r="Y134" i="29"/>
  <c r="Y69" i="29"/>
  <c r="Y173" i="29"/>
  <c r="Y107" i="29"/>
  <c r="Z76" i="29"/>
  <c r="Y122"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Z52" i="29"/>
  <c r="Z156" i="29"/>
  <c r="Z151" i="29"/>
  <c r="Z42" i="29"/>
  <c r="Z155" i="29"/>
  <c r="Z158" i="29"/>
  <c r="Z198" i="29"/>
  <c r="Z70" i="29"/>
  <c r="Z179" i="29"/>
  <c r="Z186" i="29"/>
  <c r="Z79" i="29"/>
  <c r="Z169" i="29"/>
  <c r="Z30" i="29"/>
  <c r="Z43" i="29"/>
  <c r="Z146" i="29"/>
  <c r="Z172" i="29"/>
  <c r="Z128" i="29"/>
  <c r="Z164" i="29"/>
  <c r="Z135" i="29"/>
  <c r="Z50" i="29"/>
  <c r="Z65" i="29"/>
  <c r="Z111" i="29"/>
  <c r="Z81" i="29"/>
  <c r="Z78" i="29"/>
  <c r="Z181" i="29"/>
  <c r="Z55" i="29"/>
  <c r="Z8" i="29"/>
  <c r="Z161" i="29"/>
  <c r="Z114" i="29"/>
  <c r="Z14" i="29"/>
  <c r="Z154" i="29"/>
  <c r="Z202" i="29"/>
  <c r="Z203" i="29"/>
  <c r="Z110" i="29"/>
  <c r="Z13" i="29"/>
  <c r="Z53" i="29"/>
  <c r="Z29" i="29"/>
  <c r="Z157" i="29"/>
  <c r="Z138" i="29"/>
  <c r="Z167" i="29"/>
  <c r="Z105" i="29"/>
  <c r="Z41" i="29"/>
  <c r="Z196" i="29"/>
  <c r="Z5" i="29"/>
  <c r="Z32" i="29"/>
  <c r="Z183" i="29"/>
  <c r="Z182" i="29"/>
  <c r="Z171" i="29"/>
  <c r="Z204" i="29"/>
  <c r="Z36" i="29"/>
  <c r="Z201" i="29"/>
  <c r="Z40" i="29"/>
  <c r="Z103" i="29"/>
  <c r="Z194" i="29"/>
  <c r="Z178" i="29"/>
  <c r="Z26" i="29"/>
  <c r="Z117" i="29"/>
  <c r="Z139" i="29"/>
  <c r="Z74" i="29"/>
  <c r="Z91" i="29"/>
  <c r="Z159" i="29"/>
  <c r="Z72" i="29"/>
  <c r="Z148" i="29"/>
  <c r="Z102" i="29"/>
  <c r="Z10" i="29"/>
  <c r="Z180" i="29"/>
  <c r="Z38" i="29"/>
  <c r="Z132" i="29"/>
  <c r="Z3" i="29"/>
  <c r="Z176" i="29"/>
  <c r="Z97" i="29"/>
  <c r="Z34" i="29"/>
  <c r="Z67" i="29"/>
  <c r="Z101" i="29"/>
  <c r="Z87" i="29"/>
  <c r="Z18" i="29"/>
  <c r="Z56" i="29"/>
  <c r="V117" i="29"/>
  <c r="Z100" i="29"/>
  <c r="Z71" i="29"/>
  <c r="W79" i="29"/>
  <c r="Z22" i="29"/>
  <c r="Z192" i="29"/>
  <c r="Z48" i="29"/>
  <c r="Z11" i="29"/>
  <c r="Z82" i="29"/>
  <c r="Z193" i="29"/>
  <c r="Z94" i="29"/>
  <c r="Z63" i="29"/>
  <c r="Z59" i="29"/>
  <c r="Z187" i="29"/>
  <c r="Z142" i="29"/>
  <c r="Z188" i="29"/>
  <c r="Z9" i="29"/>
  <c r="Z121" i="29"/>
  <c r="Z31" i="29"/>
  <c r="Z195" i="29"/>
  <c r="Z124" i="29"/>
  <c r="Z206" i="29"/>
  <c r="Z143" i="29"/>
  <c r="Z126" i="29"/>
  <c r="Z119" i="29"/>
  <c r="Z168" i="29"/>
  <c r="Z15" i="29"/>
  <c r="Z73" i="29"/>
  <c r="Z127" i="29"/>
  <c r="Z96" i="29"/>
  <c r="Z23" i="29"/>
  <c r="Z160" i="29"/>
  <c r="Z133" i="29"/>
  <c r="Z95" i="29"/>
  <c r="Z189" i="29"/>
  <c r="Z109" i="29"/>
  <c r="Z20" i="29"/>
  <c r="Z86" i="29"/>
  <c r="Z166" i="29"/>
  <c r="Z69" i="29"/>
  <c r="Z149" i="29"/>
  <c r="Z17" i="29"/>
  <c r="Z200" i="29"/>
  <c r="Z99" i="29"/>
  <c r="Z199" i="29"/>
  <c r="Z90" i="29"/>
  <c r="Z106" i="29"/>
  <c r="Z37" i="29"/>
  <c r="Z120" i="29"/>
  <c r="Z115" i="29"/>
  <c r="Z107" i="29"/>
  <c r="Z25" i="29"/>
  <c r="Z27" i="29"/>
  <c r="Z16" i="29"/>
  <c r="Z173" i="29"/>
  <c r="Z197" i="29"/>
  <c r="Z136" i="29"/>
  <c r="Z170" i="29"/>
  <c r="Z54" i="29"/>
  <c r="Z130" i="29"/>
  <c r="Z19" i="29"/>
  <c r="Z12" i="29"/>
  <c r="Z66" i="29"/>
  <c r="Z116" i="29"/>
  <c r="Z64" i="29"/>
  <c r="V79" i="29"/>
  <c r="Z60" i="29"/>
  <c r="Z68" i="29"/>
  <c r="Z129" i="29"/>
  <c r="Z49" i="29"/>
  <c r="Z39" i="29"/>
  <c r="Z75" i="29"/>
  <c r="Z28" i="29"/>
  <c r="Z191" i="29"/>
  <c r="Z21" i="29"/>
  <c r="Z185" i="29"/>
  <c r="Z62" i="29"/>
  <c r="Z84" i="29"/>
  <c r="AU206" i="29" l="1"/>
  <c r="AV79" i="29"/>
  <c r="N177" i="29"/>
  <c r="AP177" i="29" s="1"/>
  <c r="X79" i="29"/>
  <c r="AU79" i="29" l="1"/>
  <c r="N44" i="29"/>
  <c r="AP44" i="29" s="1"/>
  <c r="N98" i="29"/>
  <c r="AP98" i="29" s="1"/>
  <c r="AB217" i="29" l="1"/>
  <c r="AB216" i="29"/>
  <c r="AE210" i="29"/>
  <c r="AE211" i="29"/>
  <c r="V205" i="29"/>
  <c r="V204" i="29"/>
  <c r="W205" i="29"/>
  <c r="W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4" i="29"/>
  <c r="X205"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F4" i="88" l="1"/>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F4" i="76" l="1"/>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V134" i="29"/>
  <c r="V106" i="29"/>
  <c r="Y140" i="29"/>
  <c r="W64" i="29"/>
  <c r="W155" i="29"/>
  <c r="W85" i="29"/>
  <c r="W82" i="29"/>
  <c r="W150" i="29"/>
  <c r="W123" i="29"/>
  <c r="V74" i="29"/>
  <c r="V47" i="29"/>
  <c r="V82" i="29"/>
  <c r="V4" i="29"/>
  <c r="V81" i="29"/>
  <c r="V179" i="29"/>
  <c r="W62" i="29"/>
  <c r="W24" i="29"/>
  <c r="W96" i="29"/>
  <c r="W27" i="29"/>
  <c r="W7" i="29"/>
  <c r="W133" i="29"/>
  <c r="V189" i="29"/>
  <c r="V136" i="29"/>
  <c r="W59" i="29"/>
  <c r="W15" i="29"/>
  <c r="V167" i="29"/>
  <c r="W35" i="29"/>
  <c r="V129" i="29"/>
  <c r="W98" i="29"/>
  <c r="W111" i="29"/>
  <c r="W197" i="29"/>
  <c r="W30" i="29"/>
  <c r="V83" i="29"/>
  <c r="W176" i="29"/>
  <c r="W39" i="29"/>
  <c r="V138" i="29"/>
  <c r="W178" i="29"/>
  <c r="V8" i="29"/>
  <c r="W55" i="29"/>
  <c r="V21" i="29"/>
  <c r="V42" i="29"/>
  <c r="V128" i="29"/>
  <c r="W47" i="29"/>
  <c r="V76" i="29"/>
  <c r="W80" i="29"/>
  <c r="V122" i="29"/>
  <c r="W149" i="29"/>
  <c r="W81" i="29"/>
  <c r="W37" i="29"/>
  <c r="V157" i="29"/>
  <c r="V166" i="29"/>
  <c r="W175" i="29"/>
  <c r="V198" i="29"/>
  <c r="V159" i="29"/>
  <c r="V13" i="29"/>
  <c r="W63" i="29"/>
  <c r="V84" i="29"/>
  <c r="V147" i="29"/>
  <c r="V135" i="29"/>
  <c r="W132" i="29"/>
  <c r="W76" i="29"/>
  <c r="W41" i="29"/>
  <c r="W154" i="29"/>
  <c r="W28" i="29"/>
  <c r="V63" i="29"/>
  <c r="V110" i="29"/>
  <c r="W32" i="29"/>
  <c r="W50" i="29"/>
  <c r="V169" i="29"/>
  <c r="V116" i="29"/>
  <c r="V48" i="29"/>
  <c r="V199" i="29"/>
  <c r="W177" i="29"/>
  <c r="V95" i="29"/>
  <c r="V88" i="29"/>
  <c r="V175" i="29"/>
  <c r="V142" i="29"/>
  <c r="V146" i="29"/>
  <c r="V145" i="29"/>
  <c r="W13" i="29"/>
  <c r="W164" i="29"/>
  <c r="V161" i="29"/>
  <c r="V22" i="29"/>
  <c r="V203" i="29"/>
  <c r="W153" i="29"/>
  <c r="V77" i="29"/>
  <c r="V71" i="29"/>
  <c r="W139" i="29"/>
  <c r="W188" i="29"/>
  <c r="V43" i="29"/>
  <c r="V97" i="29"/>
  <c r="W100" i="29"/>
  <c r="V86" i="29"/>
  <c r="W167" i="29"/>
  <c r="V11" i="29"/>
  <c r="W193" i="29"/>
  <c r="W185" i="29"/>
  <c r="W121" i="29"/>
  <c r="W169" i="29"/>
  <c r="W68" i="29"/>
  <c r="W9" i="29"/>
  <c r="Y58" i="29"/>
  <c r="W91" i="29"/>
  <c r="V125" i="29"/>
  <c r="V85" i="29"/>
  <c r="W194" i="29"/>
  <c r="V190" i="29"/>
  <c r="W108" i="29"/>
  <c r="W17" i="29"/>
  <c r="V173" i="29"/>
  <c r="V45" i="29"/>
  <c r="V171" i="29"/>
  <c r="V25" i="29"/>
  <c r="W137" i="29"/>
  <c r="V94" i="29"/>
  <c r="W126" i="29"/>
  <c r="V137" i="29"/>
  <c r="V131" i="29"/>
  <c r="W110" i="29"/>
  <c r="V54" i="29"/>
  <c r="W172" i="29"/>
  <c r="W46" i="29"/>
  <c r="V102" i="29"/>
  <c r="W158" i="29"/>
  <c r="W60" i="29"/>
  <c r="V70" i="29"/>
  <c r="V36" i="29"/>
  <c r="W5" i="29"/>
  <c r="V192" i="29"/>
  <c r="V200" i="29"/>
  <c r="W25" i="29"/>
  <c r="W10" i="29"/>
  <c r="V9" i="29"/>
  <c r="V15" i="29"/>
  <c r="W114" i="29"/>
  <c r="W16" i="29"/>
  <c r="W125" i="29"/>
  <c r="W113" i="29"/>
  <c r="V139" i="29"/>
  <c r="W43" i="29"/>
  <c r="V174" i="29"/>
  <c r="V107" i="29"/>
  <c r="V87" i="29"/>
  <c r="V14" i="29"/>
  <c r="V154" i="29"/>
  <c r="W74" i="29"/>
  <c r="V151" i="29"/>
  <c r="W61" i="29"/>
  <c r="V124" i="29"/>
  <c r="W65" i="29"/>
  <c r="V105" i="29"/>
  <c r="V181" i="29"/>
  <c r="V68" i="29"/>
  <c r="W106" i="29"/>
  <c r="V7" i="29"/>
  <c r="W109" i="29"/>
  <c r="V53" i="29"/>
  <c r="W90" i="29"/>
  <c r="W29" i="29"/>
  <c r="V46" i="29"/>
  <c r="V29" i="29"/>
  <c r="V72" i="29"/>
  <c r="W181" i="29"/>
  <c r="W44" i="29"/>
  <c r="V143" i="29"/>
  <c r="W147" i="29"/>
  <c r="W45" i="29"/>
  <c r="W8" i="29"/>
  <c r="W103" i="29"/>
  <c r="V165" i="29"/>
  <c r="V101" i="29"/>
  <c r="V30" i="29"/>
  <c r="V132" i="29"/>
  <c r="W161" i="29"/>
  <c r="V111" i="29"/>
  <c r="V164" i="29"/>
  <c r="V206" i="29"/>
  <c r="W49" i="29"/>
  <c r="V12" i="29"/>
  <c r="W160" i="29"/>
  <c r="V24" i="29"/>
  <c r="Y190" i="29"/>
  <c r="V195" i="29"/>
  <c r="W174" i="29"/>
  <c r="W86" i="29"/>
  <c r="W199" i="29"/>
  <c r="V202" i="29"/>
  <c r="W94" i="29"/>
  <c r="V184" i="29"/>
  <c r="W95" i="29"/>
  <c r="W89" i="29"/>
  <c r="V155" i="29"/>
  <c r="W23" i="29"/>
  <c r="W6" i="29"/>
  <c r="V56" i="29"/>
  <c r="W159" i="29"/>
  <c r="W118" i="29"/>
  <c r="W38" i="29"/>
  <c r="W48" i="29"/>
  <c r="V59" i="29"/>
  <c r="W191" i="29"/>
  <c r="V91" i="29"/>
  <c r="V153" i="29"/>
  <c r="W124" i="29"/>
  <c r="V141" i="29"/>
  <c r="V32" i="29"/>
  <c r="V61" i="29"/>
  <c r="V27" i="29"/>
  <c r="V62" i="29"/>
  <c r="W129" i="29"/>
  <c r="W69" i="29"/>
  <c r="W116" i="29"/>
  <c r="W182" i="29"/>
  <c r="V193" i="29"/>
  <c r="V113" i="29"/>
  <c r="W115" i="29"/>
  <c r="V23" i="29"/>
  <c r="V127" i="29"/>
  <c r="V5" i="29"/>
  <c r="V126" i="29"/>
  <c r="W128" i="29"/>
  <c r="W11" i="29"/>
  <c r="W144" i="29"/>
  <c r="W22" i="29"/>
  <c r="V99" i="29"/>
  <c r="V10" i="29"/>
  <c r="W97" i="29"/>
  <c r="W186" i="29"/>
  <c r="V33" i="29"/>
  <c r="V96" i="29"/>
  <c r="W104" i="29"/>
  <c r="W165" i="29"/>
  <c r="V67" i="29"/>
  <c r="V26" i="29"/>
  <c r="W157" i="29"/>
  <c r="W66" i="29"/>
  <c r="W151" i="29"/>
  <c r="W53" i="29"/>
  <c r="V140" i="29"/>
  <c r="V16" i="29"/>
  <c r="W148" i="29"/>
  <c r="V180" i="29"/>
  <c r="V60" i="29"/>
  <c r="W119" i="29"/>
  <c r="V112" i="29"/>
  <c r="V19" i="29"/>
  <c r="V41" i="29"/>
  <c r="W101" i="29"/>
  <c r="W67" i="29"/>
  <c r="W20" i="29"/>
  <c r="W131" i="29"/>
  <c r="V80" i="29"/>
  <c r="V187" i="29"/>
  <c r="V109" i="29"/>
  <c r="W99" i="29"/>
  <c r="W3" i="29"/>
  <c r="V78" i="29"/>
  <c r="W75" i="29"/>
  <c r="V133" i="29"/>
  <c r="W120" i="29"/>
  <c r="W190" i="29"/>
  <c r="W198" i="29"/>
  <c r="V150" i="29"/>
  <c r="V119" i="29"/>
  <c r="V28" i="29"/>
  <c r="W145" i="29"/>
  <c r="W83" i="29"/>
  <c r="V158" i="29"/>
  <c r="W71" i="29"/>
  <c r="V108" i="29"/>
  <c r="W33" i="29"/>
  <c r="V100" i="29"/>
  <c r="W152" i="29"/>
  <c r="W184" i="29"/>
  <c r="W143" i="29"/>
  <c r="V196" i="29"/>
  <c r="V89" i="29"/>
  <c r="W72" i="29"/>
  <c r="V51" i="29"/>
  <c r="V65" i="29"/>
  <c r="W163" i="29"/>
  <c r="V162" i="29"/>
  <c r="W26" i="29"/>
  <c r="W130" i="29"/>
  <c r="W136" i="29"/>
  <c r="V160" i="29"/>
  <c r="W195" i="29"/>
  <c r="V197" i="29"/>
  <c r="V69" i="29"/>
  <c r="W57" i="29"/>
  <c r="W141" i="29"/>
  <c r="W189" i="29"/>
  <c r="V103" i="29"/>
  <c r="W166" i="29"/>
  <c r="V115" i="29"/>
  <c r="V186" i="29"/>
  <c r="Y177" i="29"/>
  <c r="V149" i="29"/>
  <c r="W138" i="29"/>
  <c r="W112" i="29"/>
  <c r="V6" i="29"/>
  <c r="W84" i="29"/>
  <c r="V121" i="29"/>
  <c r="V44" i="29"/>
  <c r="V64" i="29"/>
  <c r="W105" i="29"/>
  <c r="W107" i="29"/>
  <c r="V191" i="29"/>
  <c r="W201" i="29"/>
  <c r="V118" i="29"/>
  <c r="V20" i="29"/>
  <c r="W54" i="29"/>
  <c r="W87" i="29"/>
  <c r="V92" i="29"/>
  <c r="V168" i="29"/>
  <c r="W56" i="29"/>
  <c r="W40" i="29"/>
  <c r="V130" i="29"/>
  <c r="W4" i="29"/>
  <c r="V123" i="29"/>
  <c r="V170" i="29"/>
  <c r="W12" i="29"/>
  <c r="W192" i="29"/>
  <c r="W18" i="29"/>
  <c r="V35" i="29"/>
  <c r="V177" i="29"/>
  <c r="W173" i="29"/>
  <c r="W51" i="29"/>
  <c r="V178" i="29"/>
  <c r="V156" i="29"/>
  <c r="W42" i="29"/>
  <c r="W168" i="29"/>
  <c r="W92" i="29"/>
  <c r="W78" i="29"/>
  <c r="V73" i="29"/>
  <c r="W21" i="29"/>
  <c r="W34" i="29"/>
  <c r="W196" i="29"/>
  <c r="V31" i="29"/>
  <c r="W77" i="29"/>
  <c r="V201" i="29"/>
  <c r="W73" i="29"/>
  <c r="V185" i="29"/>
  <c r="W14" i="29"/>
  <c r="V66" i="29"/>
  <c r="V49" i="29"/>
  <c r="W122" i="29"/>
  <c r="W134" i="29"/>
  <c r="W135" i="29"/>
  <c r="W31" i="29"/>
  <c r="W127" i="29"/>
  <c r="W52" i="29"/>
  <c r="V163" i="29"/>
  <c r="W36" i="29"/>
  <c r="W142" i="29"/>
  <c r="W171" i="29"/>
  <c r="V50" i="29"/>
  <c r="V93" i="29"/>
  <c r="W19" i="29"/>
  <c r="W162" i="29"/>
  <c r="W146" i="29"/>
  <c r="V58" i="29"/>
  <c r="V52" i="29"/>
  <c r="Y104" i="29"/>
  <c r="W170" i="29"/>
  <c r="V182" i="29"/>
  <c r="V144" i="29"/>
  <c r="W70" i="29"/>
  <c r="W58" i="29"/>
  <c r="V75" i="29"/>
  <c r="V176" i="29"/>
  <c r="V104" i="29"/>
  <c r="W140" i="29"/>
  <c r="V17" i="29"/>
  <c r="W200" i="29"/>
  <c r="V114" i="29"/>
  <c r="W180" i="29"/>
  <c r="V39" i="29"/>
  <c r="W203" i="29"/>
  <c r="V98" i="29"/>
  <c r="V57" i="29"/>
  <c r="V172" i="29"/>
  <c r="V40" i="29"/>
  <c r="V37" i="29"/>
  <c r="W88" i="29"/>
  <c r="W93" i="29"/>
  <c r="V90" i="29"/>
  <c r="W156" i="29"/>
  <c r="V148" i="29"/>
  <c r="V55" i="29"/>
  <c r="V183" i="29"/>
  <c r="V34" i="29"/>
  <c r="W183" i="29"/>
  <c r="V152" i="29"/>
  <c r="V38" i="29"/>
  <c r="V194" i="29"/>
  <c r="W117" i="29"/>
  <c r="W187" i="29"/>
  <c r="V18" i="29"/>
  <c r="W179" i="29"/>
  <c r="V120" i="29"/>
  <c r="W202" i="29"/>
  <c r="W102" i="29"/>
  <c r="V188" i="29"/>
  <c r="AV101" i="29" l="1"/>
  <c r="AV43" i="29"/>
  <c r="AV166" i="29"/>
  <c r="AV18" i="29"/>
  <c r="AV177" i="29"/>
  <c r="AV62" i="29"/>
  <c r="AV68" i="29"/>
  <c r="AV48" i="29"/>
  <c r="AV178" i="29"/>
  <c r="AV110" i="29"/>
  <c r="AV78" i="29"/>
  <c r="AV15" i="29"/>
  <c r="AV100" i="29"/>
  <c r="AV93" i="29"/>
  <c r="AV172" i="29"/>
  <c r="AV16" i="29"/>
  <c r="AV10" i="29"/>
  <c r="X58" i="29"/>
  <c r="AV193" i="29"/>
  <c r="AV63" i="29"/>
  <c r="AV175" i="29"/>
  <c r="X175" i="29"/>
  <c r="AV36" i="29"/>
  <c r="AV14" i="29"/>
  <c r="AV60" i="29"/>
  <c r="AV126" i="29"/>
  <c r="AV184" i="29"/>
  <c r="AV174" i="29"/>
  <c r="X174" i="29"/>
  <c r="AV86" i="29"/>
  <c r="AV80" i="29"/>
  <c r="X80" i="29"/>
  <c r="AV32" i="29"/>
  <c r="AV196" i="29"/>
  <c r="AV130" i="29"/>
  <c r="AV200" i="29"/>
  <c r="AV139" i="29"/>
  <c r="AV53" i="29"/>
  <c r="X190" i="29"/>
  <c r="AV190" i="29"/>
  <c r="AV121" i="29"/>
  <c r="AV116" i="29"/>
  <c r="AV84" i="29"/>
  <c r="AV128" i="29"/>
  <c r="AV81" i="29"/>
  <c r="AV87" i="29"/>
  <c r="AV194" i="29"/>
  <c r="AV197" i="29"/>
  <c r="AV180" i="29"/>
  <c r="X147" i="29"/>
  <c r="AV147" i="29"/>
  <c r="X162" i="29"/>
  <c r="AV162" i="29"/>
  <c r="AV102" i="29"/>
  <c r="AV118" i="29"/>
  <c r="AV179" i="29"/>
  <c r="AV54" i="29"/>
  <c r="AV66" i="29"/>
  <c r="X7" i="29"/>
  <c r="AV99" i="29"/>
  <c r="AV40" i="29"/>
  <c r="X6" i="29"/>
  <c r="AV125" i="29"/>
  <c r="X125" i="29"/>
  <c r="X45" i="29"/>
  <c r="AV59" i="29"/>
  <c r="AV91" i="29"/>
  <c r="AV107" i="29"/>
  <c r="AV188" i="29"/>
  <c r="AV202" i="29"/>
  <c r="AV88" i="29"/>
  <c r="AV12" i="29"/>
  <c r="AV165" i="29"/>
  <c r="X165" i="29"/>
  <c r="AV155" i="29"/>
  <c r="AV164" i="29"/>
  <c r="AV203" i="29"/>
  <c r="X140" i="29"/>
  <c r="AV55" i="29"/>
  <c r="AV52" i="29"/>
  <c r="AV25" i="29"/>
  <c r="AV103" i="29"/>
  <c r="AV92" i="29"/>
  <c r="AV201" i="29"/>
  <c r="AV138" i="29"/>
  <c r="X141" i="29"/>
  <c r="AV141" i="29"/>
  <c r="X51" i="29"/>
  <c r="AV51" i="29"/>
  <c r="X134" i="29"/>
  <c r="AV134" i="29"/>
  <c r="AV9" i="29"/>
  <c r="AV109" i="29"/>
  <c r="AV70" i="29"/>
  <c r="AV148" i="29"/>
  <c r="AV144" i="29"/>
  <c r="AV73" i="29"/>
  <c r="AV129" i="29"/>
  <c r="AV34" i="29"/>
  <c r="AV198" i="29"/>
  <c r="AV187" i="29"/>
  <c r="AV76" i="29"/>
  <c r="AV186" i="29"/>
  <c r="AV176" i="29"/>
  <c r="AV96" i="29"/>
  <c r="AV133" i="29"/>
  <c r="AV105" i="29"/>
  <c r="AV181" i="29"/>
  <c r="AV72" i="29"/>
  <c r="AV149" i="29"/>
  <c r="AV90" i="29"/>
  <c r="AV131" i="29"/>
  <c r="AV67" i="29"/>
  <c r="AV185" i="29"/>
  <c r="AV171" i="29"/>
  <c r="X33" i="29"/>
  <c r="AV33" i="29"/>
  <c r="AV28" i="29"/>
  <c r="AV97" i="29"/>
  <c r="AV124" i="29"/>
  <c r="AV38" i="29"/>
  <c r="AV136" i="29"/>
  <c r="AV170" i="29"/>
  <c r="AV106" i="29"/>
  <c r="AV74" i="29"/>
  <c r="AV31" i="29"/>
  <c r="AV156" i="29"/>
  <c r="X156" i="29"/>
  <c r="AV158" i="29"/>
  <c r="AV157" i="29"/>
  <c r="AV150" i="29"/>
  <c r="AV3" i="29"/>
  <c r="AV189" i="29"/>
  <c r="AV191" i="29"/>
  <c r="AV183" i="29"/>
  <c r="AV65" i="29"/>
  <c r="AV8" i="29"/>
  <c r="AV17" i="29"/>
  <c r="AV50" i="29"/>
  <c r="AV89" i="29"/>
  <c r="AV77" i="29"/>
  <c r="AV19" i="29"/>
  <c r="AV120" i="29"/>
  <c r="AV195" i="29"/>
  <c r="AV71" i="29"/>
  <c r="AV56" i="29"/>
  <c r="X85" i="29"/>
  <c r="AV85" i="29"/>
  <c r="AV114" i="29"/>
  <c r="AV117" i="29"/>
  <c r="AV159" i="29"/>
  <c r="AV168" i="29"/>
  <c r="AV152" i="29"/>
  <c r="X152" i="29"/>
  <c r="AV69" i="29"/>
  <c r="AV22" i="29"/>
  <c r="X24" i="29"/>
  <c r="AV24" i="29"/>
  <c r="AV20" i="29"/>
  <c r="AV146" i="29"/>
  <c r="AV37" i="29"/>
  <c r="X47" i="29"/>
  <c r="AV30" i="29"/>
  <c r="AV127" i="29"/>
  <c r="AV64" i="29"/>
  <c r="AV39" i="29"/>
  <c r="AV122" i="29"/>
  <c r="X122" i="29"/>
  <c r="AV151" i="29"/>
  <c r="AV111" i="29"/>
  <c r="AV143" i="29"/>
  <c r="AV169" i="29"/>
  <c r="AV153" i="29"/>
  <c r="AV26" i="29"/>
  <c r="AV13" i="29"/>
  <c r="AV5" i="29"/>
  <c r="AV167" i="29"/>
  <c r="AV61" i="29"/>
  <c r="X61" i="29"/>
  <c r="AV57" i="29"/>
  <c r="AV173" i="29"/>
  <c r="AV199" i="29"/>
  <c r="AV132" i="29"/>
  <c r="AV119" i="29"/>
  <c r="X83" i="29"/>
  <c r="AV83" i="29"/>
  <c r="AV21" i="29"/>
  <c r="AV49" i="29"/>
  <c r="AV42" i="29"/>
  <c r="AV41" i="29"/>
  <c r="AV161" i="29"/>
  <c r="AV23" i="29"/>
  <c r="X104" i="29"/>
  <c r="AV115" i="29"/>
  <c r="AV95" i="29"/>
  <c r="AV94" i="29"/>
  <c r="AV182" i="29"/>
  <c r="AV27" i="29"/>
  <c r="X112" i="29"/>
  <c r="AV112" i="29"/>
  <c r="AV160" i="29"/>
  <c r="AV98" i="29"/>
  <c r="X98" i="29"/>
  <c r="AV154" i="29"/>
  <c r="AV145" i="29"/>
  <c r="AV113" i="29"/>
  <c r="AV137" i="29"/>
  <c r="X137" i="29"/>
  <c r="AV29" i="29"/>
  <c r="AV192" i="29"/>
  <c r="AV108" i="29"/>
  <c r="X163" i="29"/>
  <c r="AV163" i="29"/>
  <c r="AV75" i="29"/>
  <c r="AV142" i="29"/>
  <c r="AV135" i="29"/>
  <c r="AV11" i="29"/>
  <c r="AV82" i="29"/>
  <c r="Z140" i="29"/>
  <c r="AV140" i="29"/>
  <c r="Z104" i="29"/>
  <c r="AV104" i="29"/>
  <c r="Z58" i="29"/>
  <c r="AV58" i="29"/>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X123" i="29"/>
  <c r="AU85" i="29" l="1"/>
  <c r="AU174" i="29"/>
  <c r="AU141" i="29"/>
  <c r="AU98" i="29"/>
  <c r="AU125" i="29"/>
  <c r="AU80" i="29"/>
  <c r="AU122" i="29"/>
  <c r="AU137" i="29"/>
  <c r="AU104" i="29"/>
  <c r="AU61" i="29"/>
  <c r="AU33" i="29"/>
  <c r="AU51" i="29"/>
  <c r="AU165" i="29"/>
  <c r="AU162" i="29"/>
  <c r="AU152" i="29"/>
  <c r="AU156" i="29"/>
  <c r="AU58" i="29"/>
  <c r="AU140" i="29"/>
  <c r="AU24" i="29"/>
  <c r="AU134" i="29"/>
  <c r="AU163" i="29"/>
  <c r="AU112" i="29"/>
  <c r="AU83" i="29"/>
  <c r="AU147" i="29"/>
  <c r="AU175" i="29"/>
  <c r="F4" i="72"/>
  <c r="A22" i="71"/>
  <c r="A21" i="71"/>
  <c r="A20" i="71"/>
  <c r="A19" i="71"/>
  <c r="A18" i="71"/>
  <c r="A17" i="71"/>
  <c r="A16" i="71"/>
  <c r="A15" i="71"/>
  <c r="A14" i="71"/>
  <c r="A13" i="71"/>
  <c r="A12" i="71"/>
  <c r="A11" i="71"/>
  <c r="A10" i="71"/>
  <c r="A9" i="71"/>
  <c r="A8" i="71"/>
  <c r="A7" i="71"/>
  <c r="A6" i="71"/>
  <c r="A5" i="71"/>
  <c r="X186" i="29"/>
  <c r="Y123" i="29"/>
  <c r="X169" i="29"/>
  <c r="X12" i="29"/>
  <c r="X84" i="29"/>
  <c r="X31" i="29"/>
  <c r="X107" i="29"/>
  <c r="X117" i="29"/>
  <c r="X118" i="29"/>
  <c r="X128" i="29"/>
  <c r="X90" i="29"/>
  <c r="X97" i="29"/>
  <c r="X40" i="29"/>
  <c r="X188" i="29"/>
  <c r="X200" i="29"/>
  <c r="X72" i="29"/>
  <c r="X130" i="29"/>
  <c r="X101" i="29"/>
  <c r="X65" i="29"/>
  <c r="X4" i="29"/>
  <c r="X22" i="29"/>
  <c r="X28" i="29"/>
  <c r="X19" i="29"/>
  <c r="X93" i="29"/>
  <c r="X184" i="29"/>
  <c r="X62" i="29"/>
  <c r="X182" i="29"/>
  <c r="X103" i="29"/>
  <c r="X29" i="29"/>
  <c r="X81" i="29"/>
  <c r="X173" i="29"/>
  <c r="X54" i="29"/>
  <c r="X73" i="29"/>
  <c r="X68" i="29"/>
  <c r="X56" i="29"/>
  <c r="X145" i="29"/>
  <c r="X155" i="29"/>
  <c r="X202" i="29"/>
  <c r="X3" i="29"/>
  <c r="X99" i="29"/>
  <c r="X52" i="29"/>
  <c r="X26" i="29"/>
  <c r="X158" i="29"/>
  <c r="X18" i="29"/>
  <c r="X197" i="29"/>
  <c r="X55" i="29"/>
  <c r="X199" i="29"/>
  <c r="X153" i="29"/>
  <c r="Z190" i="29"/>
  <c r="X63" i="29"/>
  <c r="X38" i="29"/>
  <c r="X23" i="29"/>
  <c r="X133" i="29"/>
  <c r="X32" i="29"/>
  <c r="X41" i="29"/>
  <c r="X201" i="29"/>
  <c r="X10" i="29"/>
  <c r="X76" i="29"/>
  <c r="X88" i="29"/>
  <c r="X142" i="29"/>
  <c r="X42" i="29"/>
  <c r="X46" i="29"/>
  <c r="X59" i="29"/>
  <c r="X64" i="29"/>
  <c r="X193" i="29"/>
  <c r="X60" i="29"/>
  <c r="X20" i="29"/>
  <c r="X198" i="29"/>
  <c r="X161" i="29"/>
  <c r="X183" i="29"/>
  <c r="X111" i="29"/>
  <c r="X179" i="29"/>
  <c r="X167" i="29"/>
  <c r="X21" i="29"/>
  <c r="X11" i="29"/>
  <c r="X171" i="29"/>
  <c r="X89" i="29"/>
  <c r="X109" i="29"/>
  <c r="X13" i="29"/>
  <c r="X5" i="29"/>
  <c r="X113" i="29"/>
  <c r="X149" i="29"/>
  <c r="X132" i="29"/>
  <c r="X37" i="29"/>
  <c r="X196" i="29"/>
  <c r="X181" i="29"/>
  <c r="X8" i="29"/>
  <c r="X48" i="29"/>
  <c r="X114" i="29"/>
  <c r="X69" i="29"/>
  <c r="X70" i="29"/>
  <c r="X136" i="29"/>
  <c r="X77" i="29"/>
  <c r="X139" i="29"/>
  <c r="X66" i="29"/>
  <c r="X138" i="29"/>
  <c r="X148" i="29"/>
  <c r="X35" i="29"/>
  <c r="X25" i="29"/>
  <c r="X91" i="29"/>
  <c r="X121" i="29"/>
  <c r="X178" i="29"/>
  <c r="X164" i="29"/>
  <c r="X168" i="29"/>
  <c r="Y7" i="29"/>
  <c r="X146" i="29"/>
  <c r="X9" i="29"/>
  <c r="X96" i="29"/>
  <c r="X116" i="29"/>
  <c r="X126" i="29"/>
  <c r="X127" i="29"/>
  <c r="X194" i="29"/>
  <c r="X166" i="29"/>
  <c r="X43" i="29"/>
  <c r="X30" i="29"/>
  <c r="X160" i="29"/>
  <c r="X110" i="29"/>
  <c r="X108" i="29"/>
  <c r="X34" i="29"/>
  <c r="X15" i="29"/>
  <c r="X170" i="29"/>
  <c r="X195" i="29"/>
  <c r="X94" i="29"/>
  <c r="X159" i="29"/>
  <c r="X102" i="29"/>
  <c r="X82" i="29"/>
  <c r="X27" i="29"/>
  <c r="X176" i="29"/>
  <c r="X49" i="29"/>
  <c r="X86" i="29"/>
  <c r="X105" i="29"/>
  <c r="X44" i="29"/>
  <c r="X180" i="29"/>
  <c r="X185" i="29"/>
  <c r="X36" i="29"/>
  <c r="Z177" i="29"/>
  <c r="X92" i="29"/>
  <c r="X172" i="29"/>
  <c r="X78" i="29"/>
  <c r="X39" i="29"/>
  <c r="X115" i="29"/>
  <c r="X106" i="29"/>
  <c r="X14" i="29"/>
  <c r="X177" i="29"/>
  <c r="X131" i="29"/>
  <c r="X150" i="29"/>
  <c r="X50" i="29"/>
  <c r="X135" i="29"/>
  <c r="X203" i="29"/>
  <c r="X154" i="29"/>
  <c r="X192" i="29"/>
  <c r="X120" i="29"/>
  <c r="X124" i="29"/>
  <c r="X53" i="29"/>
  <c r="X87" i="29"/>
  <c r="X189" i="29"/>
  <c r="X57" i="29"/>
  <c r="X151" i="29"/>
  <c r="X144" i="29"/>
  <c r="X74" i="29"/>
  <c r="X100" i="29"/>
  <c r="X75" i="29"/>
  <c r="X143" i="29"/>
  <c r="X71" i="29"/>
  <c r="X187" i="29"/>
  <c r="X129" i="29"/>
  <c r="X95" i="29"/>
  <c r="X191" i="29"/>
  <c r="X16" i="29"/>
  <c r="X157" i="29"/>
  <c r="X119" i="29"/>
  <c r="X17" i="29"/>
  <c r="X67" i="29"/>
  <c r="AU67" i="29" l="1"/>
  <c r="AU74" i="29"/>
  <c r="AU115" i="29"/>
  <c r="AU11" i="29"/>
  <c r="AU187" i="29"/>
  <c r="AU139" i="29"/>
  <c r="AU39" i="29"/>
  <c r="AU21" i="29"/>
  <c r="AU54" i="29"/>
  <c r="AU144" i="29"/>
  <c r="AU78" i="29"/>
  <c r="AU167" i="29"/>
  <c r="AU71" i="29"/>
  <c r="AU77" i="29"/>
  <c r="AU172" i="29"/>
  <c r="AU179" i="29"/>
  <c r="AU151" i="29"/>
  <c r="AU92" i="29"/>
  <c r="AU111" i="29"/>
  <c r="AU17" i="29"/>
  <c r="AU136" i="29"/>
  <c r="AU183" i="29"/>
  <c r="AU143" i="29"/>
  <c r="AU57" i="29"/>
  <c r="AU36" i="29"/>
  <c r="AU161" i="29"/>
  <c r="AU148" i="29"/>
  <c r="AU157" i="29"/>
  <c r="AU185" i="29"/>
  <c r="AU198" i="29"/>
  <c r="AU173" i="29"/>
  <c r="AU70" i="29"/>
  <c r="AU180" i="29"/>
  <c r="AU20" i="29"/>
  <c r="AU119" i="29"/>
  <c r="AU189" i="29"/>
  <c r="AU60" i="29"/>
  <c r="AU75" i="29"/>
  <c r="AU69" i="29"/>
  <c r="AU105" i="29"/>
  <c r="AU193" i="29"/>
  <c r="AU138" i="29"/>
  <c r="AU114" i="29"/>
  <c r="AU86" i="29"/>
  <c r="AU64" i="29"/>
  <c r="AU81" i="29"/>
  <c r="AU87" i="29"/>
  <c r="AU49" i="29"/>
  <c r="AU59" i="29"/>
  <c r="AU100" i="29"/>
  <c r="AU53" i="29"/>
  <c r="AU176" i="29"/>
  <c r="AU66" i="29"/>
  <c r="AU48" i="29"/>
  <c r="AU27" i="29"/>
  <c r="AU42" i="29"/>
  <c r="AU29" i="29"/>
  <c r="AU16" i="29"/>
  <c r="AU82" i="29"/>
  <c r="AU142" i="29"/>
  <c r="AU103" i="29"/>
  <c r="AU124" i="29"/>
  <c r="AU102" i="29"/>
  <c r="AU88" i="29"/>
  <c r="AU182" i="29"/>
  <c r="AU8" i="29"/>
  <c r="AU159" i="29"/>
  <c r="AU76" i="29"/>
  <c r="AU62" i="29"/>
  <c r="AU120" i="29"/>
  <c r="AU94" i="29"/>
  <c r="AU10" i="29"/>
  <c r="AU184" i="29"/>
  <c r="AU181" i="29"/>
  <c r="AU195" i="29"/>
  <c r="AU201" i="29"/>
  <c r="AU93" i="29"/>
  <c r="AU192" i="29"/>
  <c r="AU170" i="29"/>
  <c r="AU41" i="29"/>
  <c r="AU19" i="29"/>
  <c r="AU196" i="29"/>
  <c r="AU15" i="29"/>
  <c r="AU32" i="29"/>
  <c r="AU28" i="29"/>
  <c r="AU191" i="29"/>
  <c r="AU34" i="29"/>
  <c r="AU133" i="29"/>
  <c r="AU22" i="29"/>
  <c r="AU154" i="29"/>
  <c r="AU108" i="29"/>
  <c r="AU23" i="29"/>
  <c r="AU37" i="29"/>
  <c r="AU110" i="29"/>
  <c r="AU38" i="29"/>
  <c r="AU65" i="29"/>
  <c r="AU132" i="29"/>
  <c r="AU160" i="29"/>
  <c r="AU63" i="29"/>
  <c r="AU101" i="29"/>
  <c r="AU203" i="29"/>
  <c r="AU30" i="29"/>
  <c r="AU190" i="29"/>
  <c r="AU130" i="29"/>
  <c r="AU135" i="29"/>
  <c r="AU43" i="29"/>
  <c r="AU153" i="29"/>
  <c r="AU72" i="29"/>
  <c r="AU149" i="29"/>
  <c r="AU166" i="29"/>
  <c r="AU199" i="29"/>
  <c r="AU200" i="29"/>
  <c r="AU95" i="29"/>
  <c r="AU194" i="29"/>
  <c r="AU55" i="29"/>
  <c r="AU188" i="29"/>
  <c r="AU50" i="29"/>
  <c r="AU127" i="29"/>
  <c r="AU197" i="29"/>
  <c r="AU40" i="29"/>
  <c r="AU113" i="29"/>
  <c r="AU126" i="29"/>
  <c r="AU18" i="29"/>
  <c r="AU97" i="29"/>
  <c r="AU5" i="29"/>
  <c r="AU116" i="29"/>
  <c r="AU158" i="29"/>
  <c r="AU90" i="29"/>
  <c r="AU150" i="29"/>
  <c r="AU96" i="29"/>
  <c r="AU26" i="29"/>
  <c r="AU128" i="29"/>
  <c r="AU13" i="29"/>
  <c r="AU9" i="29"/>
  <c r="AU52" i="29"/>
  <c r="AU118" i="29"/>
  <c r="AU131" i="29"/>
  <c r="AU146" i="29"/>
  <c r="AU99" i="29"/>
  <c r="AU117" i="29"/>
  <c r="AU109" i="29"/>
  <c r="AV7" i="29"/>
  <c r="AU3" i="29"/>
  <c r="AU107" i="29"/>
  <c r="AU177" i="29"/>
  <c r="AU168" i="29"/>
  <c r="AU202" i="29"/>
  <c r="AU31" i="29"/>
  <c r="AU129" i="29"/>
  <c r="AU164" i="29"/>
  <c r="AU155" i="29"/>
  <c r="AU84" i="29"/>
  <c r="AU89" i="29"/>
  <c r="AU178" i="29"/>
  <c r="AU145" i="29"/>
  <c r="AU12" i="29"/>
  <c r="AU14" i="29"/>
  <c r="AU121" i="29"/>
  <c r="AU56" i="29"/>
  <c r="AU169" i="29"/>
  <c r="AU171" i="29"/>
  <c r="AU91" i="29"/>
  <c r="AU68" i="29"/>
  <c r="AV123" i="29"/>
  <c r="Z123" i="29"/>
  <c r="AU106" i="29"/>
  <c r="AU25" i="29"/>
  <c r="AU73" i="29"/>
  <c r="AU186" i="29"/>
  <c r="F4" i="71"/>
  <c r="A14" i="70"/>
  <c r="A13" i="70"/>
  <c r="A12" i="70"/>
  <c r="A11" i="70"/>
  <c r="A10" i="70"/>
  <c r="A9" i="70"/>
  <c r="A8" i="70"/>
  <c r="A7" i="70"/>
  <c r="A6" i="70"/>
  <c r="A5" i="70"/>
  <c r="Z7" i="29"/>
  <c r="AU123" i="29" l="1"/>
  <c r="AU7" i="29"/>
  <c r="F4" i="70"/>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Y35" i="29"/>
  <c r="AV35" i="29" l="1"/>
  <c r="A35" i="66"/>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Z35" i="29"/>
  <c r="AU35" i="29" l="1"/>
  <c r="F4" i="66"/>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Z4" i="29"/>
  <c r="Y6" i="29"/>
  <c r="Z6" i="29" l="1"/>
  <c r="AV6" i="29"/>
  <c r="AU6" i="29" s="1"/>
  <c r="AU4" i="29"/>
  <c r="F4" i="63"/>
  <c r="F4" i="62"/>
  <c r="F4" i="61"/>
  <c r="Y45" i="29"/>
  <c r="Y46" i="29"/>
  <c r="Y47" i="29"/>
  <c r="AV45" i="29" l="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5" i="29"/>
  <c r="Z46" i="29"/>
  <c r="Z47" i="29"/>
  <c r="AU45" i="29" l="1"/>
  <c r="AU47" i="29"/>
  <c r="AU46" i="29"/>
  <c r="A3" i="36"/>
  <c r="F3" i="36"/>
  <c r="F4" i="36"/>
  <c r="Y44" i="29"/>
  <c r="AV44" i="29" l="1"/>
  <c r="Z44" i="29"/>
  <c r="AU44" i="29" l="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L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family val="2"/>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L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L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L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L162" authorId="0" shapeId="0">
      <text>
        <r>
          <rPr>
            <b/>
            <sz val="9"/>
            <color indexed="81"/>
            <rFont val="Tahoma"/>
            <family val="2"/>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family val="2"/>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family val="2"/>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<sst xmlns="http://schemas.openxmlformats.org/spreadsheetml/2006/main" count="19636" uniqueCount="2615">
  <si>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</si>
  <si>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</si>
  <si>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</si>
  <si>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</si>
  <si>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</si>
  <si>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</si>
  <si>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</si>
  <si>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</si>
  <si>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</si>
  <si>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</si>
  <si>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</si>
  <si>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</si>
  <si>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</si>
  <si>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</si>
  <si>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</si>
  <si>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</si>
  <si>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</si>
  <si>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</si>
  <si>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</si>
  <si>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</si>
  <si>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</si>
  <si>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</si>
  <si>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</si>
  <si>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</si>
  <si>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</si>
  <si>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</si>
  <si>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</si>
  <si>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</si>
  <si>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</si>
  <si>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</si>
  <si>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</si>
  <si>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</si>
  <si>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</si>
  <si>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</si>
  <si>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</si>
  <si>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</si>
  <si>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</si>
  <si>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</si>
  <si>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</si>
  <si>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</si>
  <si>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</si>
  <si>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</si>
  <si>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</si>
  <si>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</si>
  <si>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</si>
  <si>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</si>
  <si>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</si>
  <si>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</si>
  <si>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</si>
  <si>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</si>
  <si>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</si>
  <si>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</si>
  <si>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</si>
  <si>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</si>
  <si>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</si>
  <si>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</si>
  <si>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</si>
  <si>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</si>
  <si>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</si>
  <si>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</si>
  <si>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</si>
  <si>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</si>
  <si>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</si>
  <si>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</si>
  <si>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</si>
  <si>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</si>
  <si>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</si>
  <si>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</si>
  <si>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</si>
  <si>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</si>
  <si>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</si>
  <si>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</si>
  <si>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</si>
  <si>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</si>
  <si>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</si>
  <si>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</si>
  <si>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</si>
  <si>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</si>
  <si>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</si>
  <si>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</si>
  <si>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</si>
  <si>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</si>
  <si>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</si>
  <si>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</si>
  <si>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</si>
  <si>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</si>
  <si>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</si>
  <si>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</si>
  <si>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</si>
  <si>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</si>
  <si>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</si>
  <si>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</si>
  <si>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</si>
  <si>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</si>
  <si>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</si>
  <si>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</si>
  <si>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</si>
  <si>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</si>
  <si>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</si>
  <si>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</si>
  <si>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</si>
  <si>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</si>
  <si>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</si>
  <si>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</si>
  <si>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</si>
  <si>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</si>
  <si>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</si>
  <si>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</si>
  <si>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</si>
  <si>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</si>
  <si>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</si>
  <si>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</si>
  <si>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</si>
  <si>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</si>
  <si>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</si>
  <si>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</si>
  <si>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</si>
  <si>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</si>
  <si>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</si>
  <si>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</si>
  <si>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</si>
  <si>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</si>
  <si>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</si>
  <si>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</si>
  <si>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</si>
  <si>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</si>
  <si>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</si>
  <si>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</si>
  <si>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</si>
  <si>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</si>
  <si>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</si>
  <si>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</si>
  <si>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</si>
  <si>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</si>
  <si>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</si>
  <si>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</si>
  <si>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</si>
  <si>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</si>
  <si>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</si>
  <si>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</si>
  <si>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</si>
  <si>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</si>
  <si>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</si>
  <si>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</si>
  <si>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</si>
  <si>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</si>
  <si>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</si>
  <si>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</si>
  <si>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</si>
  <si>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</si>
  <si>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</si>
  <si>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</si>
  <si>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</si>
  <si>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</si>
  <si>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</si>
  <si>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</si>
  <si>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</si>
  <si>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</si>
  <si>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</si>
  <si>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</si>
  <si>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</si>
  <si>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</si>
  <si>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</si>
  <si>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</si>
  <si>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</si>
  <si>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</si>
  <si>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</si>
  <si>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</si>
  <si>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</si>
  <si>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</si>
  <si>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</si>
  <si>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</si>
  <si>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</si>
  <si>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</si>
  <si>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</si>
  <si>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</si>
  <si>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</si>
  <si>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</si>
  <si>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</si>
  <si>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</si>
  <si>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</si>
  <si>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</si>
  <si>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</si>
  <si>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</si>
  <si>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</si>
  <si>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</si>
  <si>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</si>
  <si>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</si>
  <si>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</si>
  <si>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</si>
  <si>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</si>
  <si>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</si>
  <si>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</si>
  <si>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</si>
  <si>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</si>
  <si>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</si>
  <si>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</si>
  <si>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</si>
  <si>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</si>
  <si>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</si>
  <si>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</si>
  <si>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</si>
  <si>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</si>
  <si>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</si>
  <si>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</si>
  <si>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</si>
  <si>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</si>
  <si>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</si>
  <si>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</si>
  <si>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</si>
  <si>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</si>
  <si>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</si>
  <si>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</si>
  <si>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</si>
  <si>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</si>
  <si>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</si>
  <si>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</si>
  <si>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</si>
  <si>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</si>
  <si>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</si>
  <si>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</si>
  <si>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</si>
  <si>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</si>
  <si>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</si>
  <si>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</si>
  <si>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</si>
  <si>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</si>
  <si>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</si>
  <si>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</si>
  <si>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</si>
  <si>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</si>
  <si>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</si>
  <si>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</si>
  <si>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</si>
  <si>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</si>
  <si>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</si>
  <si>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</si>
  <si>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</si>
  <si>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</si>
  <si>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</si>
  <si>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</si>
  <si>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</si>
  <si>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</si>
  <si>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</si>
  <si>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</si>
  <si>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</si>
  <si>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</si>
  <si>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</si>
  <si>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</si>
  <si>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</si>
  <si>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</si>
  <si>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</si>
  <si>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</si>
  <si>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</si>
  <si>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</si>
  <si>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</si>
  <si>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</si>
  <si>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</si>
  <si>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</si>
  <si>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</si>
  <si>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</si>
  <si>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</si>
  <si>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</si>
  <si>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</si>
  <si>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</si>
  <si>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</si>
  <si>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</si>
  <si>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</si>
  <si>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</si>
  <si>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</si>
  <si>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</si>
  <si>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</si>
  <si>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</si>
  <si>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</si>
  <si>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</si>
  <si>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</si>
  <si>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</si>
  <si>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</si>
  <si>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</si>
  <si>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</si>
  <si>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</si>
  <si>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</si>
  <si>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</si>
  <si>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</si>
  <si>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</si>
  <si>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</si>
  <si>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</si>
  <si>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</si>
  <si>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</si>
  <si>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</si>
  <si>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</si>
  <si>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</si>
  <si>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</si>
  <si>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</si>
  <si>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</si>
  <si>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</si>
  <si>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</si>
  <si>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</si>
  <si>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</si>
  <si>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</si>
  <si>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</si>
  <si>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</si>
  <si>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</si>
  <si>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</si>
  <si>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</si>
  <si>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</si>
  <si>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</si>
  <si>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</si>
  <si>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</si>
  <si>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</si>
  <si>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</si>
  <si>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</si>
  <si>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</si>
  <si>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</si>
  <si>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</si>
  <si>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</si>
  <si>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</si>
  <si>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</si>
  <si>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</si>
  <si>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</si>
  <si>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</si>
  <si>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</si>
  <si>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</si>
  <si>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</si>
  <si>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</si>
  <si>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</si>
  <si>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</si>
  <si>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</si>
  <si>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</si>
  <si>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</si>
  <si>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</si>
  <si>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</si>
  <si>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</si>
  <si>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</si>
  <si>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</si>
  <si>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</si>
  <si>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</si>
  <si>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</si>
  <si>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</si>
  <si>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</si>
  <si>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</si>
  <si>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</si>
  <si>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</si>
  <si>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</si>
  <si>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</si>
  <si>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</si>
  <si>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</si>
  <si>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</si>
  <si>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</si>
  <si>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</si>
  <si>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</si>
  <si>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</si>
  <si>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</si>
  <si>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</si>
  <si>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</si>
  <si>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</si>
  <si>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</si>
  <si>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</si>
  <si>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</si>
  <si>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</si>
  <si>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</si>
  <si>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</si>
  <si>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</si>
  <si>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</si>
  <si>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</si>
  <si>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</si>
  <si>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</si>
  <si>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</si>
  <si>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</si>
  <si>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</si>
  <si>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</si>
  <si>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</si>
  <si>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</si>
  <si>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</si>
  <si>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</si>
  <si>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</si>
  <si>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</si>
  <si>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</si>
  <si>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</si>
  <si>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</si>
  <si>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</si>
  <si>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</si>
  <si>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</si>
  <si>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</si>
  <si>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</si>
  <si>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</si>
  <si>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</si>
  <si>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</si>
  <si>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</si>
  <si>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</si>
  <si>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</si>
  <si>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</si>
  <si>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</si>
  <si>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</si>
  <si>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</si>
  <si>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</si>
  <si>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</si>
  <si>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</si>
  <si>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</si>
  <si>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</si>
  <si>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</si>
  <si>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</si>
  <si>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</si>
  <si>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</si>
  <si>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</si>
  <si>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</si>
  <si>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</si>
  <si>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</si>
  <si>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</si>
  <si>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</si>
  <si>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</si>
  <si>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</si>
  <si>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</si>
  <si>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</si>
  <si>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</si>
  <si>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</si>
  <si>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</si>
  <si>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</si>
  <si>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</si>
  <si>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</si>
  <si>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</si>
  <si>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</si>
  <si>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</si>
  <si>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</si>
  <si>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</si>
  <si>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</si>
  <si>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</si>
  <si>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</si>
  <si>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</si>
  <si>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</si>
  <si>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</si>
  <si>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</si>
  <si>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</si>
  <si>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</si>
  <si>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</si>
  <si>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</si>
  <si>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</si>
  <si>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</si>
  <si>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</si>
  <si>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</si>
  <si>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</si>
  <si>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</si>
  <si>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</si>
  <si>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</si>
  <si>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</si>
  <si>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</si>
  <si>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</si>
  <si>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</si>
  <si>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</si>
  <si>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</si>
  <si>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</si>
  <si>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</si>
  <si>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</si>
  <si>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</si>
  <si>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</si>
  <si>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</si>
  <si>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</si>
  <si>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</si>
  <si>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</si>
  <si>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</si>
  <si>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</si>
  <si>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</si>
  <si>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</si>
  <si>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</si>
  <si>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</si>
  <si>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</si>
  <si>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</si>
  <si>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</si>
  <si>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</si>
  <si>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</si>
  <si>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</si>
  <si>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</si>
  <si>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</si>
  <si>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</si>
  <si>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</si>
  <si>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</si>
  <si>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</si>
  <si>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</si>
  <si>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</si>
  <si>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</si>
  <si>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</si>
  <si>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</si>
  <si>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</si>
  <si>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</si>
  <si>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</si>
  <si>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</si>
  <si>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</si>
  <si>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</si>
  <si>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</si>
  <si>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</si>
  <si>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</si>
  <si>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</si>
  <si>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</si>
  <si>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</si>
  <si>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</si>
  <si>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</si>
  <si>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</si>
  <si>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</si>
  <si>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</si>
  <si>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</si>
  <si>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</si>
  <si>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</si>
  <si>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</si>
  <si>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</si>
  <si>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</si>
  <si>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</si>
  <si>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</si>
  <si>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</si>
  <si>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</si>
  <si>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</si>
  <si>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</si>
  <si>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</si>
  <si>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</si>
  <si>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</si>
  <si>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</si>
  <si>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</si>
  <si>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</si>
  <si>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</si>
  <si>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</si>
  <si>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</si>
  <si>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</si>
  <si>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</si>
  <si>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</si>
  <si>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</si>
  <si>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</si>
  <si>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</si>
  <si>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</si>
  <si>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</si>
  <si>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</si>
  <si>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</si>
  <si>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</si>
  <si>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</si>
  <si>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</si>
  <si>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</si>
  <si>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</si>
  <si>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</si>
  <si>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</si>
  <si>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</si>
  <si>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</si>
  <si>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</si>
  <si>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</si>
  <si>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</si>
  <si>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</si>
  <si>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</si>
  <si>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</si>
  <si>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</si>
  <si>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</si>
  <si>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</si>
  <si>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</si>
  <si>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</si>
  <si>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</si>
  <si>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</si>
  <si>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</si>
  <si>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</si>
  <si>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</si>
  <si>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</si>
  <si>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</si>
  <si>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</si>
  <si>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</si>
  <si>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</si>
  <si>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</si>
  <si>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</si>
  <si>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</si>
  <si>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</si>
  <si>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</si>
  <si>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</si>
  <si>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</si>
  <si>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</si>
  <si>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</si>
  <si>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</si>
  <si>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</si>
  <si>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</si>
  <si>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</si>
  <si>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</si>
  <si>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</si>
  <si>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</si>
  <si>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</si>
  <si>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</si>
  <si>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</si>
  <si>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</si>
  <si>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</si>
  <si>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</si>
  <si>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</si>
  <si>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</si>
  <si>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</si>
  <si>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</si>
  <si>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</si>
  <si>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</si>
  <si>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</si>
  <si>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</si>
  <si>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</si>
  <si>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</si>
  <si>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</si>
  <si>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</si>
  <si>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</si>
  <si>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</si>
  <si>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</si>
  <si>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</si>
  <si>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</si>
  <si>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</si>
  <si>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</si>
  <si>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</si>
  <si>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</si>
  <si>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</si>
  <si>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</si>
  <si>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</si>
  <si>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</si>
  <si>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</si>
  <si>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</si>
  <si>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</si>
  <si>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</si>
  <si>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</si>
  <si>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</si>
  <si>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</si>
  <si>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</si>
  <si>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</si>
  <si>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</si>
  <si>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</si>
  <si>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</si>
  <si>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</si>
  <si>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</si>
  <si>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</si>
  <si>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</si>
  <si>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</si>
  <si>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</si>
  <si>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</si>
  <si>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</si>
  <si>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</si>
  <si>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</si>
  <si>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</si>
  <si>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</si>
  <si>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</si>
  <si>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</si>
  <si>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</si>
  <si>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</si>
  <si>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</si>
  <si>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</si>
  <si>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</si>
  <si>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</si>
  <si>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</si>
  <si>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</si>
  <si>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</si>
  <si>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</si>
  <si>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</si>
  <si>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</si>
  <si>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</si>
  <si>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</si>
  <si>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</si>
  <si>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</si>
  <si>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</si>
  <si>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</si>
  <si>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</si>
  <si>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</si>
  <si>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</si>
  <si>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</si>
  <si>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</si>
  <si>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</si>
  <si>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</si>
  <si>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</si>
  <si>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</si>
  <si>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</si>
  <si>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</si>
  <si>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</si>
  <si>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</si>
  <si>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</si>
  <si>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</si>
  <si>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</si>
  <si>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</si>
  <si>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</si>
  <si>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</si>
  <si>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</si>
  <si>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</si>
  <si>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</si>
  <si>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</si>
  <si>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</si>
  <si>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</si>
  <si>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</si>
  <si>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</si>
  <si>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</si>
  <si>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</si>
  <si>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</si>
  <si>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</si>
  <si>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</si>
  <si>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</si>
  <si>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</si>
  <si>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</si>
  <si>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</si>
  <si>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</si>
  <si>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</si>
  <si>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</si>
  <si>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</si>
  <si>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</si>
  <si>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</si>
  <si>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</si>
  <si>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</si>
  <si>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</si>
  <si>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</si>
  <si>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</si>
  <si>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</si>
  <si>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</si>
  <si>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</si>
  <si>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</si>
  <si>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</si>
  <si>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</si>
  <si>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</si>
  <si>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</si>
  <si>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</si>
  <si>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</si>
  <si>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</si>
  <si>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</si>
  <si>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</si>
  <si>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</si>
  <si>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</si>
  <si>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</si>
  <si>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</si>
  <si>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</si>
  <si>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</si>
  <si>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</si>
  <si>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</si>
  <si>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</si>
  <si>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</si>
  <si>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</si>
  <si>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</si>
  <si>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</si>
  <si>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</si>
  <si>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</si>
  <si>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</si>
  <si>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</si>
  <si>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</si>
  <si>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</si>
  <si>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</si>
  <si>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</si>
  <si>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</si>
  <si>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</si>
  <si>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</si>
  <si>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</si>
  <si>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</si>
  <si>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</si>
  <si>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</si>
  <si>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</si>
  <si>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</si>
  <si>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</si>
  <si>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</si>
  <si>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</si>
  <si>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</si>
  <si>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</si>
  <si>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</si>
  <si>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</si>
  <si>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</si>
  <si>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</si>
  <si>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</si>
  <si>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</si>
  <si>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</si>
  <si>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</si>
  <si>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</si>
  <si>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</si>
  <si>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</si>
  <si>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</si>
  <si>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</si>
  <si>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</si>
  <si>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</si>
  <si>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</si>
  <si>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</si>
  <si>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</si>
  <si>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</si>
  <si>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</si>
  <si>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</si>
  <si>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</si>
  <si>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</si>
  <si>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</si>
  <si>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</si>
  <si>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</si>
  <si>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</si>
  <si>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</si>
  <si>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</si>
  <si>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</si>
  <si>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</si>
  <si>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</si>
  <si>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</si>
  <si>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</si>
  <si>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</si>
  <si>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</si>
  <si>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</si>
  <si>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</si>
  <si>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</si>
  <si>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</si>
  <si>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</si>
  <si>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</si>
  <si>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</si>
  <si>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</si>
  <si>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</si>
  <si>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</si>
  <si>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</si>
  <si>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</si>
  <si>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</si>
  <si>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</si>
  <si>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</si>
  <si>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</si>
  <si>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</si>
  <si>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</si>
  <si>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</si>
  <si>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</si>
  <si>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</si>
  <si>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</si>
  <si>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</si>
  <si>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</si>
  <si>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</si>
  <si>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</si>
  <si>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</si>
  <si>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</si>
  <si>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</si>
  <si>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</si>
  <si>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</si>
  <si>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</si>
  <si>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</si>
  <si>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</si>
  <si>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</si>
  <si>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</si>
  <si>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</si>
  <si>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</si>
  <si>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</si>
  <si>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</si>
  <si>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</si>
  <si>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</si>
  <si>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</si>
  <si>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</si>
  <si>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</si>
  <si>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</si>
  <si>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</si>
  <si>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</si>
  <si>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</si>
  <si>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</si>
  <si>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</si>
  <si>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</si>
  <si>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</si>
  <si>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</si>
  <si>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</si>
  <si>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</si>
  <si>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</si>
  <si>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</si>
  <si>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</si>
  <si>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</si>
  <si>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</si>
  <si>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</si>
  <si>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</si>
  <si>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</si>
  <si>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</si>
  <si>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</si>
  <si>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</si>
  <si>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</si>
  <si>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</si>
  <si>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</si>
  <si>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</si>
  <si>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</si>
  <si>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</si>
  <si>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</si>
  <si>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</si>
  <si>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</si>
  <si>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</si>
  <si>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</si>
  <si>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</si>
  <si>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</si>
  <si>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</si>
  <si>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</si>
  <si>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</si>
  <si>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</si>
  <si>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</si>
  <si>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</si>
  <si>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</si>
  <si>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</si>
  <si>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</si>
  <si>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</si>
  <si>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</si>
  <si>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</si>
  <si>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</si>
  <si>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</si>
  <si>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</si>
  <si>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</si>
  <si>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</si>
  <si>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</si>
  <si>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</si>
  <si>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</si>
  <si>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</si>
  <si>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</si>
  <si>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</si>
  <si>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</si>
  <si>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</si>
  <si>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</si>
  <si>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</si>
  <si>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</si>
  <si>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</si>
  <si>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</si>
  <si>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</si>
  <si>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</si>
  <si>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</si>
  <si>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</si>
  <si>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</si>
  <si>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</si>
  <si>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</si>
  <si>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</si>
  <si>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</si>
  <si>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</si>
  <si>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</si>
  <si>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</si>
  <si>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</si>
  <si>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</si>
  <si>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</si>
  <si>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</si>
  <si>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</si>
  <si>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</si>
  <si>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</si>
  <si>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</si>
  <si>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</si>
  <si>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</si>
  <si>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</si>
  <si>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</si>
  <si>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</si>
  <si>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</si>
  <si>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</si>
  <si>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</si>
  <si>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</si>
  <si>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</si>
  <si>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</si>
  <si>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</si>
  <si>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</si>
  <si>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</si>
  <si>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</si>
  <si>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</si>
  <si>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</si>
  <si>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</si>
  <si>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</si>
  <si>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</si>
  <si>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</si>
  <si>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</si>
  <si>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</si>
  <si>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</si>
  <si>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</si>
  <si>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</si>
  <si>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</si>
  <si>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</si>
  <si>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</si>
  <si>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</si>
  <si>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</si>
  <si>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</si>
  <si>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</si>
  <si>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</si>
  <si>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</si>
  <si>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</si>
  <si>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</si>
  <si>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</si>
  <si>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</si>
  <si>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</si>
  <si>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</si>
  <si>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</si>
  <si>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</si>
  <si>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</si>
  <si>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</si>
  <si>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</si>
  <si>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</si>
  <si>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</si>
  <si>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</si>
  <si>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</si>
  <si>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</si>
  <si>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</si>
  <si>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</si>
  <si>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</si>
  <si>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</si>
  <si>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</si>
  <si>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</si>
  <si>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</si>
  <si>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</si>
  <si>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</si>
  <si>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</si>
  <si>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</si>
  <si>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</si>
  <si>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</si>
  <si>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</si>
  <si>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</si>
  <si>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</si>
  <si>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</si>
  <si>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</si>
  <si>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</si>
  <si>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</si>
  <si>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</si>
  <si>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</si>
  <si>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</si>
  <si>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</si>
  <si>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</si>
  <si>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</si>
  <si>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</si>
  <si>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</si>
  <si>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</si>
  <si>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</si>
  <si>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</si>
  <si>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</si>
  <si>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</si>
  <si>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</si>
  <si>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</si>
  <si>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</si>
  <si>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</si>
  <si>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</si>
  <si>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</si>
  <si>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</si>
  <si>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</si>
  <si>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</si>
  <si>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</si>
  <si>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</si>
  <si>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</si>
  <si>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</si>
  <si>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</si>
  <si>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</si>
  <si>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</si>
  <si>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</si>
  <si>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</si>
  <si>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</si>
  <si>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</si>
  <si>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</si>
  <si>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</si>
  <si>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</si>
  <si>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</si>
  <si>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</si>
  <si>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</si>
  <si>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</si>
  <si>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</si>
  <si>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</si>
  <si>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</si>
  <si>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</si>
  <si>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</si>
  <si>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</si>
  <si>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</si>
  <si>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</si>
  <si>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</si>
  <si>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</si>
  <si>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</si>
  <si>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</si>
  <si>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</si>
  <si>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</si>
  <si>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</si>
  <si>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</si>
  <si>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</si>
  <si>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</si>
  <si>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</si>
  <si>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</si>
  <si>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</si>
  <si>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</si>
  <si>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</si>
  <si>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</si>
  <si>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</si>
  <si>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</si>
  <si>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</si>
  <si>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</si>
  <si>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</si>
  <si>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</si>
  <si>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</si>
  <si>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</si>
  <si>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</si>
  <si>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</si>
  <si>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</si>
  <si>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</si>
  <si>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</si>
  <si>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</si>
  <si>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</si>
  <si>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</si>
  <si>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</si>
  <si>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</si>
  <si>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</si>
  <si>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</si>
  <si>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</si>
  <si>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</si>
  <si>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</si>
  <si>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</si>
  <si>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</si>
  <si>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</si>
  <si>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</si>
  <si>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</si>
  <si>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</si>
  <si>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</si>
  <si>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</si>
  <si>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</si>
  <si>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</si>
  <si>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</si>
  <si>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</si>
  <si>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</si>
  <si>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</si>
  <si>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</si>
  <si>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</si>
  <si>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</si>
  <si>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</si>
  <si>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</si>
  <si>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</si>
  <si>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</si>
  <si>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</si>
  <si>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</si>
  <si>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</si>
  <si>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</si>
  <si>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</si>
  <si>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</si>
  <si>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</si>
  <si>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</si>
  <si>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</si>
  <si>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</si>
  <si>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</si>
  <si>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</si>
  <si>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</si>
  <si>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</si>
  <si>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</si>
  <si>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</si>
  <si>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</si>
  <si>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</si>
  <si>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</si>
  <si>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</si>
  <si>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</si>
  <si>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</si>
  <si>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</si>
  <si>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</si>
  <si>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</si>
  <si>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</si>
  <si>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</si>
  <si>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</si>
  <si>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</si>
  <si>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</si>
  <si>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</si>
  <si>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</si>
  <si>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</si>
  <si>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</si>
  <si>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</si>
  <si>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</si>
  <si>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</si>
  <si>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</si>
  <si>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</si>
  <si>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</si>
  <si>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</si>
  <si>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</si>
  <si>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</si>
  <si>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</si>
  <si>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</si>
  <si>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</si>
  <si>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</si>
  <si>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</si>
  <si>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</si>
  <si>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</si>
  <si>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</si>
  <si>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</si>
  <si>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</si>
  <si>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</si>
  <si>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</si>
  <si>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</si>
  <si>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</si>
  <si>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</si>
  <si>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</si>
  <si>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</si>
  <si>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</si>
  <si>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</si>
  <si>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</si>
  <si>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</si>
  <si>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</si>
  <si>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</si>
  <si>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</si>
  <si>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</si>
  <si>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</si>
  <si>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</si>
  <si>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</si>
  <si>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</si>
  <si>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</si>
  <si>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</si>
  <si>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</si>
  <si>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</si>
  <si>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</si>
  <si>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</si>
  <si>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</si>
  <si>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</si>
  <si>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</si>
  <si>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</si>
  <si>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</si>
  <si>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</si>
  <si>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</si>
  <si>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</si>
  <si>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</si>
  <si>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</si>
  <si>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</si>
  <si>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</si>
  <si>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</si>
  <si>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</si>
  <si>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</si>
  <si>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</si>
  <si>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</si>
  <si>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</si>
  <si>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</si>
  <si>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</si>
  <si>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</si>
  <si>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</si>
  <si>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</si>
  <si>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</si>
  <si>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</si>
  <si>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</si>
  <si>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</si>
  <si>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</si>
  <si>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</si>
  <si>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</si>
  <si>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</si>
  <si>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</si>
  <si>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</si>
  <si>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</si>
  <si>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</si>
  <si>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</si>
  <si>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</si>
  <si>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</si>
  <si>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</si>
  <si>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</si>
  <si>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</si>
  <si>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</si>
  <si>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</si>
  <si>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</si>
  <si>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</si>
  <si>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</si>
  <si>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</si>
  <si>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</si>
  <si>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</si>
  <si>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</si>
  <si>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</si>
  <si>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</si>
  <si>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</si>
  <si>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</si>
  <si>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</si>
  <si>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</si>
  <si>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</si>
  <si>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</si>
  <si>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</si>
  <si>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</si>
  <si>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</si>
  <si>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</si>
  <si>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</si>
  <si>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</si>
  <si>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</si>
  <si>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</si>
  <si>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</si>
  <si>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</si>
  <si>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</si>
  <si>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</si>
  <si>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</si>
  <si>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</si>
  <si>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</si>
  <si>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</si>
  <si>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</si>
  <si>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</si>
  <si>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</si>
  <si>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</si>
  <si>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</si>
  <si>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</si>
  <si>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</si>
  <si>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</si>
  <si>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</si>
  <si>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</si>
  <si>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</si>
  <si>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</si>
  <si>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</si>
  <si>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</si>
  <si>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</si>
  <si>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</si>
  <si>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</si>
  <si>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</si>
  <si>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</si>
  <si>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</si>
  <si>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</si>
  <si>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</si>
  <si>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</si>
  <si>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</si>
  <si>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</si>
  <si>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</si>
  <si>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</si>
  <si>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</si>
  <si>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</si>
  <si>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</si>
  <si>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</si>
  <si>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</si>
  <si>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</si>
  <si>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</si>
  <si>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</si>
  <si>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</si>
  <si>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</si>
  <si>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</si>
  <si>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</si>
  <si>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</si>
  <si>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</si>
  <si>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</si>
  <si>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</si>
  <si>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</si>
  <si>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</si>
  <si>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</si>
  <si>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</si>
  <si>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</si>
  <si>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</si>
  <si>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</si>
  <si>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</si>
  <si>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</si>
  <si>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</si>
  <si>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</si>
  <si>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</si>
  <si>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</si>
  <si>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</si>
  <si>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</si>
  <si>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</si>
  <si>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</si>
  <si>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</si>
  <si>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</si>
  <si>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</si>
  <si>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</si>
  <si>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</si>
  <si>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</si>
  <si>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</si>
  <si>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</si>
  <si>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</si>
  <si>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</si>
  <si>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</si>
  <si>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</si>
  <si>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</si>
  <si>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</si>
  <si>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</si>
  <si>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</si>
  <si>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</si>
  <si>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</si>
  <si>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</si>
  <si>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</si>
  <si>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</si>
  <si>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</si>
  <si>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</si>
  <si>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</si>
  <si>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</si>
  <si>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</si>
  <si>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</si>
  <si>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</si>
  <si>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</si>
  <si>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</si>
  <si>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</si>
  <si>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</si>
  <si>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</si>
  <si>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</si>
  <si>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</si>
  <si>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</si>
  <si>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</si>
  <si>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</si>
  <si>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</si>
  <si>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</si>
  <si>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</si>
  <si>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</si>
  <si>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</si>
  <si>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</si>
  <si>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</si>
  <si>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</si>
  <si>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</si>
  <si>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</si>
  <si>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</si>
  <si>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</si>
  <si>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</si>
  <si>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</si>
  <si>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</si>
  <si>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</si>
  <si>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</si>
  <si>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</si>
  <si>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</si>
  <si>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</si>
  <si>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</si>
  <si>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</si>
  <si>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</si>
  <si>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</si>
  <si>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</si>
  <si>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</si>
  <si>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</si>
  <si>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</si>
  <si>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</si>
  <si>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</si>
  <si>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</si>
  <si>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</si>
  <si>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</si>
  <si>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</si>
  <si>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</si>
  <si>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</si>
  <si>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</si>
  <si>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</si>
  <si>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</si>
  <si>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</si>
  <si>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</si>
  <si>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</si>
  <si>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</si>
  <si>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</si>
  <si>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</si>
  <si>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</si>
  <si>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</si>
  <si>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</si>
  <si>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</si>
  <si>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</si>
  <si>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</si>
  <si>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</si>
  <si>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</si>
  <si>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</si>
  <si>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</si>
  <si>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</si>
  <si>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</si>
  <si>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</si>
  <si>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</si>
  <si>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</si>
  <si>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</si>
  <si>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</si>
  <si>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</si>
  <si>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</si>
  <si>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</si>
  <si>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</si>
  <si>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</si>
  <si>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</si>
  <si>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</si>
  <si>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</si>
  <si>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</si>
  <si>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</si>
  <si>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</si>
  <si>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</si>
  <si>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</si>
  <si>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</si>
  <si>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</si>
  <si>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</si>
  <si>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</si>
  <si>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</si>
  <si>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</si>
  <si>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</si>
  <si>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</si>
  <si>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</si>
  <si>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</si>
  <si>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</si>
  <si>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</si>
  <si>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</si>
  <si>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</si>
  <si>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</si>
  <si>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</si>
  <si>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</si>
  <si>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</si>
  <si>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</si>
  <si>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</si>
  <si>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</si>
  <si>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</si>
  <si>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</si>
  <si>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</si>
  <si>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</si>
  <si>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</si>
  <si>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</si>
  <si>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</si>
  <si>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</si>
  <si>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</si>
  <si>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</si>
  <si>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</si>
  <si>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</si>
  <si>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</si>
  <si>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</si>
  <si>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</si>
  <si>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</si>
  <si>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</si>
  <si>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</si>
  <si>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</si>
  <si>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</si>
  <si>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</si>
  <si>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</si>
  <si>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</si>
  <si>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</si>
  <si>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</si>
  <si>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</si>
  <si>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</si>
  <si>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</si>
  <si>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</si>
  <si>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</si>
  <si>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</si>
  <si>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</si>
  <si>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</si>
  <si>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</si>
  <si>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</si>
  <si>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</si>
  <si>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</si>
  <si>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</si>
  <si>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</si>
  <si>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</si>
  <si>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</si>
  <si>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</si>
  <si>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</si>
  <si>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</si>
  <si>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</si>
  <si>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</si>
  <si>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</si>
  <si>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</si>
  <si>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</si>
  <si>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</si>
  <si>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</si>
  <si>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</si>
  <si>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</si>
  <si>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</si>
  <si>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</si>
  <si>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</si>
  <si>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</si>
  <si>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</si>
  <si>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</si>
  <si>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</si>
  <si>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</si>
  <si>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</si>
  <si>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</si>
  <si>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</si>
  <si>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</si>
  <si>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</si>
  <si>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</si>
  <si>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</si>
  <si>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</si>
  <si>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</si>
  <si>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</si>
  <si>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</si>
  <si>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</si>
  <si>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</si>
  <si>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</si>
  <si>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</si>
  <si>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</si>
  <si>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</si>
  <si>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</si>
  <si>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</si>
  <si>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</si>
  <si>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</si>
  <si>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</si>
  <si>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</si>
  <si>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</si>
  <si>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</si>
  <si>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</si>
  <si>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</si>
  <si>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</si>
  <si>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</si>
  <si>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</si>
  <si>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</si>
  <si>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</si>
  <si>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</si>
  <si>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</si>
  <si>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</si>
  <si>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</si>
  <si>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</si>
  <si>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</si>
  <si>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</si>
  <si>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</si>
  <si>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</si>
  <si>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</si>
  <si>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</si>
  <si>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</si>
  <si>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</si>
  <si>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</si>
  <si>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</si>
  <si>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</si>
  <si>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</si>
  <si>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</si>
  <si>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</si>
  <si>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</si>
  <si>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</si>
  <si>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</si>
  <si>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</si>
  <si>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</si>
  <si>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</si>
  <si>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</si>
  <si>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</si>
  <si>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</si>
  <si>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</si>
  <si>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</si>
  <si>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</si>
  <si>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</si>
  <si>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</si>
  <si>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</si>
  <si>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</si>
  <si>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</si>
  <si>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</si>
  <si>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</si>
  <si>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</si>
  <si>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</si>
  <si>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</si>
  <si>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</si>
  <si>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</si>
  <si>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</si>
  <si>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</si>
  <si>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</si>
  <si>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</si>
  <si>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</si>
  <si>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</si>
  <si>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</si>
  <si>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</si>
  <si>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</si>
  <si>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</si>
  <si>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</si>
  <si>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</si>
  <si>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</si>
  <si>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</si>
  <si>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</si>
  <si>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</si>
  <si>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</si>
  <si>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</si>
  <si>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</si>
  <si>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</si>
  <si>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</si>
  <si>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</si>
  <si>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</si>
  <si>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</si>
  <si>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</si>
  <si>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</si>
  <si>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</si>
  <si>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</si>
  <si>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</si>
  <si>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</si>
  <si>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</si>
  <si>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</si>
  <si>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</si>
  <si>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</si>
  <si>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</si>
  <si>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</si>
  <si>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</si>
  <si>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</si>
  <si>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</si>
  <si>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</si>
  <si>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</si>
  <si>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</si>
  <si>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</si>
  <si>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</si>
  <si>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</si>
  <si>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</si>
  <si>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</si>
  <si>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</si>
  <si>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</si>
  <si>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</si>
  <si>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</si>
  <si>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</si>
  <si>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</si>
  <si>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</si>
  <si>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</si>
  <si>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</si>
  <si>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</si>
  <si>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</si>
  <si>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</si>
  <si>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</si>
  <si>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</si>
  <si>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</si>
  <si>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</si>
  <si>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</si>
  <si>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</si>
  <si>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</si>
  <si>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</si>
  <si>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</si>
  <si>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</si>
  <si>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</si>
  <si>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</si>
  <si>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</si>
  <si>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</si>
  <si>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</si>
  <si>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</si>
  <si>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</si>
  <si>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</si>
  <si>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</si>
  <si>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</si>
  <si>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</si>
  <si>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</si>
  <si>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</si>
  <si>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</si>
  <si>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</si>
  <si>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</si>
  <si>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</si>
  <si>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</si>
  <si>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</si>
  <si>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</si>
  <si>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</si>
  <si>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</si>
  <si>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</si>
  <si>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</si>
  <si>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</si>
  <si>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</si>
  <si>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</si>
  <si>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</si>
  <si>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</si>
  <si>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</si>
  <si>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</si>
  <si>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</si>
  <si>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</si>
  <si>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</si>
  <si>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</si>
  <si>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</si>
  <si>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</si>
  <si>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</si>
  <si>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</si>
  <si>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</si>
  <si>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</si>
  <si>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</si>
  <si>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</si>
  <si>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</si>
  <si>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</si>
  <si>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</si>
  <si>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</si>
  <si>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</si>
  <si>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</si>
  <si>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</si>
  <si>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</si>
  <si>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</si>
  <si>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</si>
  <si>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</si>
  <si>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</si>
  <si>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</si>
  <si>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</si>
  <si>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</si>
  <si>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</si>
  <si>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</si>
  <si>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</si>
  <si>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</si>
  <si>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</si>
  <si>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</si>
  <si>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</si>
  <si>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</si>
  <si>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</si>
  <si>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</si>
  <si>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</si>
  <si>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</si>
  <si>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</si>
  <si>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</si>
  <si>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</si>
  <si>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</si>
  <si>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</si>
  <si>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</si>
  <si>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</si>
  <si>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</si>
  <si>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</si>
  <si>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</si>
  <si>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</si>
  <si>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</si>
  <si>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</si>
  <si>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</si>
  <si>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</si>
  <si>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</si>
  <si>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</si>
  <si>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</si>
  <si>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</si>
  <si>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</si>
  <si>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</si>
  <si>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</si>
  <si>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</si>
  <si>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</si>
  <si>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</si>
  <si>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</si>
  <si>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</si>
  <si>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</si>
  <si>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</si>
  <si>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</si>
  <si>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</si>
  <si>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</si>
  <si>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</si>
  <si>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</si>
  <si>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</si>
  <si>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</si>
  <si>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</si>
  <si>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</si>
  <si>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</si>
  <si>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</si>
  <si>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</si>
  <si>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</si>
  <si>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</si>
  <si>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</si>
  <si>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</si>
  <si>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</si>
  <si>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</si>
  <si>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</si>
  <si>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</si>
  <si>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</si>
  <si>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</si>
  <si>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</si>
  <si>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</si>
  <si>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</si>
  <si>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</si>
  <si>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</si>
  <si>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</si>
  <si>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</si>
  <si>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</si>
  <si>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</si>
  <si>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</si>
  <si>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</si>
  <si>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</si>
  <si>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</si>
  <si>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</si>
  <si>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</si>
  <si>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</si>
  <si>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</si>
  <si>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</si>
  <si>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</si>
  <si>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</si>
  <si>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</si>
  <si>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</si>
  <si>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</si>
  <si>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</si>
  <si>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</si>
  <si>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</si>
  <si>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</si>
  <si>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</si>
  <si>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</si>
  <si>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</si>
  <si>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</si>
  <si>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</si>
  <si>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</si>
  <si>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</si>
  <si>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</si>
  <si>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</si>
  <si>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</si>
  <si>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</si>
  <si>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</si>
  <si>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</si>
  <si>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</si>
  <si>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</si>
  <si>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</si>
  <si>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</si>
  <si>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</si>
  <si>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</si>
  <si>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</si>
  <si>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</si>
  <si>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</si>
  <si>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</si>
  <si>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</si>
  <si>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</si>
  <si>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</si>
  <si>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</si>
  <si>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</si>
  <si>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</si>
  <si>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</si>
  <si>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</si>
  <si>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</si>
  <si>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</si>
  <si>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</si>
  <si>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</si>
  <si>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</si>
  <si>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</si>
  <si>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</si>
  <si>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</si>
  <si>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</si>
  <si>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</si>
  <si>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</si>
  <si>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</si>
  <si>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</si>
  <si>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</si>
  <si>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</si>
  <si>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</si>
  <si>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</si>
  <si>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</si>
  <si>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</si>
  <si>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</si>
  <si>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</si>
  <si>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</si>
  <si>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</si>
  <si>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</si>
  <si>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</si>
  <si>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</si>
  <si>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</si>
  <si>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</si>
  <si>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</si>
  <si>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</si>
  <si>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</si>
  <si>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</si>
  <si>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</si>
  <si>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</si>
  <si>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</si>
  <si>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</si>
  <si>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</si>
  <si>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</si>
  <si>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</si>
  <si>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</si>
  <si>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</si>
  <si>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</si>
  <si>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</si>
  <si>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</si>
  <si>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</si>
  <si>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</si>
  <si>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</si>
  <si>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</si>
  <si>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</si>
  <si>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</si>
  <si>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</si>
  <si>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</si>
  <si>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</si>
  <si>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</si>
  <si>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</si>
  <si>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</si>
  <si>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</si>
  <si>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</si>
  <si>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</si>
  <si>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</si>
  <si>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</si>
  <si>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</si>
  <si>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</si>
  <si>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</si>
  <si>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</si>
  <si>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</si>
  <si>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</si>
  <si>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</si>
  <si>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</si>
  <si>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</si>
  <si>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</si>
  <si>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</si>
  <si>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</si>
  <si>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</si>
  <si>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</si>
  <si>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</si>
  <si>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</si>
  <si>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</si>
  <si>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</si>
  <si>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</si>
  <si>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</si>
  <si>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</si>
  <si>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</si>
  <si>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</si>
  <si>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</si>
  <si>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</si>
  <si>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</si>
  <si>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</si>
  <si>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</si>
  <si>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</si>
  <si>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</si>
  <si>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</si>
  <si>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</si>
  <si>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</si>
  <si>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</si>
  <si>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</si>
  <si>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</si>
  <si>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</si>
  <si>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</si>
  <si>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</si>
  <si>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</si>
  <si>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</si>
  <si>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</si>
  <si>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</si>
  <si>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</si>
  <si>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</si>
  <si>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</si>
  <si>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</si>
  <si>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</si>
  <si>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</si>
  <si>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</si>
  <si>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</si>
  <si>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</si>
  <si>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</si>
  <si>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</si>
  <si>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</si>
  <si>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</si>
  <si>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</si>
  <si>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</si>
  <si>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</si>
  <si>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</si>
  <si>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</si>
  <si>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</si>
  <si>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</si>
  <si>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</si>
  <si>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</si>
  <si>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</si>
  <si>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</si>
  <si>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</si>
  <si>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</si>
  <si>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</si>
  <si>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</si>
  <si>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</si>
  <si>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</si>
  <si>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</si>
  <si>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</si>
  <si>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</si>
  <si>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</si>
  <si>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</si>
  <si>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</si>
  <si>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</si>
  <si>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</si>
  <si>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</si>
  <si>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</si>
  <si>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</si>
  <si>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</si>
  <si>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</si>
  <si>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</si>
  <si>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</si>
  <si>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</si>
  <si>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</si>
  <si>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</si>
  <si>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</si>
  <si>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</si>
  <si>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</si>
  <si>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</si>
  <si>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</si>
  <si>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</si>
  <si>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</si>
  <si>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</si>
  <si>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</si>
  <si>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</si>
  <si>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</si>
  <si>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</si>
  <si>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</si>
  <si>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</si>
  <si>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</si>
  <si>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</si>
  <si>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</si>
  <si>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</si>
  <si>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</si>
  <si>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</si>
  <si>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</si>
  <si>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</si>
  <si>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</si>
  <si>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</si>
  <si>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</si>
  <si>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</si>
  <si>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</si>
  <si>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</si>
  <si>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</si>
  <si>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</si>
  <si>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</si>
  <si>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</si>
  <si>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</si>
  <si>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</si>
  <si>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</si>
  <si>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</si>
  <si>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</si>
  <si>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</si>
  <si>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</si>
  <si>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</si>
  <si>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</si>
  <si>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</si>
  <si>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</si>
  <si>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</si>
  <si>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</si>
  <si>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</si>
  <si>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</si>
  <si>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</si>
  <si>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</si>
  <si>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</si>
  <si>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</si>
  <si>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</si>
  <si>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</si>
  <si>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</si>
  <si>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</si>
  <si>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</si>
  <si>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</si>
  <si>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</si>
  <si>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</si>
  <si>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</si>
  <si>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</si>
  <si>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</si>
  <si>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</si>
  <si>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</si>
  <si>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</si>
  <si>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</si>
  <si>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</si>
  <si>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</si>
  <si>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</si>
  <si>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</si>
  <si>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</si>
  <si>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</si>
  <si>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</si>
  <si>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</si>
  <si>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</si>
  <si>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</si>
  <si>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</si>
  <si>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</si>
  <si>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</si>
  <si>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</si>
  <si>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</si>
  <si>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</si>
  <si>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</si>
  <si>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</si>
  <si>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</si>
  <si>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</si>
  <si>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</si>
  <si>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</si>
  <si>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</si>
  <si>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</si>
  <si>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</si>
  <si>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</si>
  <si>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</si>
  <si>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</si>
  <si>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</si>
  <si>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</si>
  <si>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</si>
  <si>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</si>
  <si>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</si>
  <si>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</si>
  <si>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</si>
  <si>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</si>
  <si>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</si>
  <si>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</si>
  <si>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</si>
  <si>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</si>
  <si>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</si>
  <si>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</si>
  <si>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</si>
  <si>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</si>
  <si>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</si>
  <si>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</si>
  <si>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</si>
  <si>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</si>
  <si>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</si>
  <si>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</si>
  <si>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</si>
  <si>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</si>
  <si>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</si>
  <si>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</si>
  <si>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</si>
  <si>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</si>
  <si>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</si>
  <si>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</si>
  <si>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</si>
  <si>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</si>
  <si>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</si>
  <si>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</si>
  <si>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</si>
  <si>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</si>
  <si>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</si>
  <si>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</si>
  <si>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</si>
  <si>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</si>
  <si>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</si>
  <si>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</si>
  <si>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</si>
  <si>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</si>
  <si>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</si>
  <si>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</si>
  <si>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</si>
  <si>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</si>
  <si>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</si>
  <si>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</si>
  <si>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</si>
  <si>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</si>
  <si>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</si>
  <si>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</si>
  <si>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</si>
  <si>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</si>
  <si>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</si>
  <si>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</si>
  <si>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</si>
  <si>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</si>
  <si>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</si>
  <si>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</si>
  <si>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</si>
  <si>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</si>
  <si>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</si>
  <si>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</si>
  <si>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</si>
  <si>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</si>
  <si>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</si>
  <si>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</si>
  <si>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</si>
  <si>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</si>
  <si>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</si>
  <si>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</si>
  <si>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</si>
  <si>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</si>
  <si>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</si>
  <si>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</si>
  <si>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</si>
  <si>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</si>
  <si>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</si>
  <si>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</si>
  <si>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</si>
  <si>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</si>
  <si>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</si>
  <si>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</si>
  <si>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</si>
  <si>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</si>
  <si>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</si>
  <si>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</si>
  <si>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</si>
  <si>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</si>
  <si>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</si>
  <si>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</si>
  <si>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</si>
  <si>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</si>
  <si>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</si>
  <si>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</si>
  <si>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</si>
  <si>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</si>
  <si>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</si>
  <si>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</si>
  <si>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</si>
  <si>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</si>
  <si>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</si>
  <si>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</si>
  <si>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</si>
  <si>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</si>
  <si>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</si>
  <si>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</si>
  <si>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</si>
  <si>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</si>
  <si>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</si>
  <si>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</si>
  <si>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</si>
  <si>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</si>
  <si>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</si>
  <si>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</si>
  <si>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</si>
  <si>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</si>
  <si>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</si>
  <si>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</si>
  <si>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</si>
  <si>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</si>
  <si>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</si>
  <si>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</si>
  <si>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</si>
  <si>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</si>
  <si>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</si>
  <si>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</si>
  <si>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</si>
  <si>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</si>
  <si>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</si>
  <si>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</si>
  <si>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</si>
  <si>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</si>
  <si>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</si>
  <si>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</si>
  <si>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</si>
  <si>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</si>
  <si>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</si>
  <si>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</si>
  <si>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</si>
  <si>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</si>
  <si>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</si>
  <si>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</si>
  <si>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</si>
  <si>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</si>
  <si>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</si>
  <si>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</si>
  <si>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</si>
  <si>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</si>
  <si>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</si>
  <si>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</si>
  <si>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</si>
  <si>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</si>
  <si>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</si>
  <si>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</si>
  <si>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</si>
  <si>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</si>
  <si>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</si>
  <si>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</si>
  <si>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</si>
  <si>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</si>
  <si>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</si>
  <si>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</si>
  <si>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</si>
  <si>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</si>
  <si>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</si>
  <si>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</si>
  <si>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</si>
  <si>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</si>
  <si>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</si>
  <si>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</si>
  <si>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</si>
  <si>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</si>
  <si>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</si>
  <si>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</si>
  <si>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</si>
  <si>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</si>
  <si>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</si>
  <si>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</si>
  <si>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</si>
  <si>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</si>
  <si>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</si>
  <si>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</si>
  <si>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</si>
  <si>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</si>
  <si>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</si>
  <si>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</si>
  <si>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</si>
  <si>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</si>
  <si>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</si>
  <si>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</si>
  <si>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</si>
  <si>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</si>
  <si>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</si>
  <si>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</si>
  <si>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</si>
  <si>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</si>
  <si>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</si>
  <si>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</si>
  <si>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</si>
  <si>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</si>
  <si>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</si>
  <si>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</si>
  <si>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</si>
  <si>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</si>
  <si>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</si>
  <si>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</si>
  <si>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</si>
  <si>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</si>
  <si>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</si>
  <si>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</si>
  <si>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</si>
  <si>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</si>
  <si>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</si>
  <si>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</si>
  <si>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</si>
  <si>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</si>
  <si>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</si>
  <si>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</si>
  <si>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</si>
  <si>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</si>
  <si>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</si>
  <si>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</si>
  <si>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</si>
  <si>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</si>
  <si>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</si>
  <si>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</si>
  <si>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</si>
  <si>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</si>
  <si>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</si>
  <si>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</si>
  <si>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</si>
  <si>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</si>
  <si>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</si>
  <si>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</si>
  <si>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</si>
  <si>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</si>
  <si>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</si>
  <si>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</si>
  <si>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</si>
  <si>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</si>
  <si>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</si>
  <si>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</si>
  <si>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</si>
  <si>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</si>
  <si>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</si>
  <si>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</si>
  <si>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</si>
  <si>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</si>
  <si>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</si>
  <si>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</si>
  <si>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</si>
  <si>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</si>
  <si>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</si>
  <si>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</si>
  <si>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</si>
  <si>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</si>
  <si>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</si>
  <si>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</si>
  <si>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</si>
  <si>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</si>
  <si>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</si>
  <si>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</si>
  <si>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</si>
  <si>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</si>
  <si>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</si>
  <si>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</si>
  <si>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</si>
  <si>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</si>
  <si>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</si>
  <si>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</si>
  <si>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</si>
  <si>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</si>
  <si>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</si>
  <si>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</si>
  <si>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</si>
  <si>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</si>
  <si>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</si>
  <si>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</si>
  <si>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</si>
  <si>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</si>
  <si>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</si>
  <si>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</si>
  <si>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</si>
  <si>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</si>
  <si>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</si>
  <si>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</si>
  <si>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</si>
  <si>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</si>
  <si>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</si>
  <si>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</si>
  <si>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</si>
  <si>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</si>
  <si>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</si>
  <si>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</si>
  <si>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</si>
  <si>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</si>
  <si>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</si>
  <si>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</si>
  <si>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</si>
  <si>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</si>
  <si>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</si>
  <si>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</si>
  <si>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</si>
  <si>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</si>
  <si>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</si>
  <si>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</si>
  <si>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</si>
  <si>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</si>
  <si>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</si>
  <si>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</si>
  <si>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</si>
  <si>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</si>
  <si>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</si>
  <si>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</si>
  <si>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</si>
  <si>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</si>
  <si>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</si>
  <si>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</si>
  <si>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</si>
  <si>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</si>
  <si>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</si>
  <si>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</si>
  <si>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</si>
  <si>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</si>
  <si>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</si>
  <si>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</si>
  <si>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</si>
  <si>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</si>
  <si>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</si>
  <si>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</si>
  <si>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</si>
  <si>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</si>
  <si>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</si>
  <si>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</si>
  <si>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</si>
  <si>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</si>
  <si>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</si>
  <si>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</si>
  <si>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</si>
  <si>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</si>
  <si>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</si>
  <si>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</si>
  <si>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</si>
  <si>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</si>
  <si>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</si>
  <si>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</si>
  <si>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</si>
  <si>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</si>
  <si>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</si>
  <si>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</si>
  <si>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</si>
  <si>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</si>
  <si>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</si>
  <si>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</si>
  <si>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</si>
  <si>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</si>
  <si>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</si>
  <si>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</si>
  <si>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</si>
  <si>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</si>
  <si>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</si>
  <si>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</si>
  <si>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</si>
  <si>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</si>
  <si>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</si>
  <si>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</si>
  <si>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</si>
  <si>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</si>
  <si>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</si>
  <si>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</si>
  <si>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</si>
  <si>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</si>
  <si>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</si>
  <si>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</si>
  <si>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</si>
  <si>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</si>
  <si>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</si>
  <si>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</si>
  <si>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</si>
  <si>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</si>
  <si>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</si>
  <si>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</si>
  <si>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</si>
  <si>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</si>
  <si>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</si>
  <si>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</si>
  <si>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</si>
  <si>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</si>
  <si>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</si>
  <si>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</si>
  <si>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</si>
  <si>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</si>
  <si>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</si>
  <si>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</si>
  <si>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</si>
  <si>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</si>
  <si>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</si>
  <si>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</si>
  <si>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</si>
  <si>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</si>
  <si>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</si>
  <si>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</si>
  <si>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</si>
  <si>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</si>
  <si>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</si>
  <si>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</si>
  <si>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</si>
  <si>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</si>
  <si>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</si>
  <si>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</si>
  <si>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</si>
  <si>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</si>
  <si>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</si>
  <si>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</si>
  <si>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</si>
  <si>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</si>
  <si>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</si>
  <si>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</si>
  <si>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</si>
  <si>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</si>
  <si>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</si>
  <si>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</si>
  <si>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</si>
  <si>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</si>
  <si>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</si>
  <si>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</si>
  <si>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</si>
  <si>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</si>
  <si>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</si>
  <si>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</si>
  <si>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</si>
  <si>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</si>
  <si>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</si>
  <si>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</si>
  <si>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</si>
  <si>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</si>
  <si>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</si>
  <si>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</si>
  <si>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</si>
  <si>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</si>
  <si>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</si>
  <si>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</si>
  <si>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</si>
  <si>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</si>
  <si>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</si>
  <si>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</si>
  <si>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</si>
  <si>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</si>
  <si>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</si>
  <si>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</si>
  <si>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</si>
  <si>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</si>
  <si>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</si>
  <si>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</si>
  <si>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</si>
  <si>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</si>
  <si>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</si>
  <si>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</si>
  <si>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</si>
  <si>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</si>
  <si>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</si>
  <si>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</si>
  <si>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</si>
  <si>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</si>
  <si>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</si>
  <si>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</si>
  <si>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</si>
  <si>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</si>
  <si>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</si>
  <si>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</si>
  <si>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</si>
  <si>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</si>
  <si>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</si>
  <si>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</si>
  <si>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</si>
  <si>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</si>
  <si>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</si>
  <si>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</si>
  <si>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</si>
  <si>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</si>
  <si>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</si>
  <si>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</si>
  <si>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</si>
  <si>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</si>
  <si>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</si>
  <si>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</si>
  <si>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</si>
  <si>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</si>
  <si>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</si>
  <si>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</si>
  <si>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</si>
  <si>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</si>
  <si>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</si>
  <si>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</si>
  <si>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</si>
  <si>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</si>
  <si>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</si>
  <si>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</si>
  <si>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</si>
  <si>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</si>
  <si>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</si>
  <si>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</si>
  <si>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</si>
  <si>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</si>
  <si>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</si>
  <si>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</si>
  <si>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</si>
  <si>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</si>
  <si>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</si>
  <si>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</si>
  <si>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</si>
  <si>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</si>
  <si>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</si>
  <si>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</si>
  <si>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</si>
  <si>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</si>
  <si>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</si>
  <si>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</si>
  <si>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</si>
  <si>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</si>
  <si>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</si>
  <si>
    <t>C</t>
  </si>
  <si>
    <t>Pz</t>
  </si>
  <si>
    <t>Av</t>
  </si>
  <si>
    <t>Av de la</t>
  </si>
  <si>
    <t>C Dos Hermanas</t>
  </si>
  <si>
    <t>Pz de los</t>
  </si>
  <si>
    <t>Av. de</t>
  </si>
  <si>
    <t>CS.Juan</t>
  </si>
  <si>
    <t>Av de los</t>
  </si>
  <si>
    <t>Pz del</t>
  </si>
  <si>
    <t>Ur</t>
  </si>
  <si>
    <t>Pz El</t>
  </si>
  <si>
    <t>Pz de las</t>
  </si>
  <si>
    <t>Bª</t>
  </si>
  <si>
    <t>Rª</t>
  </si>
  <si>
    <t>CDos Hermanas</t>
  </si>
  <si>
    <t>Pz de</t>
  </si>
  <si>
    <t>LaBª</t>
  </si>
  <si>
    <t>AvS.Juan</t>
  </si>
  <si>
    <t>Núcleo Residencial</t>
  </si>
  <si>
    <t>Pza</t>
  </si>
  <si>
    <t>LasC</t>
  </si>
  <si>
    <t>Alcalá Gra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</si>
</sst>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29"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90">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7" fillId="7" borderId="7" xfId="2" applyNumberFormat="1" applyFont="1" applyFill="1" applyBorder="1" applyAlignment="1">
      <alignment vertical="center"/>
    </xf>
    <xf numFmtId="0" fontId="27"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8" fillId="7" borderId="20" xfId="2" applyNumberFormat="1" applyFont="1" applyFill="1" applyBorder="1" applyAlignment="1">
      <alignment horizontal="center" vertical="top"/>
    </xf>
    <xf numFmtId="0" fontId="27" fillId="7" borderId="22" xfId="2" applyNumberFormat="1" applyFont="1" applyFill="1" applyBorder="1" applyAlignment="1">
      <alignment vertical="center"/>
    </xf>
    <xf numFmtId="0" fontId="27" fillId="7" borderId="20" xfId="2" applyNumberFormat="1" applyFont="1" applyFill="1" applyBorder="1" applyAlignment="1">
      <alignment vertical="center"/>
    </xf>
    <xf numFmtId="14" fontId="27" fillId="7" borderId="20" xfId="2" applyNumberFormat="1" applyFont="1" applyFill="1" applyBorder="1" applyAlignment="1">
      <alignment vertical="center"/>
    </xf>
    <xf numFmtId="0" fontId="27"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7" fillId="7" borderId="56" xfId="2" applyNumberFormat="1" applyFont="1" applyFill="1" applyBorder="1" applyAlignment="1">
      <alignment vertical="center"/>
    </xf>
    <xf numFmtId="0" fontId="27"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7"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7"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7"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7"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7" fillId="2" borderId="0" xfId="0" applyFont="1" applyFill="1" applyBorder="1" applyAlignment="1">
      <alignment vertical="center"/>
    </xf>
    <xf numFmtId="0" fontId="28"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8"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textRotation="90" wrapText="1"/>
    </xf>
    <xf numFmtId="0" fontId="11" fillId="2" borderId="9" xfId="0" applyFont="1" applyFill="1" applyBorder="1" applyAlignment="1">
      <alignment textRotation="90" wrapText="1"/>
    </xf>
    <xf numFmtId="9" fontId="14" fillId="9" borderId="33" xfId="2" applyFont="1" applyFill="1" applyBorder="1" applyAlignment="1">
      <alignment vertical="top"/>
    </xf>
    <xf numFmtId="0" fontId="26" fillId="2" borderId="0" xfId="0" applyFont="1" applyFill="1" applyBorder="1" applyAlignment="1">
      <alignment vertical="center" wrapText="1"/>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19"/>
  <sheetViews>
    <sheetView showZeros="0" tabSelected="1" zoomScale="85" zoomScaleNormal="85" workbookViewId="0">
      <pane xSplit="2" ySplit="2" topLeftCell="AE226" activePane="bottomRight" state="frozen"/>
      <selection pane="topRight"/>
      <selection pane="bottomLeft"/>
      <selection pane="bottomRight"/>
    </sheetView>
  </sheetViews>
  <sheetFormatPr baseColWidth="10" defaultColWidth="17" defaultRowHeight="15.75" outlineLevelCol="1" x14ac:dyDescent="0.25"/>
  <cols>
    <col min="1" max="1" width="5.7109375" style="301" customWidth="1"/>
    <col min="2" max="2" width="30.7109375" style="301" bestFit="1" customWidth="1"/>
    <col min="3" max="3" width="10.7109375" style="302" customWidth="1" outlineLevel="1"/>
    <col min="4" max="4" width="10.7109375" style="303" customWidth="1" outlineLevel="1"/>
    <col min="5" max="5" width="11.7109375" style="304" customWidth="1" outlineLevel="1"/>
    <col min="6" max="6" width="10.7109375" style="303" customWidth="1" outlineLevel="1"/>
    <col min="7" max="7" width="10.7109375" style="302" customWidth="1" outlineLevel="1"/>
    <col min="8" max="8" width="12.7109375" style="304" customWidth="1" outlineLevel="1"/>
    <col min="9" max="9" width="10.7109375" style="302" customWidth="1" outlineLevel="1"/>
    <col min="10" max="13" width="10.7109375" style="305" customWidth="1" outlineLevel="1"/>
    <col min="14" max="14" width="15" style="306" bestFit="1" customWidth="1"/>
    <col min="15" max="15" width="46.42578125" style="306" customWidth="1"/>
    <col min="16" max="16" width="25.7109375" style="344" customWidth="1"/>
    <col min="17" max="21" width="15.7109375" style="306" customWidth="1" outlineLevel="1"/>
    <col min="22" max="22" width="6.7109375" style="307" customWidth="1" outlineLevel="1"/>
    <col min="23" max="26" width="10.7109375" style="308" customWidth="1" outlineLevel="1"/>
    <col min="27" max="27" width="7" style="307" customWidth="1" outlineLevel="1"/>
    <col min="28" max="28" width="16.7109375" style="330" customWidth="1"/>
    <col min="29" max="29" width="15.42578125" style="330" customWidth="1" outlineLevel="1"/>
    <col min="30" max="30" width="14.42578125" style="308" customWidth="1" outlineLevel="1"/>
    <col min="31" max="31" width="10.7109375" style="317" customWidth="1" outlineLevel="1"/>
    <col min="32" max="32" width="16.7109375" style="317" customWidth="1" outlineLevel="1"/>
    <col min="33" max="33" width="12.140625" style="317" customWidth="1" outlineLevel="1"/>
    <col min="34" max="34" width="16.7109375" style="317" customWidth="1" outlineLevel="1"/>
    <col min="35" max="35" width="12.140625" style="317" customWidth="1" outlineLevel="1"/>
    <col min="36" max="36" width="16.7109375" style="317" customWidth="1" outlineLevel="1"/>
    <col min="37" max="37" width="12.140625" style="317" customWidth="1" outlineLevel="1"/>
    <col min="38" max="38" width="15.7109375" style="317" customWidth="1" outlineLevel="1"/>
    <col min="39" max="39" width="12.28515625" style="317" customWidth="1" outlineLevel="1"/>
    <col min="40" max="40" width="11.42578125" style="307" customWidth="1" outlineLevel="1"/>
    <col min="41" max="41" width="5.7109375" style="307" customWidth="1"/>
    <col min="42" max="42" width="5.7109375" style="307" customWidth="1" outlineLevel="1"/>
    <col min="43" max="44" width="15.7109375" style="318" customWidth="1" outlineLevel="1"/>
    <col min="45" max="45" width="15.7109375" style="307" customWidth="1" outlineLevel="1"/>
    <col min="46" max="47" width="15.7109375" style="318" customWidth="1" outlineLevel="1"/>
    <col min="48" max="49" width="5.7109375" style="319" customWidth="1" outlineLevel="1"/>
    <col min="50" max="51" width="15.7109375" style="318" customWidth="1" outlineLevel="1"/>
    <col min="52" max="16384" width="17" style="320"/>
  </cols>
  <sheetData>
    <row r="1" spans="1:51" s="260" customFormat="1" ht="16.5" x14ac:dyDescent="0.25">
      <c r="A1" s="363"/>
      <c r="B1" s="40" t="s">
        <v>2523</v>
      </c>
      <c r="C1" s="34" t="s">
        <v>2096</v>
      </c>
      <c r="D1" s="34" t="s">
        <v>2093</v>
      </c>
      <c r="E1" s="200" t="s">
        <v>1333</v>
      </c>
      <c r="F1" s="34" t="s">
        <v>2094</v>
      </c>
      <c r="G1" s="34" t="s">
        <v>2095</v>
      </c>
      <c r="H1" s="200" t="s">
        <v>1333</v>
      </c>
      <c r="I1" s="34" t="s">
        <v>2094</v>
      </c>
      <c r="J1" s="39" t="s">
        <v>2522</v>
      </c>
      <c r="K1" s="39" t="s">
        <v>1355</v>
      </c>
      <c r="L1" s="39" t="s">
        <v>2521</v>
      </c>
      <c r="M1" s="39"/>
      <c r="N1" s="39" t="s">
        <v>1774</v>
      </c>
      <c r="O1" s="34"/>
      <c r="P1" s="34" t="s">
        <v>2514</v>
      </c>
      <c r="Q1" s="35" t="s">
        <v>1352</v>
      </c>
      <c r="R1" s="35" t="s">
        <v>1348</v>
      </c>
      <c r="S1" s="35" t="s">
        <v>2524</v>
      </c>
      <c r="T1" s="35" t="s">
        <v>2525</v>
      </c>
      <c r="U1" s="35" t="s">
        <v>2526</v>
      </c>
      <c r="V1" s="36" t="s">
        <v>1353</v>
      </c>
      <c r="W1" s="37" t="s">
        <v>2475</v>
      </c>
      <c r="X1" s="37" t="s">
        <v>2481</v>
      </c>
      <c r="Y1" s="37" t="s">
        <v>2476</v>
      </c>
      <c r="Z1" s="37" t="s">
        <v>2482</v>
      </c>
      <c r="AA1" s="123" t="s">
        <v>1388</v>
      </c>
      <c r="AB1" s="370" t="s">
        <v>1431</v>
      </c>
      <c r="AC1" s="371"/>
      <c r="AD1" s="372"/>
      <c r="AE1" s="38" t="s">
        <v>1353</v>
      </c>
      <c r="AF1" s="367" t="s">
        <v>2369</v>
      </c>
      <c r="AG1" s="369"/>
      <c r="AH1" s="373" t="s">
        <v>1435</v>
      </c>
      <c r="AI1" s="374"/>
      <c r="AJ1" s="367" t="s">
        <v>1436</v>
      </c>
      <c r="AK1" s="368"/>
      <c r="AL1" s="369"/>
      <c r="AM1" s="365">
        <v>0.2</v>
      </c>
      <c r="AN1" s="366"/>
      <c r="AO1" s="275"/>
      <c r="AP1" s="274" t="s">
        <v>2520</v>
      </c>
      <c r="AQ1" s="253" t="s">
        <v>2519</v>
      </c>
      <c r="AR1" s="253" t="s">
        <v>2518</v>
      </c>
      <c r="AS1" s="253" t="s">
        <v>2513</v>
      </c>
      <c r="AT1" s="273" t="s">
        <v>2515</v>
      </c>
      <c r="AU1" s="252" t="s">
        <v>2516</v>
      </c>
      <c r="AV1" s="255"/>
      <c r="AW1" s="255"/>
      <c r="AX1" s="252"/>
      <c r="AY1" s="252"/>
    </row>
    <row r="2" spans="1:51" s="261" customFormat="1" x14ac:dyDescent="0.25">
      <c r="A2" s="231"/>
      <c r="B2" s="232" t="s">
        <v>2164</v>
      </c>
      <c r="C2" s="233"/>
      <c r="D2" s="233"/>
      <c r="E2" s="234"/>
      <c r="F2" s="233"/>
      <c r="G2" s="233"/>
      <c r="H2" s="234"/>
      <c r="I2" s="233"/>
      <c r="J2" s="235"/>
      <c r="K2" s="235"/>
      <c r="L2" s="235"/>
      <c r="M2" s="235"/>
      <c r="N2" s="232"/>
      <c r="O2" s="236"/>
      <c r="P2" s="388"/>
      <c r="Q2" s="237"/>
      <c r="R2" s="237"/>
      <c r="S2" s="33"/>
      <c r="T2" s="237"/>
      <c r="U2" s="237"/>
      <c r="V2" s="238" t="s">
        <v>1410</v>
      </c>
      <c r="W2" s="239"/>
      <c r="X2" s="239"/>
      <c r="Y2" s="239"/>
      <c r="Z2" s="239"/>
      <c r="AA2" s="240" t="s">
        <v>1410</v>
      </c>
      <c r="AB2" s="241" t="s">
        <v>1432</v>
      </c>
      <c r="AC2" s="242" t="s">
        <v>1433</v>
      </c>
      <c r="AD2" s="243" t="s">
        <v>1434</v>
      </c>
      <c r="AE2" s="244"/>
      <c r="AF2" s="245" t="s">
        <v>1432</v>
      </c>
      <c r="AG2" s="246" t="s">
        <v>1433</v>
      </c>
      <c r="AH2" s="247" t="s">
        <v>1432</v>
      </c>
      <c r="AI2" s="248" t="s">
        <v>1433</v>
      </c>
      <c r="AJ2" s="245" t="s">
        <v>1432</v>
      </c>
      <c r="AK2" s="249" t="s">
        <v>1433</v>
      </c>
      <c r="AL2" s="246" t="s">
        <v>1434</v>
      </c>
      <c r="AM2" s="244"/>
      <c r="AN2" s="250"/>
      <c r="AO2" s="276" t="s">
        <v>2512</v>
      </c>
      <c r="AP2" s="251"/>
      <c r="AQ2" s="251"/>
      <c r="AR2" s="251"/>
      <c r="AS2" s="251"/>
      <c r="AT2" s="254"/>
      <c r="AU2" s="254"/>
      <c r="AV2" s="250"/>
      <c r="AW2" s="250"/>
      <c r="AX2" s="254"/>
      <c r="AY2" s="254"/>
    </row>
    <row r="3" spans="1:51" s="262" customFormat="1" x14ac:dyDescent="0.25">
      <c r="A3" s="41" t="s">
        <v>2592</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2449</v>
      </c>
      <c r="P3" s="126" t="s">
        <v>2502</v>
      </c>
      <c r="Q3" s="45" t="s">
        <v>1354</v>
      </c>
      <c r="R3" s="45" t="s">
        <v>1354</v>
      </c>
      <c r="S3" s="45" t="s">
        <v>1354</v>
      </c>
      <c r="T3" s="45" t="s">
        <v>1354</v>
      </c>
      <c r="U3" s="45"/>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7"/>
      <c r="AP3" s="144" t="str">
        <f ca="1">IF(AO3="🔒","NO",IF(AND(ISNUMBER(N3),N3&lt;=TODAY(),AS3&lt;&gt;"---"),"SI",""))</f>
        <v>SI</v>
      </c>
      <c r="AQ3" s="141" t="s">
        <v>2358</v>
      </c>
      <c r="AR3" s="141" t="s">
        <v>2351</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6" t="str">
        <f t="shared" ref="AV3:AV66" ca="1" si="6">IFERROR(
    SUBSTITUTE(
        SUBSTITUTE(
            SUBSTITUTE(
                SUBSTITUTE(
                    SUBSTITUTE(
                        AW3,
                        "{FECHA_ENVIO_CYCP}", TEXT(T3, "dd/mm/aaaa")),
                    "{FECHA_RECIBO_CYCP}", TEXT(U3, "dd/mm/aaaa")),
                "{FECHA+10}", TEXT(T3 + 10, "dd/mm/aaaa")),
            "%CCPP", TEXT(W3, "0%")),
        "%PISOS", TEXT(Y3, "0%")),
    ""
)</f>
        <v/>
      </c>
      <c r="AW3" s="256"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2" customFormat="1" x14ac:dyDescent="0.25">
      <c r="A4" s="41" t="s">
        <v>2592</v>
      </c>
      <c r="B4" s="41" t="s">
        <v>2162</v>
      </c>
      <c r="C4" s="209" t="s">
        <v>0</v>
      </c>
      <c r="D4" s="58" t="s">
        <v>0</v>
      </c>
      <c r="E4" s="202" t="s">
        <v>0</v>
      </c>
      <c r="F4" s="58" t="s">
        <v>0</v>
      </c>
      <c r="G4" s="58" t="s">
        <v>0</v>
      </c>
      <c r="H4" s="202" t="s">
        <v>0</v>
      </c>
      <c r="I4" s="208" t="s">
        <v>0</v>
      </c>
      <c r="J4" s="134" t="s">
        <v>0</v>
      </c>
      <c r="K4" s="134" t="s">
        <v>0</v>
      </c>
      <c r="L4" s="134" t="s">
        <v>0</v>
      </c>
      <c r="M4" s="134"/>
      <c r="N4" s="127" t="s">
        <v>0</v>
      </c>
      <c r="O4" s="128" t="s">
        <v>0</v>
      </c>
      <c r="P4" s="126" t="s">
        <v>2502</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7"/>
      <c r="AP4" s="144" t="str">
        <f t="shared" ref="AP4:AP67" ca="1" si="10">IF(AO4="🔒","NO",IF(AND(ISNUMBER(N4),N4&lt;=TODAY(),AS4&lt;&gt;"---"),"SI",""))</f>
        <v/>
      </c>
      <c r="AQ4" s="141" t="s">
        <v>2358</v>
      </c>
      <c r="AR4" s="141" t="s">
        <v>2351</v>
      </c>
      <c r="AS4" s="57" t="str">
        <f t="shared" si="3"/>
        <v>08</v>
      </c>
      <c r="AT4" s="141" t="str">
        <f t="shared" si="4"/>
        <v>PLAN CINCO CCPP C Abogado Rafael Medina 1-06 - Proceso de Contratos y Cartas de pago</v>
      </c>
      <c r="AU4" s="141" t="str">
        <f t="shared" ca="1" si="5"/>
        <v/>
      </c>
      <c r="AV4" s="256" t="str">
        <f t="shared" ca="1" si="6"/>
        <v/>
      </c>
      <c r="AW4" s="256" t="str">
        <f t="shared" si="7"/>
        <v/>
      </c>
      <c r="AX4" s="141" t="s">
        <v>1410</v>
      </c>
      <c r="AY4" s="141"/>
    </row>
    <row r="5" spans="1:51" s="262" customFormat="1" x14ac:dyDescent="0.25">
      <c r="A5" s="60" t="s">
        <v>2592</v>
      </c>
      <c r="B5" s="60" t="s">
        <v>2163</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7"/>
      <c r="AP5" s="144" t="str">
        <f t="shared" ca="1" si="10"/>
        <v/>
      </c>
      <c r="AQ5" s="141" t="s">
        <v>2358</v>
      </c>
      <c r="AR5" s="141" t="s">
        <v>2351</v>
      </c>
      <c r="AS5" s="57" t="str">
        <f t="shared" si="3"/>
        <v>---</v>
      </c>
      <c r="AT5" s="141" t="str">
        <f t="shared" si="4"/>
        <v xml:space="preserve">PLAN CINCO CCPP C Adelantado 21B - </v>
      </c>
      <c r="AU5" s="141" t="str">
        <f t="shared" ca="1" si="5"/>
        <v/>
      </c>
      <c r="AV5" s="256" t="str">
        <f t="shared" ca="1" si="6"/>
        <v/>
      </c>
      <c r="AW5" s="256" t="str">
        <f t="shared" si="7"/>
        <v/>
      </c>
      <c r="AX5" s="141" t="s">
        <v>1410</v>
      </c>
      <c r="AY5" s="141"/>
    </row>
    <row r="6" spans="1:51" s="262" customFormat="1" x14ac:dyDescent="0.25">
      <c r="A6" s="41" t="s">
        <v>2592</v>
      </c>
      <c r="B6" s="41" t="s">
        <v>2164</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7"/>
      <c r="AP6" s="144" t="str">
        <f t="shared" ca="1" si="10"/>
        <v/>
      </c>
      <c r="AQ6" s="141" t="s">
        <v>2358</v>
      </c>
      <c r="AR6" s="141" t="s">
        <v>2351</v>
      </c>
      <c r="AS6" s="57" t="str">
        <f t="shared" si="3"/>
        <v>---</v>
      </c>
      <c r="AT6" s="141" t="str">
        <f t="shared" si="4"/>
        <v xml:space="preserve">PLAN CINCO CCPP C Agata 7 - </v>
      </c>
      <c r="AU6" s="141" t="str">
        <f t="shared" ca="1" si="5"/>
        <v/>
      </c>
      <c r="AV6" s="256" t="str">
        <f t="shared" ca="1" si="6"/>
        <v/>
      </c>
      <c r="AW6" s="256" t="str">
        <f t="shared" si="7"/>
        <v/>
      </c>
      <c r="AX6" s="141" t="s">
        <v>1410</v>
      </c>
      <c r="AY6" s="141"/>
    </row>
    <row r="7" spans="1:51" s="262" customFormat="1" x14ac:dyDescent="0.25">
      <c r="A7" s="41" t="s">
        <v>2592</v>
      </c>
      <c r="B7" s="41" t="s">
        <v>2165</v>
      </c>
      <c r="C7" s="42" t="s">
        <v>2129</v>
      </c>
      <c r="D7" s="43" t="s">
        <v>228</v>
      </c>
      <c r="E7" s="201">
        <v>646321077</v>
      </c>
      <c r="F7" s="43" t="s">
        <v>1780</v>
      </c>
      <c r="G7" s="43" t="s">
        <v>0</v>
      </c>
      <c r="H7" s="201" t="s">
        <v>0</v>
      </c>
      <c r="I7" s="43" t="s">
        <v>0</v>
      </c>
      <c r="J7" s="44">
        <v>45803</v>
      </c>
      <c r="K7" s="44">
        <v>45804</v>
      </c>
      <c r="L7" s="44">
        <v>45806</v>
      </c>
      <c r="M7" s="44"/>
      <c r="N7" s="127">
        <f>Q7+23+5+13+7+4+13+5</f>
        <v>46147</v>
      </c>
      <c r="O7" s="199" t="s">
        <v>2576</v>
      </c>
      <c r="P7" s="126" t="s">
        <v>2498</v>
      </c>
      <c r="Q7" s="45">
        <v>46077</v>
      </c>
      <c r="R7" s="45"/>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7"/>
      <c r="AP7" s="144" t="str">
        <f t="shared" ca="1" si="10"/>
        <v>SI</v>
      </c>
      <c r="AQ7" s="141" t="s">
        <v>2358</v>
      </c>
      <c r="AR7" s="141" t="s">
        <v>2351</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6"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6"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2" customFormat="1" x14ac:dyDescent="0.25">
      <c r="A8" s="60" t="s">
        <v>2592</v>
      </c>
      <c r="B8" s="60" t="s">
        <v>2166</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2499</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7"/>
      <c r="AP8" s="144" t="str">
        <f t="shared" ca="1" si="10"/>
        <v/>
      </c>
      <c r="AQ8" s="141" t="s">
        <v>2358</v>
      </c>
      <c r="AR8" s="141" t="s">
        <v>2351</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6"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6"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2" customFormat="1" x14ac:dyDescent="0.25">
      <c r="A9" s="60" t="s">
        <v>2592</v>
      </c>
      <c r="B9" s="60" t="s">
        <v>2167</v>
      </c>
      <c r="C9" s="61" t="s">
        <v>2129</v>
      </c>
      <c r="D9" s="43" t="s">
        <v>2101</v>
      </c>
      <c r="E9" s="201">
        <v>637492592</v>
      </c>
      <c r="F9" s="263" t="s">
        <v>2367</v>
      </c>
      <c r="G9" s="43" t="s">
        <v>1783</v>
      </c>
      <c r="H9" s="201">
        <v>662132045</v>
      </c>
      <c r="I9" s="43" t="s">
        <v>0</v>
      </c>
      <c r="J9" s="44">
        <v>45922</v>
      </c>
      <c r="K9" s="44">
        <v>45958</v>
      </c>
      <c r="L9" s="44">
        <v>46086</v>
      </c>
      <c r="M9" s="44"/>
      <c r="N9" s="127">
        <v>46157</v>
      </c>
      <c r="O9" s="128" t="s">
        <v>2103</v>
      </c>
      <c r="P9" s="126" t="s">
        <v>2499</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7"/>
      <c r="AP9" s="144" t="str">
        <f t="shared" ca="1" si="10"/>
        <v/>
      </c>
      <c r="AQ9" s="141" t="s">
        <v>2358</v>
      </c>
      <c r="AR9" s="141" t="s">
        <v>2351</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6"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6"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2" customFormat="1" x14ac:dyDescent="0.25">
      <c r="A10" s="60" t="s">
        <v>2592</v>
      </c>
      <c r="B10" s="60" t="s">
        <v>2168</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7"/>
      <c r="AP10" s="144" t="str">
        <f t="shared" ca="1" si="10"/>
        <v/>
      </c>
      <c r="AQ10" s="141" t="s">
        <v>2358</v>
      </c>
      <c r="AR10" s="141" t="s">
        <v>2351</v>
      </c>
      <c r="AS10" s="57" t="str">
        <f t="shared" si="3"/>
        <v>---</v>
      </c>
      <c r="AT10" s="141" t="str">
        <f t="shared" si="4"/>
        <v xml:space="preserve">PLAN CINCO CCPP C Alborea 1 - </v>
      </c>
      <c r="AU10" s="141" t="str">
        <f t="shared" ca="1" si="5"/>
        <v/>
      </c>
      <c r="AV10" s="256" t="str">
        <f t="shared" ca="1" si="6"/>
        <v/>
      </c>
      <c r="AW10" s="256" t="str">
        <f t="shared" si="7"/>
        <v/>
      </c>
      <c r="AX10" s="141" t="s">
        <v>1410</v>
      </c>
      <c r="AY10" s="141"/>
    </row>
    <row r="11" spans="1:51" s="262" customFormat="1" x14ac:dyDescent="0.25">
      <c r="A11" s="60" t="s">
        <v>2592</v>
      </c>
      <c r="B11" s="60" t="s">
        <v>2169</v>
      </c>
      <c r="C11" s="208" t="s">
        <v>2129</v>
      </c>
      <c r="D11" s="58" t="s">
        <v>2142</v>
      </c>
      <c r="E11" s="202">
        <v>676059612</v>
      </c>
      <c r="F11" s="264" t="s">
        <v>1826</v>
      </c>
      <c r="G11" s="58" t="s">
        <v>0</v>
      </c>
      <c r="H11" s="202" t="s">
        <v>0</v>
      </c>
      <c r="I11" s="58" t="s">
        <v>0</v>
      </c>
      <c r="J11" s="59">
        <v>46105</v>
      </c>
      <c r="K11" s="59"/>
      <c r="L11" s="59"/>
      <c r="M11" s="59"/>
      <c r="N11" s="127">
        <v>46157</v>
      </c>
      <c r="O11" s="128" t="s">
        <v>2133</v>
      </c>
      <c r="P11" s="126" t="s">
        <v>2491</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7"/>
      <c r="AP11" s="144" t="str">
        <f t="shared" ca="1" si="10"/>
        <v/>
      </c>
      <c r="AQ11" s="141" t="s">
        <v>2358</v>
      </c>
      <c r="AR11" s="141" t="s">
        <v>2351</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6"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6"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2" customFormat="1" x14ac:dyDescent="0.25">
      <c r="A12" s="60" t="s">
        <v>2593</v>
      </c>
      <c r="B12" s="60" t="s">
        <v>2172</v>
      </c>
      <c r="C12" s="61" t="s">
        <v>2129</v>
      </c>
      <c r="D12" s="43" t="s">
        <v>2140</v>
      </c>
      <c r="E12" s="201">
        <v>655803367</v>
      </c>
      <c r="F12" s="263" t="s">
        <v>1786</v>
      </c>
      <c r="G12" s="43" t="s">
        <v>1787</v>
      </c>
      <c r="H12" s="201">
        <v>675251687</v>
      </c>
      <c r="I12" s="43" t="s">
        <v>0</v>
      </c>
      <c r="J12" s="44">
        <v>45932</v>
      </c>
      <c r="K12" s="44"/>
      <c r="L12" s="44"/>
      <c r="M12" s="44"/>
      <c r="N12" s="127">
        <v>46157</v>
      </c>
      <c r="O12" s="128" t="s">
        <v>2133</v>
      </c>
      <c r="P12" s="126" t="s">
        <v>2491</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7"/>
      <c r="AP12" s="144" t="str">
        <f t="shared" ca="1" si="10"/>
        <v/>
      </c>
      <c r="AQ12" s="141" t="s">
        <v>2358</v>
      </c>
      <c r="AR12" s="141" t="s">
        <v>2351</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6"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6"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2" customFormat="1" x14ac:dyDescent="0.25">
      <c r="A13" s="60" t="s">
        <v>2592</v>
      </c>
      <c r="B13" s="60" t="s">
        <v>2170</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7"/>
      <c r="AP13" s="144" t="str">
        <f t="shared" ca="1" si="10"/>
        <v/>
      </c>
      <c r="AQ13" s="141" t="s">
        <v>2358</v>
      </c>
      <c r="AR13" s="141" t="s">
        <v>2351</v>
      </c>
      <c r="AS13" s="57" t="str">
        <f t="shared" si="3"/>
        <v>---</v>
      </c>
      <c r="AT13" s="141" t="str">
        <f t="shared" si="4"/>
        <v xml:space="preserve">PLAN CINCO CCPP C Alfareros 3 - </v>
      </c>
      <c r="AU13" s="141" t="str">
        <f t="shared" ca="1" si="5"/>
        <v/>
      </c>
      <c r="AV13" s="256" t="str">
        <f t="shared" ca="1" si="6"/>
        <v/>
      </c>
      <c r="AW13" s="256" t="str">
        <f t="shared" si="7"/>
        <v/>
      </c>
      <c r="AX13" s="141" t="s">
        <v>1410</v>
      </c>
      <c r="AY13" s="141"/>
    </row>
    <row r="14" spans="1:51" s="262" customFormat="1" x14ac:dyDescent="0.25">
      <c r="A14" s="60" t="s">
        <v>2594</v>
      </c>
      <c r="B14" s="60" t="s">
        <v>2171</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7"/>
      <c r="AP14" s="144" t="str">
        <f t="shared" ca="1" si="10"/>
        <v/>
      </c>
      <c r="AQ14" s="141" t="s">
        <v>2358</v>
      </c>
      <c r="AR14" s="141" t="s">
        <v>2351</v>
      </c>
      <c r="AS14" s="57" t="str">
        <f t="shared" si="3"/>
        <v>---</v>
      </c>
      <c r="AT14" s="141" t="str">
        <f t="shared" si="4"/>
        <v xml:space="preserve">PLAN CINCO CCPP Av Alvar Núñez 45 - </v>
      </c>
      <c r="AU14" s="141" t="str">
        <f t="shared" ca="1" si="5"/>
        <v/>
      </c>
      <c r="AV14" s="256" t="str">
        <f t="shared" ca="1" si="6"/>
        <v/>
      </c>
      <c r="AW14" s="256" t="str">
        <f t="shared" si="7"/>
        <v/>
      </c>
      <c r="AX14" s="141" t="s">
        <v>1410</v>
      </c>
      <c r="AY14" s="141"/>
    </row>
    <row r="15" spans="1:51" s="262" customFormat="1" x14ac:dyDescent="0.25">
      <c r="A15" s="60" t="s">
        <v>2592</v>
      </c>
      <c r="B15" s="60" t="s">
        <v>2174</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2499</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7"/>
      <c r="AP15" s="144" t="str">
        <f t="shared" ca="1" si="10"/>
        <v/>
      </c>
      <c r="AQ15" s="141" t="s">
        <v>2358</v>
      </c>
      <c r="AR15" s="141" t="s">
        <v>2351</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6"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6"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2" customFormat="1" x14ac:dyDescent="0.25">
      <c r="A16" s="60" t="s">
        <v>2592</v>
      </c>
      <c r="B16" s="60" t="s">
        <v>2173</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7"/>
      <c r="AP16" s="144" t="str">
        <f t="shared" ca="1" si="10"/>
        <v/>
      </c>
      <c r="AQ16" s="141" t="s">
        <v>2358</v>
      </c>
      <c r="AR16" s="141" t="s">
        <v>2351</v>
      </c>
      <c r="AS16" s="57" t="str">
        <f t="shared" si="3"/>
        <v>---</v>
      </c>
      <c r="AT16" s="141" t="str">
        <f t="shared" si="4"/>
        <v xml:space="preserve">PLAN CINCO CCPP C Amparo 4 - </v>
      </c>
      <c r="AU16" s="141" t="str">
        <f t="shared" ca="1" si="5"/>
        <v/>
      </c>
      <c r="AV16" s="256" t="str">
        <f t="shared" ca="1" si="6"/>
        <v/>
      </c>
      <c r="AW16" s="256" t="str">
        <f t="shared" si="7"/>
        <v/>
      </c>
      <c r="AX16" s="141" t="s">
        <v>1410</v>
      </c>
      <c r="AY16" s="141"/>
    </row>
    <row r="17" spans="1:51" s="262" customFormat="1" x14ac:dyDescent="0.25">
      <c r="A17" s="60" t="s">
        <v>2593</v>
      </c>
      <c r="B17" s="60" t="s">
        <v>2175</v>
      </c>
      <c r="C17" s="61" t="s">
        <v>1798</v>
      </c>
      <c r="D17" s="43" t="s">
        <v>1800</v>
      </c>
      <c r="E17" s="201">
        <v>655956504</v>
      </c>
      <c r="F17" s="263" t="s">
        <v>1799</v>
      </c>
      <c r="G17" s="43" t="s">
        <v>0</v>
      </c>
      <c r="H17" s="201" t="s">
        <v>0</v>
      </c>
      <c r="I17" s="43" t="s">
        <v>0</v>
      </c>
      <c r="J17" s="44">
        <v>46066</v>
      </c>
      <c r="K17" s="44"/>
      <c r="L17" s="44"/>
      <c r="M17" s="44"/>
      <c r="N17" s="127">
        <v>46157</v>
      </c>
      <c r="O17" s="128" t="s">
        <v>2134</v>
      </c>
      <c r="P17" s="126" t="s">
        <v>2491</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7"/>
      <c r="AP17" s="144" t="str">
        <f t="shared" ca="1" si="10"/>
        <v/>
      </c>
      <c r="AQ17" s="141" t="s">
        <v>2358</v>
      </c>
      <c r="AR17" s="141" t="s">
        <v>2351</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6"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6"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2" customFormat="1" x14ac:dyDescent="0.25">
      <c r="A18" s="60" t="s">
        <v>2592</v>
      </c>
      <c r="B18" s="60" t="s">
        <v>2176</v>
      </c>
      <c r="C18" s="61" t="s">
        <v>1798</v>
      </c>
      <c r="D18" s="43" t="s">
        <v>1801</v>
      </c>
      <c r="E18" s="201">
        <v>625341839</v>
      </c>
      <c r="F18" s="263" t="s">
        <v>1802</v>
      </c>
      <c r="G18" s="43" t="s">
        <v>0</v>
      </c>
      <c r="H18" s="201" t="s">
        <v>0</v>
      </c>
      <c r="I18" s="43" t="s">
        <v>0</v>
      </c>
      <c r="J18" s="44">
        <v>46056</v>
      </c>
      <c r="K18" s="44"/>
      <c r="L18" s="44"/>
      <c r="M18" s="44"/>
      <c r="N18" s="127">
        <v>46157</v>
      </c>
      <c r="O18" s="128" t="s">
        <v>2135</v>
      </c>
      <c r="P18" s="126" t="s">
        <v>2491</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7"/>
      <c r="AP18" s="144" t="str">
        <f t="shared" ca="1" si="10"/>
        <v/>
      </c>
      <c r="AQ18" s="141" t="s">
        <v>2358</v>
      </c>
      <c r="AR18" s="141" t="s">
        <v>2351</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6"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6"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2" customFormat="1" x14ac:dyDescent="0.25">
      <c r="A19" s="60" t="s">
        <v>2592</v>
      </c>
      <c r="B19" s="60" t="s">
        <v>2179</v>
      </c>
      <c r="C19" s="61" t="s">
        <v>2129</v>
      </c>
      <c r="D19" s="43" t="s">
        <v>1803</v>
      </c>
      <c r="E19" s="201">
        <v>954276868</v>
      </c>
      <c r="F19" s="263" t="s">
        <v>2366</v>
      </c>
      <c r="G19" s="43" t="s">
        <v>1804</v>
      </c>
      <c r="H19" s="201">
        <v>600636351</v>
      </c>
      <c r="I19" s="43" t="s">
        <v>0</v>
      </c>
      <c r="J19" s="44">
        <v>46087</v>
      </c>
      <c r="K19" s="44"/>
      <c r="L19" s="44"/>
      <c r="M19" s="44"/>
      <c r="N19" s="127"/>
      <c r="O19" s="128" t="s">
        <v>2406</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7"/>
      <c r="AP19" s="144" t="str">
        <f t="shared" ca="1" si="10"/>
        <v/>
      </c>
      <c r="AQ19" s="141" t="s">
        <v>2358</v>
      </c>
      <c r="AR19" s="141" t="s">
        <v>2351</v>
      </c>
      <c r="AS19" s="57" t="str">
        <f t="shared" si="3"/>
        <v>---</v>
      </c>
      <c r="AT19" s="141" t="str">
        <f t="shared" si="4"/>
        <v xml:space="preserve">PLAN CINCO CCPP C Arcángel San Miguel 6 - </v>
      </c>
      <c r="AU19" s="141" t="str">
        <f t="shared" ca="1" si="5"/>
        <v/>
      </c>
      <c r="AV19" s="256" t="str">
        <f t="shared" ca="1" si="6"/>
        <v/>
      </c>
      <c r="AW19" s="256" t="str">
        <f t="shared" si="7"/>
        <v/>
      </c>
      <c r="AX19" s="141" t="s">
        <v>1410</v>
      </c>
      <c r="AY19" s="141"/>
    </row>
    <row r="20" spans="1:51" s="262" customFormat="1" x14ac:dyDescent="0.25">
      <c r="A20" s="60" t="s">
        <v>2592</v>
      </c>
      <c r="B20" s="60" t="s">
        <v>2177</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7"/>
      <c r="AP20" s="144" t="str">
        <f t="shared" ca="1" si="10"/>
        <v/>
      </c>
      <c r="AQ20" s="141" t="s">
        <v>2358</v>
      </c>
      <c r="AR20" s="141" t="s">
        <v>2351</v>
      </c>
      <c r="AS20" s="57" t="str">
        <f t="shared" si="3"/>
        <v>---</v>
      </c>
      <c r="AT20" s="141" t="str">
        <f t="shared" si="4"/>
        <v xml:space="preserve">PLAN CINCO CCPP C Argantonio 5 - </v>
      </c>
      <c r="AU20" s="141" t="str">
        <f t="shared" ca="1" si="5"/>
        <v/>
      </c>
      <c r="AV20" s="256" t="str">
        <f t="shared" ca="1" si="6"/>
        <v/>
      </c>
      <c r="AW20" s="256" t="str">
        <f t="shared" si="7"/>
        <v/>
      </c>
      <c r="AX20" s="141" t="s">
        <v>1410</v>
      </c>
      <c r="AY20" s="141"/>
    </row>
    <row r="21" spans="1:51" s="262" customFormat="1" x14ac:dyDescent="0.25">
      <c r="A21" s="60" t="s">
        <v>2592</v>
      </c>
      <c r="B21" s="60" t="s">
        <v>2178</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7"/>
      <c r="AP21" s="144" t="str">
        <f t="shared" ca="1" si="10"/>
        <v/>
      </c>
      <c r="AQ21" s="141" t="s">
        <v>2358</v>
      </c>
      <c r="AR21" s="141" t="s">
        <v>2351</v>
      </c>
      <c r="AS21" s="57" t="str">
        <f t="shared" si="3"/>
        <v>---</v>
      </c>
      <c r="AT21" s="141" t="str">
        <f t="shared" si="4"/>
        <v xml:space="preserve">PLAN CINCO CCPP C Asunción 22 - </v>
      </c>
      <c r="AU21" s="141" t="str">
        <f t="shared" ca="1" si="5"/>
        <v/>
      </c>
      <c r="AV21" s="256" t="str">
        <f t="shared" ca="1" si="6"/>
        <v/>
      </c>
      <c r="AW21" s="256" t="str">
        <f t="shared" si="7"/>
        <v/>
      </c>
      <c r="AX21" s="141" t="s">
        <v>1410</v>
      </c>
      <c r="AY21" s="141"/>
    </row>
    <row r="22" spans="1:51" s="262" customFormat="1" x14ac:dyDescent="0.25">
      <c r="A22" s="60" t="s">
        <v>2592</v>
      </c>
      <c r="B22" s="60" t="s">
        <v>2180</v>
      </c>
      <c r="C22" s="61" t="s">
        <v>2129</v>
      </c>
      <c r="D22" s="43" t="s">
        <v>1807</v>
      </c>
      <c r="E22" s="201">
        <v>658774143</v>
      </c>
      <c r="F22" s="61" t="s">
        <v>0</v>
      </c>
      <c r="G22" s="203" t="s">
        <v>2156</v>
      </c>
      <c r="H22" s="203" t="s">
        <v>0</v>
      </c>
      <c r="I22" s="122" t="s">
        <v>0</v>
      </c>
      <c r="J22" s="136">
        <v>45980</v>
      </c>
      <c r="K22" s="136"/>
      <c r="L22" s="136"/>
      <c r="M22" s="136"/>
      <c r="N22" s="127">
        <v>46157</v>
      </c>
      <c r="O22" s="128" t="s">
        <v>2492</v>
      </c>
      <c r="P22" s="126" t="s">
        <v>2491</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7"/>
      <c r="AP22" s="144" t="str">
        <f t="shared" ca="1" si="10"/>
        <v/>
      </c>
      <c r="AQ22" s="141" t="s">
        <v>2358</v>
      </c>
      <c r="AR22" s="141" t="s">
        <v>2351</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6"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6"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2" customFormat="1" x14ac:dyDescent="0.25">
      <c r="A23" s="60" t="s">
        <v>2592</v>
      </c>
      <c r="B23" s="60" t="s">
        <v>2181</v>
      </c>
      <c r="C23" s="61" t="s">
        <v>1798</v>
      </c>
      <c r="D23" s="43" t="s">
        <v>1808</v>
      </c>
      <c r="E23" s="201">
        <v>615671540</v>
      </c>
      <c r="F23" s="263" t="s">
        <v>1809</v>
      </c>
      <c r="G23" s="43" t="s">
        <v>1810</v>
      </c>
      <c r="H23" s="201">
        <v>624779598</v>
      </c>
      <c r="I23" s="43" t="s">
        <v>0</v>
      </c>
      <c r="J23" s="44">
        <v>46087</v>
      </c>
      <c r="K23" s="44"/>
      <c r="L23" s="44"/>
      <c r="M23" s="44"/>
      <c r="N23" s="127">
        <v>46157</v>
      </c>
      <c r="O23" s="128" t="s">
        <v>2124</v>
      </c>
      <c r="P23" s="126" t="s">
        <v>2491</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7"/>
      <c r="AP23" s="144" t="str">
        <f t="shared" ca="1" si="10"/>
        <v/>
      </c>
      <c r="AQ23" s="141" t="s">
        <v>2358</v>
      </c>
      <c r="AR23" s="141" t="s">
        <v>2351</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6"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6"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2" customFormat="1" x14ac:dyDescent="0.25">
      <c r="A24" s="41" t="s">
        <v>2592</v>
      </c>
      <c r="B24" s="41" t="s">
        <v>2182</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7"/>
      <c r="AP24" s="144" t="str">
        <f t="shared" ca="1" si="10"/>
        <v/>
      </c>
      <c r="AQ24" s="141" t="s">
        <v>2358</v>
      </c>
      <c r="AR24" s="141" t="s">
        <v>2351</v>
      </c>
      <c r="AS24" s="57" t="str">
        <f t="shared" si="3"/>
        <v>---</v>
      </c>
      <c r="AT24" s="141" t="str">
        <f t="shared" si="4"/>
        <v xml:space="preserve">PLAN CINCO CCPP C Betis 20 - </v>
      </c>
      <c r="AU24" s="141" t="str">
        <f t="shared" ca="1" si="5"/>
        <v/>
      </c>
      <c r="AV24" s="256" t="str">
        <f t="shared" ca="1" si="6"/>
        <v/>
      </c>
      <c r="AW24" s="256" t="str">
        <f t="shared" si="7"/>
        <v/>
      </c>
      <c r="AX24" s="141" t="s">
        <v>1410</v>
      </c>
      <c r="AY24" s="141"/>
    </row>
    <row r="25" spans="1:51" s="262" customFormat="1" x14ac:dyDescent="0.25">
      <c r="A25" s="60" t="s">
        <v>2592</v>
      </c>
      <c r="B25" s="60" t="s">
        <v>2183</v>
      </c>
      <c r="C25" s="61" t="s">
        <v>2129</v>
      </c>
      <c r="D25" s="43" t="s">
        <v>2413</v>
      </c>
      <c r="E25" s="201">
        <v>600035101</v>
      </c>
      <c r="F25" s="364" t="s">
        <v>1814</v>
      </c>
      <c r="G25" s="43" t="s">
        <v>0</v>
      </c>
      <c r="H25" s="201" t="s">
        <v>0</v>
      </c>
      <c r="I25" s="43" t="s">
        <v>0</v>
      </c>
      <c r="J25" s="44">
        <v>46073</v>
      </c>
      <c r="K25" s="44">
        <v>46127</v>
      </c>
      <c r="L25" s="44">
        <v>46141</v>
      </c>
      <c r="M25" s="44"/>
      <c r="N25" s="127">
        <v>46172</v>
      </c>
      <c r="O25" s="128" t="s">
        <v>2571</v>
      </c>
      <c r="P25" s="126" t="s">
        <v>2499</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7"/>
      <c r="AP25" s="144" t="str">
        <f t="shared" ca="1" si="10"/>
        <v/>
      </c>
      <c r="AQ25" s="141" t="s">
        <v>2358</v>
      </c>
      <c r="AR25" s="141" t="s">
        <v>2351</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6"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6"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2" customFormat="1" x14ac:dyDescent="0.25">
      <c r="A26" s="60" t="s">
        <v>2595</v>
      </c>
      <c r="B26" s="60" t="s">
        <v>2184</v>
      </c>
      <c r="C26" s="61" t="s">
        <v>2129</v>
      </c>
      <c r="D26" s="43" t="s">
        <v>1866</v>
      </c>
      <c r="E26" s="201">
        <v>661592498</v>
      </c>
      <c r="F26" s="263" t="s">
        <v>1867</v>
      </c>
      <c r="G26" s="43" t="s">
        <v>2446</v>
      </c>
      <c r="H26" s="201">
        <v>954641272</v>
      </c>
      <c r="I26" s="263" t="s">
        <v>2447</v>
      </c>
      <c r="J26" s="136">
        <v>46122</v>
      </c>
      <c r="K26" s="136"/>
      <c r="L26" s="136"/>
      <c r="M26" s="136"/>
      <c r="N26" s="127"/>
      <c r="O26" s="128" t="s">
        <v>2405</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7"/>
      <c r="AP26" s="144" t="str">
        <f t="shared" ca="1" si="10"/>
        <v/>
      </c>
      <c r="AQ26" s="141" t="s">
        <v>2358</v>
      </c>
      <c r="AR26" s="141" t="s">
        <v>2351</v>
      </c>
      <c r="AS26" s="57" t="str">
        <f t="shared" si="3"/>
        <v>---</v>
      </c>
      <c r="AT26" s="141" t="str">
        <f t="shared" si="4"/>
        <v xml:space="preserve">PLAN CINCO CCPP Av de la Calesera 8 - </v>
      </c>
      <c r="AU26" s="141" t="str">
        <f t="shared" ca="1" si="5"/>
        <v/>
      </c>
      <c r="AV26" s="256" t="str">
        <f t="shared" ca="1" si="6"/>
        <v/>
      </c>
      <c r="AW26" s="256" t="str">
        <f t="shared" si="7"/>
        <v/>
      </c>
      <c r="AX26" s="141" t="s">
        <v>1410</v>
      </c>
      <c r="AY26" s="141"/>
    </row>
    <row r="27" spans="1:51" s="262" customFormat="1" x14ac:dyDescent="0.25">
      <c r="A27" s="60" t="s">
        <v>2594</v>
      </c>
      <c r="B27" s="60" t="s">
        <v>2188</v>
      </c>
      <c r="C27" s="61" t="s">
        <v>2129</v>
      </c>
      <c r="D27" s="43" t="s">
        <v>1815</v>
      </c>
      <c r="E27" s="201">
        <v>605720800</v>
      </c>
      <c r="F27" s="364" t="s">
        <v>1816</v>
      </c>
      <c r="G27" s="203" t="s">
        <v>2156</v>
      </c>
      <c r="H27" s="203" t="s">
        <v>0</v>
      </c>
      <c r="I27" s="122" t="s">
        <v>0</v>
      </c>
      <c r="J27" s="44">
        <v>46070</v>
      </c>
      <c r="K27" s="44">
        <v>46127</v>
      </c>
      <c r="L27" s="44">
        <v>46141</v>
      </c>
      <c r="M27" s="44"/>
      <c r="N27" s="127"/>
      <c r="O27" s="128"/>
      <c r="P27" s="126" t="s">
        <v>2499</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7"/>
      <c r="AP27" s="144" t="str">
        <f t="shared" ca="1" si="10"/>
        <v/>
      </c>
      <c r="AQ27" s="141" t="s">
        <v>2358</v>
      </c>
      <c r="AR27" s="141" t="s">
        <v>2351</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6"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6"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2" customFormat="1" x14ac:dyDescent="0.25">
      <c r="A28" s="60" t="s">
        <v>2592</v>
      </c>
      <c r="B28" s="60" t="s">
        <v>2189</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2499</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7"/>
      <c r="AP28" s="144" t="str">
        <f t="shared" ca="1" si="10"/>
        <v/>
      </c>
      <c r="AQ28" s="141" t="s">
        <v>2358</v>
      </c>
      <c r="AR28" s="141" t="s">
        <v>2351</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6"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6"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2" customFormat="1" x14ac:dyDescent="0.25">
      <c r="A29" s="60" t="s">
        <v>2592</v>
      </c>
      <c r="B29" s="60" t="s">
        <v>2185</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7"/>
      <c r="AP29" s="144" t="str">
        <f t="shared" ca="1" si="10"/>
        <v/>
      </c>
      <c r="AQ29" s="141" t="s">
        <v>2358</v>
      </c>
      <c r="AR29" s="141" t="s">
        <v>2351</v>
      </c>
      <c r="AS29" s="57" t="str">
        <f t="shared" si="3"/>
        <v>---</v>
      </c>
      <c r="AT29" s="141" t="str">
        <f t="shared" si="4"/>
        <v xml:space="preserve">PLAN CINCO CCPP C Chaves Rey 5 - </v>
      </c>
      <c r="AU29" s="141" t="str">
        <f t="shared" ca="1" si="5"/>
        <v/>
      </c>
      <c r="AV29" s="256" t="str">
        <f t="shared" ca="1" si="6"/>
        <v/>
      </c>
      <c r="AW29" s="256" t="str">
        <f t="shared" si="7"/>
        <v/>
      </c>
      <c r="AX29" s="141" t="s">
        <v>1410</v>
      </c>
      <c r="AY29" s="141"/>
    </row>
    <row r="30" spans="1:51" s="262" customFormat="1" x14ac:dyDescent="0.25">
      <c r="A30" s="64" t="s">
        <v>2592</v>
      </c>
      <c r="B30" s="64" t="s">
        <v>2186</v>
      </c>
      <c r="C30" s="61" t="s">
        <v>2129</v>
      </c>
      <c r="D30" s="43" t="s">
        <v>1823</v>
      </c>
      <c r="E30" s="201">
        <v>649022015</v>
      </c>
      <c r="F30" s="263"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8"/>
      <c r="AP30" s="144" t="str">
        <f t="shared" ca="1" si="10"/>
        <v/>
      </c>
      <c r="AQ30" s="142" t="s">
        <v>2358</v>
      </c>
      <c r="AR30" s="142" t="s">
        <v>2351</v>
      </c>
      <c r="AS30" s="57" t="str">
        <f t="shared" si="3"/>
        <v>---</v>
      </c>
      <c r="AT30" s="141" t="str">
        <f t="shared" si="4"/>
        <v xml:space="preserve">PLAN CINCO CCPP C Chicuelo II 1 - </v>
      </c>
      <c r="AU30" s="141" t="str">
        <f t="shared" ca="1" si="5"/>
        <v/>
      </c>
      <c r="AV30" s="257" t="str">
        <f t="shared" ca="1" si="6"/>
        <v/>
      </c>
      <c r="AW30" s="257" t="str">
        <f t="shared" si="7"/>
        <v/>
      </c>
      <c r="AX30" s="141" t="s">
        <v>1410</v>
      </c>
      <c r="AY30" s="142"/>
    </row>
    <row r="31" spans="1:51" s="262" customFormat="1" x14ac:dyDescent="0.25">
      <c r="A31" s="64" t="s">
        <v>2592</v>
      </c>
      <c r="B31" s="64" t="s">
        <v>2187</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8"/>
      <c r="AP31" s="144" t="str">
        <f t="shared" ca="1" si="10"/>
        <v/>
      </c>
      <c r="AQ31" s="142" t="s">
        <v>2358</v>
      </c>
      <c r="AR31" s="142" t="s">
        <v>2351</v>
      </c>
      <c r="AS31" s="57" t="str">
        <f t="shared" si="3"/>
        <v>---</v>
      </c>
      <c r="AT31" s="141" t="str">
        <f t="shared" si="4"/>
        <v xml:space="preserve">PLAN CINCO CCPP C Ciudad de Alfafar 2A - </v>
      </c>
      <c r="AU31" s="141" t="str">
        <f t="shared" ca="1" si="5"/>
        <v/>
      </c>
      <c r="AV31" s="257" t="str">
        <f t="shared" ca="1" si="6"/>
        <v/>
      </c>
      <c r="AW31" s="257" t="str">
        <f t="shared" si="7"/>
        <v/>
      </c>
      <c r="AX31" s="141" t="s">
        <v>1410</v>
      </c>
      <c r="AY31" s="142"/>
    </row>
    <row r="32" spans="1:51" s="262" customFormat="1" x14ac:dyDescent="0.25">
      <c r="A32" s="64" t="s">
        <v>2592</v>
      </c>
      <c r="B32" s="64" t="s">
        <v>2190</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2499</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8"/>
      <c r="AP32" s="144" t="str">
        <f t="shared" ca="1" si="10"/>
        <v/>
      </c>
      <c r="AQ32" s="142" t="s">
        <v>2358</v>
      </c>
      <c r="AR32" s="142" t="s">
        <v>2351</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7"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7"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2" customFormat="1" x14ac:dyDescent="0.25">
      <c r="A33" s="75" t="s">
        <v>2592</v>
      </c>
      <c r="B33" s="75" t="s">
        <v>2191</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2157</v>
      </c>
      <c r="P33" s="129" t="s">
        <v>2505</v>
      </c>
      <c r="Q33" s="65">
        <v>46032</v>
      </c>
      <c r="R33" s="65">
        <v>46097</v>
      </c>
      <c r="S33" s="65">
        <v>46128</v>
      </c>
      <c r="T33" s="65"/>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8"/>
      <c r="AP33" s="144" t="str">
        <f t="shared" ca="1" si="10"/>
        <v/>
      </c>
      <c r="AQ33" s="142" t="s">
        <v>2358</v>
      </c>
      <c r="AR33" s="142" t="s">
        <v>2351</v>
      </c>
      <c r="AS33" s="57" t="str">
        <f t="shared" si="3"/>
        <v>---</v>
      </c>
      <c r="AT33" s="141" t="str">
        <f t="shared" si="4"/>
        <v xml:space="preserve">PLAN CINCO CCPP C Ciudad de Carcagente 2 - </v>
      </c>
      <c r="AU33" s="141" t="str">
        <f t="shared" ca="1" si="5"/>
        <v/>
      </c>
      <c r="AV33" s="257" t="str">
        <f t="shared" ca="1" si="6"/>
        <v/>
      </c>
      <c r="AW33" s="257" t="str">
        <f t="shared" si="7"/>
        <v/>
      </c>
      <c r="AX33" s="141" t="s">
        <v>1410</v>
      </c>
      <c r="AY33" s="142"/>
    </row>
    <row r="34" spans="1:51" s="262" customFormat="1" x14ac:dyDescent="0.25">
      <c r="A34" s="64" t="s">
        <v>2594</v>
      </c>
      <c r="B34" s="64" t="s">
        <v>2193</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2499</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8"/>
      <c r="AP34" s="144" t="str">
        <f t="shared" ca="1" si="10"/>
        <v/>
      </c>
      <c r="AQ34" s="142" t="s">
        <v>2358</v>
      </c>
      <c r="AR34" s="142" t="s">
        <v>2351</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7"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7"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2" customFormat="1" x14ac:dyDescent="0.25">
      <c r="A35" s="75" t="s">
        <v>2594</v>
      </c>
      <c r="B35" s="75" t="s">
        <v>2194</v>
      </c>
      <c r="C35" s="42" t="s">
        <v>2129</v>
      </c>
      <c r="D35" s="43" t="s">
        <v>241</v>
      </c>
      <c r="E35" s="201">
        <v>637377199</v>
      </c>
      <c r="F35" s="43" t="s">
        <v>1839</v>
      </c>
      <c r="G35" s="43" t="s">
        <v>1840</v>
      </c>
      <c r="H35" s="201" t="s">
        <v>0</v>
      </c>
      <c r="I35" s="43" t="s">
        <v>0</v>
      </c>
      <c r="J35" s="44">
        <v>45790</v>
      </c>
      <c r="K35" s="44">
        <v>45812</v>
      </c>
      <c r="L35" s="44">
        <v>45819</v>
      </c>
      <c r="M35" s="44"/>
      <c r="N35" s="127">
        <v>46129</v>
      </c>
      <c r="O35" s="199" t="s">
        <v>2438</v>
      </c>
      <c r="P35" s="129" t="s">
        <v>2502</v>
      </c>
      <c r="Q35" s="65">
        <v>45946</v>
      </c>
      <c r="R35" s="65">
        <v>46024</v>
      </c>
      <c r="S35" s="65">
        <v>46056</v>
      </c>
      <c r="T35" s="65">
        <v>46083</v>
      </c>
      <c r="U35" s="65"/>
      <c r="V35" s="46" t="str">
        <f t="shared" ca="1" si="0"/>
        <v>OK</v>
      </c>
      <c r="W35" s="47">
        <f t="shared" ca="1" si="1"/>
        <v>0.5</v>
      </c>
      <c r="X35" s="47" t="str">
        <f t="shared" ca="1" si="8"/>
        <v>PENDIENTE -JUSTIFICANTE PAGO</v>
      </c>
      <c r="Y35" s="47">
        <f t="shared" ca="1" si="2"/>
        <v>0.95833333333333337</v>
      </c>
      <c r="Z35" s="227" t="str">
        <f t="shared" ca="1" si="9"/>
        <v>PENDIENTE -(4-18)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8"/>
      <c r="AP35" s="144" t="str">
        <f t="shared" ca="1" si="10"/>
        <v>SI</v>
      </c>
      <c r="AQ35" s="142" t="s">
        <v>2358</v>
      </c>
      <c r="AR35" s="142" t="s">
        <v>2351</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{96%} de la documentación.
DOCUMENTACION DE LA CCPP:  PENDIENTE -JUSTIFICANTE PAGO
DOCUMENTACION DE LAS VIVIENDAS: PENDIENTE -(4-18)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7"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{96%}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7"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2" customFormat="1" x14ac:dyDescent="0.25">
      <c r="A36" s="64" t="s">
        <v>2593</v>
      </c>
      <c r="B36" s="64" t="s">
        <v>2192</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8"/>
      <c r="AP36" s="144" t="str">
        <f t="shared" ca="1" si="10"/>
        <v/>
      </c>
      <c r="AQ36" s="142" t="s">
        <v>2358</v>
      </c>
      <c r="AR36" s="142" t="s">
        <v>2351</v>
      </c>
      <c r="AS36" s="57" t="str">
        <f t="shared" si="3"/>
        <v>---</v>
      </c>
      <c r="AT36" s="141" t="str">
        <f t="shared" si="4"/>
        <v xml:space="preserve">PLAN CINCO CCPP Pz Collao 4 - </v>
      </c>
      <c r="AU36" s="141" t="str">
        <f t="shared" ca="1" si="5"/>
        <v/>
      </c>
      <c r="AV36" s="257" t="str">
        <f t="shared" ca="1" si="6"/>
        <v/>
      </c>
      <c r="AW36" s="257" t="str">
        <f t="shared" si="7"/>
        <v/>
      </c>
      <c r="AX36" s="141" t="s">
        <v>1410</v>
      </c>
      <c r="AY36" s="142"/>
    </row>
    <row r="37" spans="1:51" s="262" customFormat="1" x14ac:dyDescent="0.25">
      <c r="A37" s="64" t="s">
        <v>2592</v>
      </c>
      <c r="B37" s="64" t="s">
        <v>2195</v>
      </c>
      <c r="C37" s="61" t="s">
        <v>2129</v>
      </c>
      <c r="D37" s="43" t="s">
        <v>1844</v>
      </c>
      <c r="E37" s="201">
        <v>644069203</v>
      </c>
      <c r="F37" s="263" t="s">
        <v>1843</v>
      </c>
      <c r="G37" s="203" t="s">
        <v>2156</v>
      </c>
      <c r="H37" s="203" t="s">
        <v>0</v>
      </c>
      <c r="I37" s="122" t="s">
        <v>0</v>
      </c>
      <c r="J37" s="44">
        <v>45932</v>
      </c>
      <c r="K37" s="44"/>
      <c r="L37" s="44"/>
      <c r="M37" s="44"/>
      <c r="N37" s="127">
        <v>46157</v>
      </c>
      <c r="O37" s="128" t="s">
        <v>2133</v>
      </c>
      <c r="P37" s="129" t="s">
        <v>2491</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8"/>
      <c r="AP37" s="144" t="str">
        <f t="shared" ca="1" si="10"/>
        <v/>
      </c>
      <c r="AQ37" s="142" t="s">
        <v>2358</v>
      </c>
      <c r="AR37" s="142" t="s">
        <v>2351</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7"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7"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2" customFormat="1" x14ac:dyDescent="0.25">
      <c r="A38" s="64" t="s">
        <v>2592</v>
      </c>
      <c r="B38" s="64" t="s">
        <v>2196</v>
      </c>
      <c r="C38" s="61" t="s">
        <v>2129</v>
      </c>
      <c r="D38" s="43" t="s">
        <v>1803</v>
      </c>
      <c r="E38" s="201">
        <v>954276868</v>
      </c>
      <c r="F38" s="263" t="s">
        <v>2366</v>
      </c>
      <c r="G38" s="43" t="s">
        <v>1845</v>
      </c>
      <c r="H38" s="201">
        <v>687313399</v>
      </c>
      <c r="I38" s="43" t="s">
        <v>0</v>
      </c>
      <c r="J38" s="44">
        <v>46008</v>
      </c>
      <c r="K38" s="44"/>
      <c r="L38" s="44"/>
      <c r="M38" s="44"/>
      <c r="N38" s="127"/>
      <c r="O38" s="199" t="s">
        <v>2485</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8"/>
      <c r="AP38" s="144" t="str">
        <f t="shared" ca="1" si="10"/>
        <v/>
      </c>
      <c r="AQ38" s="142" t="s">
        <v>2358</v>
      </c>
      <c r="AR38" s="142" t="s">
        <v>2351</v>
      </c>
      <c r="AS38" s="57" t="str">
        <f t="shared" si="3"/>
        <v>---</v>
      </c>
      <c r="AT38" s="141" t="str">
        <f t="shared" si="4"/>
        <v xml:space="preserve">PLAN CINCO CCPP C Cristo de la Sed 81 - </v>
      </c>
      <c r="AU38" s="141" t="str">
        <f t="shared" ca="1" si="5"/>
        <v/>
      </c>
      <c r="AV38" s="257" t="str">
        <f t="shared" ca="1" si="6"/>
        <v/>
      </c>
      <c r="AW38" s="257" t="str">
        <f t="shared" si="7"/>
        <v/>
      </c>
      <c r="AX38" s="141" t="s">
        <v>1410</v>
      </c>
      <c r="AY38" s="142"/>
    </row>
    <row r="39" spans="1:51" s="262" customFormat="1" x14ac:dyDescent="0.25">
      <c r="A39" s="64" t="s">
        <v>2594</v>
      </c>
      <c r="B39" s="64" t="s">
        <v>2197</v>
      </c>
      <c r="C39" s="61" t="s">
        <v>1798</v>
      </c>
      <c r="D39" s="43" t="s">
        <v>1846</v>
      </c>
      <c r="E39" s="201">
        <v>651758719</v>
      </c>
      <c r="F39" s="263" t="s">
        <v>1847</v>
      </c>
      <c r="G39" s="43" t="s">
        <v>0</v>
      </c>
      <c r="H39" s="201" t="s">
        <v>0</v>
      </c>
      <c r="I39" s="43" t="s">
        <v>0</v>
      </c>
      <c r="J39" s="44">
        <v>46034</v>
      </c>
      <c r="K39" s="44"/>
      <c r="L39" s="44"/>
      <c r="M39" s="44"/>
      <c r="N39" s="127">
        <v>46157</v>
      </c>
      <c r="O39" s="128" t="s">
        <v>2130</v>
      </c>
      <c r="P39" s="129" t="s">
        <v>2491</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8"/>
      <c r="AP39" s="144" t="str">
        <f t="shared" ca="1" si="10"/>
        <v/>
      </c>
      <c r="AQ39" s="142" t="s">
        <v>2358</v>
      </c>
      <c r="AR39" s="142" t="s">
        <v>2351</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7"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7"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2" customFormat="1" x14ac:dyDescent="0.25">
      <c r="A40" s="64" t="s">
        <v>2592</v>
      </c>
      <c r="B40" s="64" t="s">
        <v>2199</v>
      </c>
      <c r="C40" s="61" t="s">
        <v>1798</v>
      </c>
      <c r="D40" s="43" t="s">
        <v>1808</v>
      </c>
      <c r="E40" s="201">
        <v>615671540</v>
      </c>
      <c r="F40" s="263" t="s">
        <v>1809</v>
      </c>
      <c r="G40" s="43" t="s">
        <v>1848</v>
      </c>
      <c r="H40" s="201">
        <v>699803865</v>
      </c>
      <c r="I40" s="43" t="s">
        <v>0</v>
      </c>
      <c r="J40" s="44">
        <v>46087</v>
      </c>
      <c r="K40" s="44"/>
      <c r="L40" s="44"/>
      <c r="M40" s="44"/>
      <c r="N40" s="127">
        <v>46157</v>
      </c>
      <c r="O40" s="128" t="s">
        <v>2123</v>
      </c>
      <c r="P40" s="126" t="s">
        <v>2491</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8"/>
      <c r="AP40" s="144" t="str">
        <f t="shared" ca="1" si="10"/>
        <v/>
      </c>
      <c r="AQ40" s="142" t="s">
        <v>2358</v>
      </c>
      <c r="AR40" s="142" t="s">
        <v>2351</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7"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7"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2" customFormat="1" x14ac:dyDescent="0.25">
      <c r="A41" s="64" t="s">
        <v>2592</v>
      </c>
      <c r="B41" s="64" t="s">
        <v>2200</v>
      </c>
      <c r="C41" s="61" t="s">
        <v>2129</v>
      </c>
      <c r="D41" s="43" t="s">
        <v>1849</v>
      </c>
      <c r="E41" s="201">
        <v>665253314</v>
      </c>
      <c r="F41" s="263" t="s">
        <v>1850</v>
      </c>
      <c r="G41" s="43" t="s">
        <v>1851</v>
      </c>
      <c r="H41" s="201">
        <v>609584835</v>
      </c>
      <c r="I41" s="43" t="s">
        <v>0</v>
      </c>
      <c r="J41" s="44">
        <v>46056</v>
      </c>
      <c r="K41" s="44"/>
      <c r="L41" s="44"/>
      <c r="M41" s="44"/>
      <c r="N41" s="127">
        <v>46157</v>
      </c>
      <c r="O41" s="128" t="s">
        <v>2133</v>
      </c>
      <c r="P41" s="129" t="s">
        <v>2491</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8"/>
      <c r="AP41" s="144" t="str">
        <f t="shared" ca="1" si="10"/>
        <v/>
      </c>
      <c r="AQ41" s="142" t="s">
        <v>2358</v>
      </c>
      <c r="AR41" s="142" t="s">
        <v>2351</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7"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7"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2" customFormat="1" x14ac:dyDescent="0.25">
      <c r="A42" s="64" t="s">
        <v>2592</v>
      </c>
      <c r="B42" s="64" t="s">
        <v>2198</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8"/>
      <c r="AP42" s="144" t="str">
        <f t="shared" ca="1" si="10"/>
        <v/>
      </c>
      <c r="AQ42" s="142" t="s">
        <v>2358</v>
      </c>
      <c r="AR42" s="142" t="s">
        <v>2351</v>
      </c>
      <c r="AS42" s="57" t="str">
        <f t="shared" si="3"/>
        <v>---</v>
      </c>
      <c r="AT42" s="141" t="str">
        <f t="shared" si="4"/>
        <v xml:space="preserve">PLAN CINCO CCPP C Delfín 1 - </v>
      </c>
      <c r="AU42" s="141" t="str">
        <f t="shared" ca="1" si="5"/>
        <v/>
      </c>
      <c r="AV42" s="257" t="str">
        <f t="shared" ca="1" si="6"/>
        <v/>
      </c>
      <c r="AW42" s="257" t="str">
        <f t="shared" si="7"/>
        <v/>
      </c>
      <c r="AX42" s="141" t="s">
        <v>1410</v>
      </c>
      <c r="AY42" s="142"/>
    </row>
    <row r="43" spans="1:51" s="262" customFormat="1" x14ac:dyDescent="0.25">
      <c r="A43" s="64" t="s">
        <v>2594</v>
      </c>
      <c r="B43" s="64" t="s">
        <v>2201</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2499</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8"/>
      <c r="AP43" s="144" t="str">
        <f t="shared" ca="1" si="10"/>
        <v/>
      </c>
      <c r="AQ43" s="142" t="s">
        <v>2358</v>
      </c>
      <c r="AR43" s="142" t="s">
        <v>2351</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7"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7"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2" customFormat="1" ht="31.5" x14ac:dyDescent="0.25">
      <c r="A44" s="75" t="s">
        <v>2592</v>
      </c>
      <c r="B44" s="75" t="s">
        <v>2202</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2392</v>
      </c>
      <c r="P44" s="129" t="s">
        <v>2498</v>
      </c>
      <c r="Q44" s="65">
        <v>46062</v>
      </c>
      <c r="R44" s="65"/>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8"/>
      <c r="AP44" s="144" t="str">
        <f t="shared" ca="1" si="10"/>
        <v>SI</v>
      </c>
      <c r="AQ44" s="142" t="s">
        <v>2358</v>
      </c>
      <c r="AR44" s="142" t="s">
        <v>2351</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7"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7"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2" customFormat="1" x14ac:dyDescent="0.25">
      <c r="A45" s="75" t="s">
        <v>2592</v>
      </c>
      <c r="B45" s="75" t="s">
        <v>2203</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2498</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8"/>
      <c r="AP45" s="144" t="str">
        <f t="shared" ca="1" si="10"/>
        <v/>
      </c>
      <c r="AQ45" s="142" t="s">
        <v>2358</v>
      </c>
      <c r="AR45" s="142" t="s">
        <v>2351</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7"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7"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2" customFormat="1" x14ac:dyDescent="0.25">
      <c r="A46" s="75" t="s">
        <v>2592</v>
      </c>
      <c r="B46" s="75" t="s">
        <v>2207</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2385</v>
      </c>
      <c r="P46" s="129" t="s">
        <v>2498</v>
      </c>
      <c r="Q46" s="65">
        <v>46093</v>
      </c>
      <c r="R46" s="65"/>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8"/>
      <c r="AP46" s="144" t="str">
        <f t="shared" ca="1" si="10"/>
        <v/>
      </c>
      <c r="AQ46" s="142" t="s">
        <v>2358</v>
      </c>
      <c r="AR46" s="142" t="s">
        <v>2351</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7"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7"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2" customFormat="1" x14ac:dyDescent="0.25">
      <c r="A47" s="75" t="s">
        <v>2592</v>
      </c>
      <c r="B47" s="75" t="s">
        <v>2208</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2498</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8"/>
      <c r="AP47" s="144" t="str">
        <f t="shared" ca="1" si="10"/>
        <v/>
      </c>
      <c r="AQ47" s="142" t="s">
        <v>2358</v>
      </c>
      <c r="AR47" s="142" t="s">
        <v>2351</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7"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7"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2" customFormat="1" x14ac:dyDescent="0.25">
      <c r="A48" s="64" t="s">
        <v>2594</v>
      </c>
      <c r="B48" s="64" t="s">
        <v>2204</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8"/>
      <c r="AP48" s="144" t="str">
        <f t="shared" ca="1" si="10"/>
        <v/>
      </c>
      <c r="AQ48" s="142" t="s">
        <v>2358</v>
      </c>
      <c r="AR48" s="142" t="s">
        <v>2351</v>
      </c>
      <c r="AS48" s="57" t="str">
        <f t="shared" si="3"/>
        <v>---</v>
      </c>
      <c r="AT48" s="141" t="str">
        <f t="shared" si="4"/>
        <v xml:space="preserve">PLAN CINCO CCPP Av Doctor Fedriani 17 - </v>
      </c>
      <c r="AU48" s="141" t="str">
        <f t="shared" ca="1" si="5"/>
        <v/>
      </c>
      <c r="AV48" s="257" t="str">
        <f t="shared" ca="1" si="6"/>
        <v/>
      </c>
      <c r="AW48" s="257" t="str">
        <f t="shared" si="7"/>
        <v/>
      </c>
      <c r="AX48" s="141" t="s">
        <v>1410</v>
      </c>
      <c r="AY48" s="142"/>
    </row>
    <row r="49" spans="1:51" s="262" customFormat="1" x14ac:dyDescent="0.25">
      <c r="A49" s="64" t="s">
        <v>2594</v>
      </c>
      <c r="B49" s="64" t="s">
        <v>2205</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8"/>
      <c r="AP49" s="144" t="str">
        <f t="shared" ca="1" si="10"/>
        <v/>
      </c>
      <c r="AQ49" s="142" t="s">
        <v>2358</v>
      </c>
      <c r="AR49" s="142" t="s">
        <v>2351</v>
      </c>
      <c r="AS49" s="57" t="str">
        <f t="shared" si="3"/>
        <v>---</v>
      </c>
      <c r="AT49" s="141" t="str">
        <f t="shared" si="4"/>
        <v xml:space="preserve">PLAN CINCO CCPP Av Doctor Fedriani 29 - </v>
      </c>
      <c r="AU49" s="141" t="str">
        <f t="shared" ca="1" si="5"/>
        <v/>
      </c>
      <c r="AV49" s="257" t="str">
        <f t="shared" ca="1" si="6"/>
        <v/>
      </c>
      <c r="AW49" s="257" t="str">
        <f t="shared" si="7"/>
        <v/>
      </c>
      <c r="AX49" s="141" t="s">
        <v>1410</v>
      </c>
      <c r="AY49" s="142"/>
    </row>
    <row r="50" spans="1:51" s="262" customFormat="1" x14ac:dyDescent="0.25">
      <c r="A50" s="64" t="s">
        <v>2594</v>
      </c>
      <c r="B50" s="64" t="s">
        <v>2206</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8"/>
      <c r="AP50" s="144" t="str">
        <f t="shared" ca="1" si="10"/>
        <v/>
      </c>
      <c r="AQ50" s="142" t="s">
        <v>2358</v>
      </c>
      <c r="AR50" s="142" t="s">
        <v>2351</v>
      </c>
      <c r="AS50" s="57" t="str">
        <f t="shared" si="3"/>
        <v>---</v>
      </c>
      <c r="AT50" s="141" t="str">
        <f t="shared" si="4"/>
        <v xml:space="preserve">PLAN CINCO CCPP Av Doctor Fedriani 31 - </v>
      </c>
      <c r="AU50" s="141" t="str">
        <f t="shared" ca="1" si="5"/>
        <v/>
      </c>
      <c r="AV50" s="257" t="str">
        <f t="shared" ca="1" si="6"/>
        <v/>
      </c>
      <c r="AW50" s="257" t="str">
        <f t="shared" si="7"/>
        <v/>
      </c>
      <c r="AX50" s="141" t="s">
        <v>1410</v>
      </c>
      <c r="AY50" s="142"/>
    </row>
    <row r="51" spans="1:51" s="262" customFormat="1" x14ac:dyDescent="0.25">
      <c r="A51" s="75" t="s">
        <v>2594</v>
      </c>
      <c r="B51" s="75" t="s">
        <v>2210</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8"/>
      <c r="AP51" s="144" t="str">
        <f t="shared" ca="1" si="10"/>
        <v/>
      </c>
      <c r="AQ51" s="142" t="s">
        <v>2358</v>
      </c>
      <c r="AR51" s="142" t="s">
        <v>2351</v>
      </c>
      <c r="AS51" s="57" t="str">
        <f t="shared" si="3"/>
        <v>---</v>
      </c>
      <c r="AT51" s="141" t="str">
        <f t="shared" si="4"/>
        <v xml:space="preserve">PLAN CINCO CCPP Av Doctor Fedriani 39 - </v>
      </c>
      <c r="AU51" s="141" t="str">
        <f t="shared" ca="1" si="5"/>
        <v/>
      </c>
      <c r="AV51" s="257" t="str">
        <f t="shared" ca="1" si="6"/>
        <v/>
      </c>
      <c r="AW51" s="257" t="str">
        <f t="shared" si="7"/>
        <v/>
      </c>
      <c r="AX51" s="141" t="s">
        <v>1410</v>
      </c>
      <c r="AY51" s="142"/>
    </row>
    <row r="52" spans="1:51" s="262" customFormat="1" x14ac:dyDescent="0.25">
      <c r="A52" s="64" t="s">
        <v>2596</v>
      </c>
      <c r="B52" s="64" t="s">
        <v>2212</v>
      </c>
      <c r="C52" s="61" t="s">
        <v>2129</v>
      </c>
      <c r="D52" s="43" t="s">
        <v>1868</v>
      </c>
      <c r="E52" s="201">
        <v>955676454</v>
      </c>
      <c r="F52" s="43" t="s">
        <v>1869</v>
      </c>
      <c r="G52" s="122" t="s">
        <v>0</v>
      </c>
      <c r="H52" s="201" t="s">
        <v>0</v>
      </c>
      <c r="I52" s="43" t="s">
        <v>0</v>
      </c>
      <c r="J52" s="44">
        <v>45980</v>
      </c>
      <c r="K52" s="44"/>
      <c r="L52" s="44"/>
      <c r="M52" s="44"/>
      <c r="N52" s="127">
        <v>46157</v>
      </c>
      <c r="O52" s="128" t="s">
        <v>2133</v>
      </c>
      <c r="P52" s="129" t="s">
        <v>2491</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8"/>
      <c r="AP52" s="144" t="str">
        <f t="shared" ca="1" si="10"/>
        <v/>
      </c>
      <c r="AQ52" s="142" t="s">
        <v>2358</v>
      </c>
      <c r="AR52" s="142" t="s">
        <v>2351</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7"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7"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2" customFormat="1" x14ac:dyDescent="0.25">
      <c r="A53" s="64" t="s">
        <v>2592</v>
      </c>
      <c r="B53" s="64" t="s">
        <v>2209</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8"/>
      <c r="AP53" s="144" t="str">
        <f t="shared" ca="1" si="10"/>
        <v/>
      </c>
      <c r="AQ53" s="142" t="s">
        <v>2358</v>
      </c>
      <c r="AR53" s="142" t="s">
        <v>2351</v>
      </c>
      <c r="AS53" s="57" t="str">
        <f t="shared" si="3"/>
        <v>---</v>
      </c>
      <c r="AT53" s="141" t="str">
        <f t="shared" si="4"/>
        <v xml:space="preserve">PLAN CINCO CCPP C Doctor Marañón 11 - </v>
      </c>
      <c r="AU53" s="141" t="str">
        <f t="shared" ca="1" si="5"/>
        <v/>
      </c>
      <c r="AV53" s="257" t="str">
        <f t="shared" ca="1" si="6"/>
        <v/>
      </c>
      <c r="AW53" s="257" t="str">
        <f t="shared" si="7"/>
        <v/>
      </c>
      <c r="AX53" s="141" t="s">
        <v>1410</v>
      </c>
      <c r="AY53" s="142"/>
    </row>
    <row r="54" spans="1:51" s="262" customFormat="1" x14ac:dyDescent="0.25">
      <c r="A54" s="64" t="s">
        <v>2592</v>
      </c>
      <c r="B54" s="64" t="s">
        <v>2368</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8"/>
      <c r="AP54" s="144" t="str">
        <f t="shared" ca="1" si="10"/>
        <v/>
      </c>
      <c r="AQ54" s="142" t="s">
        <v>2358</v>
      </c>
      <c r="AR54" s="142" t="s">
        <v>2351</v>
      </c>
      <c r="AS54" s="57" t="str">
        <f t="shared" si="3"/>
        <v>---</v>
      </c>
      <c r="AT54" s="141" t="str">
        <f t="shared" si="4"/>
        <v xml:space="preserve">PLAN CINCO CCPP C Doctores González Meneses 03 - </v>
      </c>
      <c r="AU54" s="141" t="str">
        <f t="shared" ca="1" si="5"/>
        <v/>
      </c>
      <c r="AV54" s="257" t="str">
        <f t="shared" ca="1" si="6"/>
        <v/>
      </c>
      <c r="AW54" s="257" t="str">
        <f t="shared" si="7"/>
        <v/>
      </c>
      <c r="AX54" s="141" t="s">
        <v>1410</v>
      </c>
      <c r="AY54" s="142"/>
    </row>
    <row r="55" spans="1:51" s="262" customFormat="1" x14ac:dyDescent="0.25">
      <c r="A55" s="75" t="s">
        <v>2592</v>
      </c>
      <c r="B55" s="75" t="s">
        <v>2213</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2450</v>
      </c>
      <c r="P55" s="129" t="s">
        <v>2506</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8"/>
      <c r="AP55" s="144" t="str">
        <f t="shared" ca="1" si="10"/>
        <v/>
      </c>
      <c r="AQ55" s="142" t="s">
        <v>2358</v>
      </c>
      <c r="AR55" s="142" t="s">
        <v>2351</v>
      </c>
      <c r="AS55" s="57" t="str">
        <f t="shared" si="3"/>
        <v>---</v>
      </c>
      <c r="AT55" s="141" t="str">
        <f t="shared" si="4"/>
        <v xml:space="preserve">PLAN CINCO CCPP C Doctores González Meneses 10 - </v>
      </c>
      <c r="AU55" s="141" t="str">
        <f t="shared" ca="1" si="5"/>
        <v/>
      </c>
      <c r="AV55" s="257" t="str">
        <f t="shared" ca="1" si="6"/>
        <v/>
      </c>
      <c r="AW55" s="257" t="str">
        <f t="shared" si="7"/>
        <v/>
      </c>
      <c r="AX55" s="141" t="s">
        <v>1410</v>
      </c>
      <c r="AY55" s="142"/>
    </row>
    <row r="56" spans="1:51" s="262" customFormat="1" x14ac:dyDescent="0.25">
      <c r="A56" s="64" t="s">
        <v>2592</v>
      </c>
      <c r="B56" s="64" t="s">
        <v>2211</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8"/>
      <c r="AP56" s="144" t="str">
        <f t="shared" ca="1" si="10"/>
        <v/>
      </c>
      <c r="AQ56" s="142" t="s">
        <v>2358</v>
      </c>
      <c r="AR56" s="142" t="s">
        <v>2351</v>
      </c>
      <c r="AS56" s="57" t="str">
        <f t="shared" si="3"/>
        <v>---</v>
      </c>
      <c r="AT56" s="141" t="str">
        <f t="shared" si="4"/>
        <v xml:space="preserve">PLAN CINCO CCPP C Doctores González Meneses 14 - </v>
      </c>
      <c r="AU56" s="141" t="str">
        <f t="shared" ca="1" si="5"/>
        <v/>
      </c>
      <c r="AV56" s="257" t="str">
        <f t="shared" ca="1" si="6"/>
        <v/>
      </c>
      <c r="AW56" s="257" t="str">
        <f t="shared" si="7"/>
        <v/>
      </c>
      <c r="AX56" s="141" t="s">
        <v>1410</v>
      </c>
      <c r="AY56" s="142"/>
    </row>
    <row r="57" spans="1:51" s="262" customFormat="1" x14ac:dyDescent="0.25">
      <c r="A57" s="64" t="s">
        <v>2592</v>
      </c>
      <c r="B57" s="64" t="s">
        <v>2216</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2499</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8"/>
      <c r="AP57" s="144" t="str">
        <f t="shared" ca="1" si="10"/>
        <v/>
      </c>
      <c r="AQ57" s="142" t="s">
        <v>2358</v>
      </c>
      <c r="AR57" s="142" t="s">
        <v>2351</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7"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7"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2" customFormat="1" x14ac:dyDescent="0.25">
      <c r="A58" s="75" t="s">
        <v>2592</v>
      </c>
      <c r="B58" s="75" t="s">
        <v>2217</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2505</v>
      </c>
      <c r="Q58" s="65">
        <v>46366</v>
      </c>
      <c r="R58" s="65">
        <v>46072</v>
      </c>
      <c r="S58" s="65">
        <v>46091</v>
      </c>
      <c r="T58" s="65"/>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8"/>
      <c r="AP58" s="144" t="str">
        <f t="shared" ca="1" si="10"/>
        <v/>
      </c>
      <c r="AQ58" s="142" t="s">
        <v>2358</v>
      </c>
      <c r="AR58" s="142" t="s">
        <v>2351</v>
      </c>
      <c r="AS58" s="57" t="str">
        <f t="shared" si="3"/>
        <v>---</v>
      </c>
      <c r="AT58" s="141" t="str">
        <f t="shared" si="4"/>
        <v xml:space="preserve">PLAN CINCO CCPP C Doña Francisquita 20 - </v>
      </c>
      <c r="AU58" s="141" t="str">
        <f t="shared" ca="1" si="5"/>
        <v/>
      </c>
      <c r="AV58" s="257" t="str">
        <f t="shared" ca="1" si="6"/>
        <v/>
      </c>
      <c r="AW58" s="257" t="str">
        <f t="shared" si="7"/>
        <v/>
      </c>
      <c r="AX58" s="141" t="s">
        <v>1410</v>
      </c>
      <c r="AY58" s="142"/>
    </row>
    <row r="59" spans="1:51" s="262" customFormat="1" x14ac:dyDescent="0.25">
      <c r="A59" s="64" t="s">
        <v>2592</v>
      </c>
      <c r="B59" s="64" t="s">
        <v>2214</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8"/>
      <c r="AP59" s="144" t="str">
        <f t="shared" ca="1" si="10"/>
        <v/>
      </c>
      <c r="AQ59" s="142" t="s">
        <v>2358</v>
      </c>
      <c r="AR59" s="142" t="s">
        <v>2351</v>
      </c>
      <c r="AS59" s="57" t="str">
        <f t="shared" si="3"/>
        <v>---</v>
      </c>
      <c r="AT59" s="141" t="str">
        <f t="shared" si="4"/>
        <v xml:space="preserve">PLAN CINCO CCPP C Doña Francisquita 32 - </v>
      </c>
      <c r="AU59" s="141" t="str">
        <f t="shared" ca="1" si="5"/>
        <v/>
      </c>
      <c r="AV59" s="257" t="str">
        <f t="shared" ca="1" si="6"/>
        <v/>
      </c>
      <c r="AW59" s="257" t="str">
        <f t="shared" si="7"/>
        <v/>
      </c>
      <c r="AX59" s="141" t="s">
        <v>1410</v>
      </c>
      <c r="AY59" s="142"/>
    </row>
    <row r="60" spans="1:51" s="262" customFormat="1" x14ac:dyDescent="0.25">
      <c r="A60" s="64" t="s">
        <v>2592</v>
      </c>
      <c r="B60" s="64" t="s">
        <v>2215</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8"/>
      <c r="AP60" s="144" t="str">
        <f t="shared" ca="1" si="10"/>
        <v/>
      </c>
      <c r="AQ60" s="142" t="s">
        <v>2358</v>
      </c>
      <c r="AR60" s="142" t="s">
        <v>2351</v>
      </c>
      <c r="AS60" s="57" t="str">
        <f t="shared" si="3"/>
        <v>---</v>
      </c>
      <c r="AT60" s="141" t="str">
        <f t="shared" si="4"/>
        <v xml:space="preserve">PLAN CINCO CCPP C Doña Francisquita 34 - </v>
      </c>
      <c r="AU60" s="141" t="str">
        <f t="shared" ca="1" si="5"/>
        <v/>
      </c>
      <c r="AV60" s="257" t="str">
        <f t="shared" ca="1" si="6"/>
        <v/>
      </c>
      <c r="AW60" s="257" t="str">
        <f t="shared" si="7"/>
        <v/>
      </c>
      <c r="AX60" s="141" t="s">
        <v>1410</v>
      </c>
      <c r="AY60" s="142"/>
    </row>
    <row r="61" spans="1:51" s="262" customFormat="1" x14ac:dyDescent="0.25">
      <c r="A61" s="75" t="s">
        <v>2597</v>
      </c>
      <c r="B61" s="75" t="s">
        <v>2218</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8"/>
      <c r="AP61" s="144" t="str">
        <f t="shared" ca="1" si="10"/>
        <v/>
      </c>
      <c r="AQ61" s="142" t="s">
        <v>2358</v>
      </c>
      <c r="AR61" s="142" t="s">
        <v>2351</v>
      </c>
      <c r="AS61" s="57" t="str">
        <f t="shared" si="3"/>
        <v>---</v>
      </c>
      <c r="AT61" s="141" t="str">
        <f t="shared" si="4"/>
        <v xml:space="preserve">PLAN CINCO CCPP Pz de los Duendes de Sevilla 1 - </v>
      </c>
      <c r="AU61" s="141" t="str">
        <f t="shared" ca="1" si="5"/>
        <v/>
      </c>
      <c r="AV61" s="257" t="str">
        <f t="shared" ca="1" si="6"/>
        <v/>
      </c>
      <c r="AW61" s="257" t="str">
        <f t="shared" si="7"/>
        <v/>
      </c>
      <c r="AX61" s="141" t="s">
        <v>1410</v>
      </c>
      <c r="AY61" s="142"/>
    </row>
    <row r="62" spans="1:51" s="262" customFormat="1" x14ac:dyDescent="0.25">
      <c r="A62" s="64" t="s">
        <v>2597</v>
      </c>
      <c r="B62" s="64" t="s">
        <v>2220</v>
      </c>
      <c r="C62" s="61" t="s">
        <v>2129</v>
      </c>
      <c r="D62" s="43" t="s">
        <v>1882</v>
      </c>
      <c r="E62" s="201">
        <v>689133293</v>
      </c>
      <c r="F62" s="263" t="s">
        <v>1883</v>
      </c>
      <c r="G62" s="43" t="s">
        <v>1884</v>
      </c>
      <c r="H62" s="201">
        <v>652496625</v>
      </c>
      <c r="I62" s="43" t="s">
        <v>0</v>
      </c>
      <c r="J62" s="44">
        <v>46002</v>
      </c>
      <c r="K62" s="44"/>
      <c r="L62" s="44"/>
      <c r="M62" s="44"/>
      <c r="N62" s="127">
        <v>46157</v>
      </c>
      <c r="O62" s="128" t="s">
        <v>2133</v>
      </c>
      <c r="P62" s="129" t="s">
        <v>2491</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8"/>
      <c r="AP62" s="144" t="str">
        <f t="shared" ca="1" si="10"/>
        <v/>
      </c>
      <c r="AQ62" s="142" t="s">
        <v>2358</v>
      </c>
      <c r="AR62" s="142" t="s">
        <v>2351</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7"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7"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2" customFormat="1" x14ac:dyDescent="0.25">
      <c r="A63" s="64" t="s">
        <v>2594</v>
      </c>
      <c r="B63" s="64" t="s">
        <v>2221</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2499</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8"/>
      <c r="AP63" s="144" t="str">
        <f t="shared" ca="1" si="10"/>
        <v/>
      </c>
      <c r="AQ63" s="142" t="s">
        <v>2358</v>
      </c>
      <c r="AR63" s="142" t="s">
        <v>2351</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7"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7"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2" customFormat="1" x14ac:dyDescent="0.25">
      <c r="A64" s="64" t="s">
        <v>2594</v>
      </c>
      <c r="B64" s="64" t="s">
        <v>2219</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8"/>
      <c r="AP64" s="144" t="str">
        <f t="shared" ca="1" si="10"/>
        <v/>
      </c>
      <c r="AQ64" s="142" t="s">
        <v>2358</v>
      </c>
      <c r="AR64" s="142" t="s">
        <v>2351</v>
      </c>
      <c r="AS64" s="57" t="str">
        <f t="shared" si="3"/>
        <v>---</v>
      </c>
      <c r="AT64" s="141" t="str">
        <f t="shared" si="4"/>
        <v xml:space="preserve">PLAN CINCO CCPP Av Eduardo Dato 32 - </v>
      </c>
      <c r="AU64" s="141" t="str">
        <f t="shared" ca="1" si="5"/>
        <v/>
      </c>
      <c r="AV64" s="257" t="str">
        <f t="shared" ca="1" si="6"/>
        <v/>
      </c>
      <c r="AW64" s="257" t="str">
        <f t="shared" si="7"/>
        <v/>
      </c>
      <c r="AX64" s="141" t="s">
        <v>1410</v>
      </c>
      <c r="AY64" s="142"/>
    </row>
    <row r="65" spans="1:51" s="262" customFormat="1" x14ac:dyDescent="0.25">
      <c r="A65" s="64" t="s">
        <v>2594</v>
      </c>
      <c r="B65" s="64" t="s">
        <v>2222</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2499</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8"/>
      <c r="AP65" s="144" t="str">
        <f t="shared" ca="1" si="10"/>
        <v/>
      </c>
      <c r="AQ65" s="142" t="s">
        <v>2358</v>
      </c>
      <c r="AR65" s="142" t="s">
        <v>2351</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7"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7"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2" customFormat="1" x14ac:dyDescent="0.25">
      <c r="A66" s="64" t="s">
        <v>2594</v>
      </c>
      <c r="B66" s="64" t="s">
        <v>2225</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2499</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8"/>
      <c r="AP66" s="144" t="str">
        <f t="shared" ca="1" si="10"/>
        <v/>
      </c>
      <c r="AQ66" s="142" t="s">
        <v>2358</v>
      </c>
      <c r="AR66" s="142" t="s">
        <v>2351</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7"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7"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2" customFormat="1" x14ac:dyDescent="0.25">
      <c r="A67" s="64" t="s">
        <v>2598</v>
      </c>
      <c r="B67" s="64" t="s">
        <v>2226</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2499</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8"/>
      <c r="AP67" s="144" t="str">
        <f t="shared" ca="1" si="10"/>
        <v/>
      </c>
      <c r="AQ67" s="142" t="s">
        <v>2358</v>
      </c>
      <c r="AR67" s="142" t="s">
        <v>2351</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7"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7"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2" customFormat="1" x14ac:dyDescent="0.25">
      <c r="A68" s="64" t="s">
        <v>2592</v>
      </c>
      <c r="B68" s="64" t="s">
        <v>2223</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8"/>
      <c r="AP68" s="144" t="str">
        <f t="shared" ref="AP68:AP131" ca="1" si="24">IF(AO68="🔒","NO",IF(AND(ISNUMBER(N68),N68&lt;=TODAY(),AS68&lt;&gt;"---"),"SI",""))</f>
        <v/>
      </c>
      <c r="AQ68" s="142" t="s">
        <v>2358</v>
      </c>
      <c r="AR68" s="142" t="s">
        <v>2351</v>
      </c>
      <c r="AS68" s="57" t="str">
        <f t="shared" si="17"/>
        <v>---</v>
      </c>
      <c r="AT68" s="141" t="str">
        <f t="shared" si="18"/>
        <v xml:space="preserve">PLAN CINCO CCPP C Enladrillada 61 - </v>
      </c>
      <c r="AU68" s="141" t="str">
        <f t="shared" ca="1" si="19"/>
        <v/>
      </c>
      <c r="AV68" s="257" t="str">
        <f t="shared" ca="1" si="20"/>
        <v/>
      </c>
      <c r="AW68" s="257" t="str">
        <f t="shared" si="21"/>
        <v/>
      </c>
      <c r="AX68" s="141" t="s">
        <v>1410</v>
      </c>
      <c r="AY68" s="142"/>
    </row>
    <row r="69" spans="1:51" s="262" customFormat="1" x14ac:dyDescent="0.25">
      <c r="A69" s="64" t="s">
        <v>2592</v>
      </c>
      <c r="B69" s="64" t="s">
        <v>2224</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8"/>
      <c r="AP69" s="144" t="str">
        <f t="shared" ca="1" si="24"/>
        <v/>
      </c>
      <c r="AQ69" s="142" t="s">
        <v>2358</v>
      </c>
      <c r="AR69" s="142" t="s">
        <v>2351</v>
      </c>
      <c r="AS69" s="57" t="str">
        <f t="shared" si="17"/>
        <v>---</v>
      </c>
      <c r="AT69" s="141" t="str">
        <f t="shared" si="18"/>
        <v xml:space="preserve">PLAN CINCO CCPP C Fausto 7 - </v>
      </c>
      <c r="AU69" s="141" t="str">
        <f t="shared" ca="1" si="19"/>
        <v/>
      </c>
      <c r="AV69" s="257" t="str">
        <f t="shared" ca="1" si="20"/>
        <v/>
      </c>
      <c r="AW69" s="257" t="str">
        <f t="shared" si="21"/>
        <v/>
      </c>
      <c r="AX69" s="141" t="s">
        <v>1410</v>
      </c>
      <c r="AY69" s="142"/>
    </row>
    <row r="70" spans="1:51" s="262" customFormat="1" x14ac:dyDescent="0.25">
      <c r="A70" s="64" t="s">
        <v>2592</v>
      </c>
      <c r="B70" s="64" t="s">
        <v>2228</v>
      </c>
      <c r="C70" s="61" t="s">
        <v>2129</v>
      </c>
      <c r="D70" s="43" t="s">
        <v>1898</v>
      </c>
      <c r="E70" s="201">
        <v>625151119</v>
      </c>
      <c r="F70" s="263" t="s">
        <v>1899</v>
      </c>
      <c r="G70" s="203" t="s">
        <v>2156</v>
      </c>
      <c r="H70" s="203" t="s">
        <v>0</v>
      </c>
      <c r="I70" s="122" t="s">
        <v>0</v>
      </c>
      <c r="J70" s="44">
        <v>46080</v>
      </c>
      <c r="K70" s="44"/>
      <c r="L70" s="44"/>
      <c r="M70" s="44"/>
      <c r="N70" s="127">
        <v>46157</v>
      </c>
      <c r="O70" s="128" t="s">
        <v>2131</v>
      </c>
      <c r="P70" s="129" t="s">
        <v>2491</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8"/>
      <c r="AP70" s="144" t="str">
        <f t="shared" ca="1" si="24"/>
        <v/>
      </c>
      <c r="AQ70" s="142" t="s">
        <v>2358</v>
      </c>
      <c r="AR70" s="142" t="s">
        <v>2351</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7"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7"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2" customFormat="1" x14ac:dyDescent="0.25">
      <c r="A71" s="64" t="s">
        <v>2592</v>
      </c>
      <c r="B71" s="64" t="s">
        <v>2231</v>
      </c>
      <c r="C71" s="61" t="s">
        <v>2129</v>
      </c>
      <c r="D71" s="43" t="s">
        <v>1900</v>
      </c>
      <c r="E71" s="201">
        <v>649111049</v>
      </c>
      <c r="F71" s="263" t="s">
        <v>1901</v>
      </c>
      <c r="G71" s="203" t="s">
        <v>2156</v>
      </c>
      <c r="H71" s="203" t="s">
        <v>0</v>
      </c>
      <c r="I71" s="122" t="s">
        <v>0</v>
      </c>
      <c r="J71" s="44">
        <v>46084</v>
      </c>
      <c r="K71" s="44"/>
      <c r="L71" s="44"/>
      <c r="M71" s="44"/>
      <c r="N71" s="127">
        <v>46157</v>
      </c>
      <c r="O71" s="128" t="s">
        <v>2130</v>
      </c>
      <c r="P71" s="129" t="s">
        <v>2491</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8"/>
      <c r="AP71" s="144" t="str">
        <f t="shared" ca="1" si="24"/>
        <v/>
      </c>
      <c r="AQ71" s="142" t="s">
        <v>2358</v>
      </c>
      <c r="AR71" s="142" t="s">
        <v>2351</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7"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7"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2" customFormat="1" x14ac:dyDescent="0.25">
      <c r="A72" s="64" t="s">
        <v>2592</v>
      </c>
      <c r="B72" s="64" t="s">
        <v>2227</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8"/>
      <c r="AP72" s="144" t="str">
        <f t="shared" ca="1" si="24"/>
        <v/>
      </c>
      <c r="AQ72" s="142" t="s">
        <v>2358</v>
      </c>
      <c r="AR72" s="142" t="s">
        <v>2351</v>
      </c>
      <c r="AS72" s="57" t="str">
        <f t="shared" si="17"/>
        <v>---</v>
      </c>
      <c r="AT72" s="141" t="str">
        <f t="shared" si="18"/>
        <v xml:space="preserve">PLAN CINCO CCPP C Fernando IV 14 - </v>
      </c>
      <c r="AU72" s="141" t="str">
        <f t="shared" ca="1" si="19"/>
        <v/>
      </c>
      <c r="AV72" s="257" t="str">
        <f t="shared" ca="1" si="20"/>
        <v/>
      </c>
      <c r="AW72" s="257" t="str">
        <f t="shared" si="21"/>
        <v/>
      </c>
      <c r="AX72" s="141" t="s">
        <v>1410</v>
      </c>
      <c r="AY72" s="142"/>
    </row>
    <row r="73" spans="1:51" s="262" customFormat="1" x14ac:dyDescent="0.25">
      <c r="A73" s="64" t="s">
        <v>2592</v>
      </c>
      <c r="B73" s="64" t="s">
        <v>2234</v>
      </c>
      <c r="C73" s="61" t="s">
        <v>2129</v>
      </c>
      <c r="D73" s="43" t="s">
        <v>2112</v>
      </c>
      <c r="E73" s="201">
        <v>954283221</v>
      </c>
      <c r="F73" s="263" t="s">
        <v>1928</v>
      </c>
      <c r="G73" s="43" t="s">
        <v>2154</v>
      </c>
      <c r="H73" s="201">
        <v>610271473</v>
      </c>
      <c r="I73" s="122" t="s">
        <v>0</v>
      </c>
      <c r="J73" s="136">
        <v>46121</v>
      </c>
      <c r="K73" s="136"/>
      <c r="L73" s="136"/>
      <c r="M73" s="136"/>
      <c r="N73" s="127"/>
      <c r="O73" s="128" t="s">
        <v>2399</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8"/>
      <c r="AP73" s="144" t="str">
        <f t="shared" ca="1" si="24"/>
        <v/>
      </c>
      <c r="AQ73" s="142" t="s">
        <v>2358</v>
      </c>
      <c r="AR73" s="142" t="s">
        <v>2351</v>
      </c>
      <c r="AS73" s="57" t="str">
        <f t="shared" si="17"/>
        <v>---</v>
      </c>
      <c r="AT73" s="141" t="str">
        <f t="shared" si="18"/>
        <v xml:space="preserve">PLAN CINCO CCPP C Fernando IV 44 - </v>
      </c>
      <c r="AU73" s="141" t="str">
        <f t="shared" ca="1" si="19"/>
        <v/>
      </c>
      <c r="AV73" s="257" t="str">
        <f t="shared" ca="1" si="20"/>
        <v/>
      </c>
      <c r="AW73" s="257" t="str">
        <f t="shared" si="21"/>
        <v/>
      </c>
      <c r="AX73" s="141" t="s">
        <v>1410</v>
      </c>
      <c r="AY73" s="142"/>
    </row>
    <row r="74" spans="1:51" s="262" customFormat="1" x14ac:dyDescent="0.25">
      <c r="A74" s="64" t="s">
        <v>2592</v>
      </c>
      <c r="B74" s="64" t="s">
        <v>2235</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2499</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8"/>
      <c r="AP74" s="144" t="str">
        <f t="shared" ca="1" si="24"/>
        <v/>
      </c>
      <c r="AQ74" s="142" t="s">
        <v>2358</v>
      </c>
      <c r="AR74" s="142" t="s">
        <v>2351</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7"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7"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2" customFormat="1" x14ac:dyDescent="0.25">
      <c r="A75" s="64" t="s">
        <v>2599</v>
      </c>
      <c r="B75" s="64" t="s">
        <v>2229</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8"/>
      <c r="AP75" s="144" t="str">
        <f t="shared" ca="1" si="24"/>
        <v/>
      </c>
      <c r="AQ75" s="142" t="s">
        <v>2358</v>
      </c>
      <c r="AR75" s="142" t="s">
        <v>2351</v>
      </c>
      <c r="AS75" s="57" t="str">
        <f t="shared" si="17"/>
        <v>---</v>
      </c>
      <c r="AT75" s="141" t="str">
        <f t="shared" si="18"/>
        <v xml:space="preserve">PLAN CINCO CCPP CS.Juan Francisco Madrigal Marín 2, 4 - </v>
      </c>
      <c r="AU75" s="141" t="str">
        <f t="shared" ca="1" si="19"/>
        <v/>
      </c>
      <c r="AV75" s="257" t="str">
        <f t="shared" ca="1" si="20"/>
        <v/>
      </c>
      <c r="AW75" s="257" t="str">
        <f t="shared" si="21"/>
        <v/>
      </c>
      <c r="AX75" s="141" t="s">
        <v>1410</v>
      </c>
      <c r="AY75" s="142"/>
    </row>
    <row r="76" spans="1:51" s="262" customFormat="1" x14ac:dyDescent="0.25">
      <c r="A76" s="64" t="s">
        <v>2592</v>
      </c>
      <c r="B76" s="64" t="s">
        <v>2236</v>
      </c>
      <c r="C76" s="61" t="s">
        <v>2129</v>
      </c>
      <c r="D76" s="43" t="s">
        <v>2150</v>
      </c>
      <c r="E76" s="201">
        <v>954440400</v>
      </c>
      <c r="F76" s="263" t="s">
        <v>1872</v>
      </c>
      <c r="G76" s="43" t="s">
        <v>2152</v>
      </c>
      <c r="H76" s="201">
        <v>666847824</v>
      </c>
      <c r="I76" s="263" t="s">
        <v>2151</v>
      </c>
      <c r="J76" s="136">
        <v>46121</v>
      </c>
      <c r="K76" s="136"/>
      <c r="L76" s="136"/>
      <c r="M76" s="136"/>
      <c r="N76" s="127">
        <v>46157</v>
      </c>
      <c r="O76" s="128" t="s">
        <v>2153</v>
      </c>
      <c r="P76" s="126" t="s">
        <v>2491</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8"/>
      <c r="AP76" s="144" t="str">
        <f t="shared" ca="1" si="24"/>
        <v/>
      </c>
      <c r="AQ76" s="142" t="s">
        <v>2358</v>
      </c>
      <c r="AR76" s="142" t="s">
        <v>2351</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7"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7"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2" customFormat="1" x14ac:dyDescent="0.25">
      <c r="A77" s="64" t="s">
        <v>2592</v>
      </c>
      <c r="B77" s="64" t="s">
        <v>2238</v>
      </c>
      <c r="C77" s="61" t="s">
        <v>2129</v>
      </c>
      <c r="D77" s="43" t="s">
        <v>1288</v>
      </c>
      <c r="E77" s="203">
        <v>954440400</v>
      </c>
      <c r="F77" s="263" t="s">
        <v>1872</v>
      </c>
      <c r="G77" s="61" t="s">
        <v>2147</v>
      </c>
      <c r="H77" s="201">
        <v>691310364</v>
      </c>
      <c r="I77" s="265" t="s">
        <v>2148</v>
      </c>
      <c r="J77" s="136">
        <v>46120</v>
      </c>
      <c r="K77" s="134"/>
      <c r="L77" s="136"/>
      <c r="M77" s="136"/>
      <c r="N77" s="127"/>
      <c r="O77" s="128" t="s">
        <v>2401</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8"/>
      <c r="AP77" s="144" t="str">
        <f t="shared" ca="1" si="24"/>
        <v/>
      </c>
      <c r="AQ77" s="142" t="s">
        <v>2358</v>
      </c>
      <c r="AR77" s="142" t="s">
        <v>2351</v>
      </c>
      <c r="AS77" s="57" t="str">
        <f t="shared" si="17"/>
        <v>---</v>
      </c>
      <c r="AT77" s="141" t="str">
        <f t="shared" si="18"/>
        <v xml:space="preserve">PLAN CINCO CCPP C Galicia 10 - </v>
      </c>
      <c r="AU77" s="141" t="str">
        <f t="shared" ca="1" si="19"/>
        <v/>
      </c>
      <c r="AV77" s="257" t="str">
        <f t="shared" ca="1" si="20"/>
        <v/>
      </c>
      <c r="AW77" s="257" t="str">
        <f t="shared" si="21"/>
        <v/>
      </c>
      <c r="AX77" s="141" t="s">
        <v>1410</v>
      </c>
      <c r="AY77" s="142"/>
    </row>
    <row r="78" spans="1:51" s="262" customFormat="1" x14ac:dyDescent="0.25">
      <c r="A78" s="64" t="s">
        <v>2600</v>
      </c>
      <c r="B78" s="64" t="s">
        <v>2230</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8"/>
      <c r="AP78" s="144" t="str">
        <f t="shared" ca="1" si="24"/>
        <v/>
      </c>
      <c r="AQ78" s="142" t="s">
        <v>2358</v>
      </c>
      <c r="AR78" s="142" t="s">
        <v>2351</v>
      </c>
      <c r="AS78" s="57" t="str">
        <f t="shared" si="17"/>
        <v>---</v>
      </c>
      <c r="AT78" s="141" t="str">
        <f t="shared" si="18"/>
        <v xml:space="preserve">PLAN CINCO CCPP Av de los Gavilanes 58 - </v>
      </c>
      <c r="AU78" s="141" t="str">
        <f t="shared" ca="1" si="19"/>
        <v/>
      </c>
      <c r="AV78" s="257" t="str">
        <f t="shared" ca="1" si="20"/>
        <v/>
      </c>
      <c r="AW78" s="257" t="str">
        <f t="shared" si="21"/>
        <v/>
      </c>
      <c r="AX78" s="141" t="s">
        <v>1410</v>
      </c>
      <c r="AY78" s="142"/>
    </row>
    <row r="79" spans="1:51" s="262" customFormat="1" x14ac:dyDescent="0.25">
      <c r="A79" s="64" t="s">
        <v>2592</v>
      </c>
      <c r="B79" s="64" t="s">
        <v>2411</v>
      </c>
      <c r="C79" s="61" t="s">
        <v>2129</v>
      </c>
      <c r="D79" s="122" t="s">
        <v>2412</v>
      </c>
      <c r="E79" s="201">
        <v>631282498</v>
      </c>
      <c r="F79" s="122" t="s">
        <v>0</v>
      </c>
      <c r="G79" s="203" t="s">
        <v>2156</v>
      </c>
      <c r="H79" s="203" t="s">
        <v>0</v>
      </c>
      <c r="I79" s="122" t="s">
        <v>0</v>
      </c>
      <c r="J79" s="136">
        <v>46069</v>
      </c>
      <c r="K79" s="134">
        <v>46127</v>
      </c>
      <c r="L79" s="136">
        <v>46141</v>
      </c>
      <c r="M79" s="136"/>
      <c r="N79" s="127"/>
      <c r="O79" s="128"/>
      <c r="P79" s="129" t="s">
        <v>2499</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8"/>
      <c r="AP79" s="144" t="str">
        <f t="shared" ca="1" si="24"/>
        <v/>
      </c>
      <c r="AQ79" s="142" t="s">
        <v>2358</v>
      </c>
      <c r="AR79" s="142" t="s">
        <v>2351</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8"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8"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2" customFormat="1" x14ac:dyDescent="0.25">
      <c r="A80" s="75" t="s">
        <v>2601</v>
      </c>
      <c r="B80" s="75" t="s">
        <v>2239</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8"/>
      <c r="AP80" s="144" t="str">
        <f t="shared" ca="1" si="24"/>
        <v/>
      </c>
      <c r="AQ80" s="142" t="s">
        <v>2358</v>
      </c>
      <c r="AR80" s="142" t="s">
        <v>2351</v>
      </c>
      <c r="AS80" s="57" t="str">
        <f t="shared" si="17"/>
        <v>---</v>
      </c>
      <c r="AT80" s="141" t="str">
        <f t="shared" si="18"/>
        <v xml:space="preserve">PLAN CINCO CCPP Pz del Generalife 13 - </v>
      </c>
      <c r="AU80" s="141" t="str">
        <f t="shared" ca="1" si="19"/>
        <v/>
      </c>
      <c r="AV80" s="257" t="str">
        <f t="shared" ca="1" si="20"/>
        <v/>
      </c>
      <c r="AW80" s="257" t="str">
        <f t="shared" si="21"/>
        <v/>
      </c>
      <c r="AX80" s="141" t="s">
        <v>1410</v>
      </c>
      <c r="AY80" s="142"/>
    </row>
    <row r="81" spans="1:51" s="262" customFormat="1" x14ac:dyDescent="0.25">
      <c r="A81" s="64" t="s">
        <v>2592</v>
      </c>
      <c r="B81" s="64" t="s">
        <v>2232</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8"/>
      <c r="AP81" s="144" t="str">
        <f t="shared" ca="1" si="24"/>
        <v/>
      </c>
      <c r="AQ81" s="142" t="s">
        <v>2358</v>
      </c>
      <c r="AR81" s="142" t="s">
        <v>2351</v>
      </c>
      <c r="AS81" s="57" t="str">
        <f t="shared" si="17"/>
        <v>---</v>
      </c>
      <c r="AT81" s="141" t="str">
        <f t="shared" si="18"/>
        <v xml:space="preserve">PLAN CINCO CCPP C Génova 10 - </v>
      </c>
      <c r="AU81" s="141" t="str">
        <f t="shared" ca="1" si="19"/>
        <v/>
      </c>
      <c r="AV81" s="257" t="str">
        <f t="shared" ca="1" si="20"/>
        <v/>
      </c>
      <c r="AW81" s="257" t="str">
        <f t="shared" si="21"/>
        <v/>
      </c>
      <c r="AX81" s="141" t="s">
        <v>1410</v>
      </c>
      <c r="AY81" s="142"/>
    </row>
    <row r="82" spans="1:51" s="262" customFormat="1" x14ac:dyDescent="0.25">
      <c r="A82" s="64" t="s">
        <v>2592</v>
      </c>
      <c r="B82" s="64" t="s">
        <v>2233</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8"/>
      <c r="AP82" s="144" t="str">
        <f t="shared" ca="1" si="24"/>
        <v/>
      </c>
      <c r="AQ82" s="142" t="s">
        <v>2358</v>
      </c>
      <c r="AR82" s="142" t="s">
        <v>2351</v>
      </c>
      <c r="AS82" s="57" t="str">
        <f t="shared" si="17"/>
        <v>---</v>
      </c>
      <c r="AT82" s="141" t="str">
        <f t="shared" si="18"/>
        <v xml:space="preserve">PLAN CINCO CCPP C Geranio 10 - </v>
      </c>
      <c r="AU82" s="141" t="str">
        <f t="shared" ca="1" si="19"/>
        <v/>
      </c>
      <c r="AV82" s="257" t="str">
        <f t="shared" ca="1" si="20"/>
        <v/>
      </c>
      <c r="AW82" s="257" t="str">
        <f t="shared" si="21"/>
        <v/>
      </c>
      <c r="AX82" s="141" t="s">
        <v>1410</v>
      </c>
      <c r="AY82" s="142"/>
    </row>
    <row r="83" spans="1:51" s="262" customFormat="1" x14ac:dyDescent="0.25">
      <c r="A83" s="75" t="s">
        <v>2592</v>
      </c>
      <c r="B83" s="75" t="s">
        <v>2241</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8"/>
      <c r="AP83" s="144" t="str">
        <f t="shared" ca="1" si="24"/>
        <v/>
      </c>
      <c r="AQ83" s="142" t="s">
        <v>2358</v>
      </c>
      <c r="AR83" s="142" t="s">
        <v>2351</v>
      </c>
      <c r="AS83" s="57" t="str">
        <f t="shared" si="17"/>
        <v>---</v>
      </c>
      <c r="AT83" s="141" t="str">
        <f t="shared" si="18"/>
        <v xml:space="preserve">PLAN CINCO CCPP C Goya 21 - </v>
      </c>
      <c r="AU83" s="141" t="str">
        <f t="shared" ca="1" si="19"/>
        <v/>
      </c>
      <c r="AV83" s="257" t="str">
        <f t="shared" ca="1" si="20"/>
        <v/>
      </c>
      <c r="AW83" s="257" t="str">
        <f t="shared" si="21"/>
        <v/>
      </c>
      <c r="AX83" s="141" t="s">
        <v>1410</v>
      </c>
      <c r="AY83" s="142"/>
    </row>
    <row r="84" spans="1:51" s="262" customFormat="1" x14ac:dyDescent="0.25">
      <c r="A84" s="64" t="s">
        <v>2592</v>
      </c>
      <c r="B84" s="64" t="s">
        <v>2243</v>
      </c>
      <c r="C84" s="61" t="s">
        <v>2129</v>
      </c>
      <c r="D84" s="43" t="s">
        <v>1818</v>
      </c>
      <c r="E84" s="201">
        <v>954214057</v>
      </c>
      <c r="F84" s="263" t="s">
        <v>1819</v>
      </c>
      <c r="G84" s="43" t="s">
        <v>1920</v>
      </c>
      <c r="H84" s="201">
        <v>633493931</v>
      </c>
      <c r="I84" s="122" t="s">
        <v>0</v>
      </c>
      <c r="J84" s="44">
        <v>46036</v>
      </c>
      <c r="K84" s="44"/>
      <c r="L84" s="44"/>
      <c r="M84" s="44"/>
      <c r="N84" s="127">
        <v>46157</v>
      </c>
      <c r="O84" s="128" t="s">
        <v>2133</v>
      </c>
      <c r="P84" s="126" t="s">
        <v>2491</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8"/>
      <c r="AP84" s="144" t="str">
        <f t="shared" ca="1" si="24"/>
        <v/>
      </c>
      <c r="AQ84" s="142" t="s">
        <v>2358</v>
      </c>
      <c r="AR84" s="142" t="s">
        <v>2351</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7"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7"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2" customFormat="1" x14ac:dyDescent="0.25">
      <c r="A85" s="75" t="s">
        <v>2592</v>
      </c>
      <c r="B85" s="75" t="s">
        <v>2244</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8"/>
      <c r="AP85" s="144" t="str">
        <f t="shared" ca="1" si="24"/>
        <v/>
      </c>
      <c r="AQ85" s="142" t="s">
        <v>2358</v>
      </c>
      <c r="AR85" s="142" t="s">
        <v>2351</v>
      </c>
      <c r="AS85" s="57" t="str">
        <f t="shared" si="17"/>
        <v>---</v>
      </c>
      <c r="AT85" s="141" t="str">
        <f t="shared" si="18"/>
        <v xml:space="preserve">PLAN CINCO CCPP C Guardabosques 3 - </v>
      </c>
      <c r="AU85" s="141" t="str">
        <f t="shared" ca="1" si="19"/>
        <v/>
      </c>
      <c r="AV85" s="257" t="str">
        <f t="shared" ca="1" si="20"/>
        <v/>
      </c>
      <c r="AW85" s="257" t="str">
        <f t="shared" si="21"/>
        <v/>
      </c>
      <c r="AX85" s="141" t="s">
        <v>1410</v>
      </c>
      <c r="AY85" s="142"/>
    </row>
    <row r="86" spans="1:51" s="262" customFormat="1" x14ac:dyDescent="0.25">
      <c r="A86" s="64" t="s">
        <v>2592</v>
      </c>
      <c r="B86" s="64" t="s">
        <v>2237</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8"/>
      <c r="AP86" s="144" t="str">
        <f t="shared" ca="1" si="24"/>
        <v/>
      </c>
      <c r="AQ86" s="142" t="s">
        <v>2358</v>
      </c>
      <c r="AR86" s="142" t="s">
        <v>2351</v>
      </c>
      <c r="AS86" s="57" t="str">
        <f t="shared" si="17"/>
        <v>---</v>
      </c>
      <c r="AT86" s="141" t="str">
        <f t="shared" si="18"/>
        <v xml:space="preserve">PLAN CINCO CCPP C Guardiola 1 - </v>
      </c>
      <c r="AU86" s="141" t="str">
        <f t="shared" ca="1" si="19"/>
        <v/>
      </c>
      <c r="AV86" s="257" t="str">
        <f t="shared" ca="1" si="20"/>
        <v/>
      </c>
      <c r="AW86" s="257" t="str">
        <f t="shared" si="21"/>
        <v/>
      </c>
      <c r="AX86" s="141" t="s">
        <v>1410</v>
      </c>
      <c r="AY86" s="142"/>
    </row>
    <row r="87" spans="1:51" s="262" customFormat="1" x14ac:dyDescent="0.25">
      <c r="A87" s="64" t="s">
        <v>2592</v>
      </c>
      <c r="B87" s="64" t="s">
        <v>2246</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2499</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8"/>
      <c r="AP87" s="144" t="str">
        <f t="shared" ca="1" si="24"/>
        <v/>
      </c>
      <c r="AQ87" s="142" t="s">
        <v>2358</v>
      </c>
      <c r="AR87" s="142" t="s">
        <v>2351</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7"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7"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2" customFormat="1" x14ac:dyDescent="0.25">
      <c r="A88" s="64" t="s">
        <v>2592</v>
      </c>
      <c r="B88" s="64" t="s">
        <v>2247</v>
      </c>
      <c r="C88" s="61" t="s">
        <v>1798</v>
      </c>
      <c r="D88" s="43" t="s">
        <v>1924</v>
      </c>
      <c r="E88" s="203" t="s">
        <v>0</v>
      </c>
      <c r="F88" s="263" t="s">
        <v>1925</v>
      </c>
      <c r="G88" s="203" t="s">
        <v>2156</v>
      </c>
      <c r="H88" s="203" t="s">
        <v>0</v>
      </c>
      <c r="I88" s="122" t="s">
        <v>0</v>
      </c>
      <c r="J88" s="44">
        <v>46086</v>
      </c>
      <c r="K88" s="44"/>
      <c r="L88" s="44"/>
      <c r="M88" s="44"/>
      <c r="N88" s="127">
        <v>46157</v>
      </c>
      <c r="O88" s="128" t="s">
        <v>2124</v>
      </c>
      <c r="P88" s="126" t="s">
        <v>2491</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8"/>
      <c r="AP88" s="144" t="str">
        <f t="shared" ca="1" si="24"/>
        <v/>
      </c>
      <c r="AQ88" s="142" t="s">
        <v>2358</v>
      </c>
      <c r="AR88" s="142" t="s">
        <v>2351</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7"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7"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2" customFormat="1" x14ac:dyDescent="0.25">
      <c r="A89" s="64" t="s">
        <v>2592</v>
      </c>
      <c r="B89" s="64" t="s">
        <v>2240</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8"/>
      <c r="AP89" s="144" t="str">
        <f t="shared" ca="1" si="24"/>
        <v/>
      </c>
      <c r="AQ89" s="142" t="s">
        <v>2358</v>
      </c>
      <c r="AR89" s="142" t="s">
        <v>2351</v>
      </c>
      <c r="AS89" s="57" t="str">
        <f t="shared" si="17"/>
        <v>---</v>
      </c>
      <c r="AT89" s="141" t="str">
        <f t="shared" si="18"/>
        <v xml:space="preserve">PLAN CINCO CCPP C Imaginero Luis Alvarez Duarte 10 - </v>
      </c>
      <c r="AU89" s="141" t="str">
        <f t="shared" ca="1" si="19"/>
        <v/>
      </c>
      <c r="AV89" s="257" t="str">
        <f t="shared" ca="1" si="20"/>
        <v/>
      </c>
      <c r="AW89" s="257" t="str">
        <f t="shared" si="21"/>
        <v/>
      </c>
      <c r="AX89" s="141" t="s">
        <v>1410</v>
      </c>
      <c r="AY89" s="142"/>
    </row>
    <row r="90" spans="1:51" s="262" customFormat="1" x14ac:dyDescent="0.25">
      <c r="A90" s="64" t="s">
        <v>2592</v>
      </c>
      <c r="B90" s="64" t="s">
        <v>2248</v>
      </c>
      <c r="C90" s="61" t="s">
        <v>2129</v>
      </c>
      <c r="D90" s="43" t="s">
        <v>2146</v>
      </c>
      <c r="E90" s="201">
        <v>605472196</v>
      </c>
      <c r="F90" s="263" t="s">
        <v>2060</v>
      </c>
      <c r="G90" s="122" t="s">
        <v>0</v>
      </c>
      <c r="H90" s="203" t="s">
        <v>0</v>
      </c>
      <c r="I90" s="122" t="s">
        <v>0</v>
      </c>
      <c r="J90" s="44">
        <v>46104</v>
      </c>
      <c r="K90" s="44"/>
      <c r="L90" s="44"/>
      <c r="M90" s="44"/>
      <c r="N90" s="127"/>
      <c r="O90" s="128" t="s">
        <v>2408</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8"/>
      <c r="AP90" s="144" t="str">
        <f t="shared" ca="1" si="24"/>
        <v/>
      </c>
      <c r="AQ90" s="142" t="s">
        <v>2358</v>
      </c>
      <c r="AR90" s="142" t="s">
        <v>2351</v>
      </c>
      <c r="AS90" s="57" t="str">
        <f t="shared" si="17"/>
        <v>---</v>
      </c>
      <c r="AT90" s="141" t="str">
        <f t="shared" si="18"/>
        <v xml:space="preserve">PLAN CINCO CCPP C Imperial 31 - </v>
      </c>
      <c r="AU90" s="141" t="str">
        <f t="shared" ca="1" si="19"/>
        <v/>
      </c>
      <c r="AV90" s="257" t="str">
        <f t="shared" ca="1" si="20"/>
        <v/>
      </c>
      <c r="AW90" s="257" t="str">
        <f t="shared" si="21"/>
        <v/>
      </c>
      <c r="AX90" s="141" t="s">
        <v>1410</v>
      </c>
      <c r="AY90" s="142"/>
    </row>
    <row r="91" spans="1:51" s="262" customFormat="1" x14ac:dyDescent="0.25">
      <c r="A91" s="64" t="s">
        <v>2592</v>
      </c>
      <c r="B91" s="64" t="s">
        <v>2249</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2499</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8"/>
      <c r="AP91" s="144" t="str">
        <f t="shared" ca="1" si="24"/>
        <v>SI</v>
      </c>
      <c r="AQ91" s="142" t="s">
        <v>2358</v>
      </c>
      <c r="AR91" s="142" t="s">
        <v>2351</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7"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7"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2" customFormat="1" x14ac:dyDescent="0.25">
      <c r="A92" s="64" t="s">
        <v>2592</v>
      </c>
      <c r="B92" s="64" t="s">
        <v>2242</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8"/>
      <c r="AP92" s="144" t="str">
        <f t="shared" ca="1" si="24"/>
        <v/>
      </c>
      <c r="AQ92" s="142" t="s">
        <v>2358</v>
      </c>
      <c r="AR92" s="142" t="s">
        <v>2351</v>
      </c>
      <c r="AS92" s="57" t="str">
        <f t="shared" si="17"/>
        <v>---</v>
      </c>
      <c r="AT92" s="141" t="str">
        <f t="shared" si="18"/>
        <v xml:space="preserve">PLAN CINCO CCPP C Jacinta Martos 1 - </v>
      </c>
      <c r="AU92" s="141" t="str">
        <f t="shared" ca="1" si="19"/>
        <v/>
      </c>
      <c r="AV92" s="257" t="str">
        <f t="shared" ca="1" si="20"/>
        <v/>
      </c>
      <c r="AW92" s="257" t="str">
        <f t="shared" si="21"/>
        <v/>
      </c>
      <c r="AX92" s="141" t="s">
        <v>1410</v>
      </c>
      <c r="AY92" s="142"/>
    </row>
    <row r="93" spans="1:51" s="262" customFormat="1" x14ac:dyDescent="0.25">
      <c r="A93" s="64" t="s">
        <v>2592</v>
      </c>
      <c r="B93" s="64" t="s">
        <v>2252</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2499</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8"/>
      <c r="AP93" s="144" t="str">
        <f t="shared" ca="1" si="24"/>
        <v/>
      </c>
      <c r="AQ93" s="142" t="s">
        <v>2358</v>
      </c>
      <c r="AR93" s="142" t="s">
        <v>2351</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7"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7"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2" customFormat="1" x14ac:dyDescent="0.25">
      <c r="A94" s="64" t="s">
        <v>2592</v>
      </c>
      <c r="B94" s="64" t="s">
        <v>2253</v>
      </c>
      <c r="C94" s="61" t="s">
        <v>2129</v>
      </c>
      <c r="D94" s="43" t="s">
        <v>2138</v>
      </c>
      <c r="E94" s="201">
        <v>673638346</v>
      </c>
      <c r="F94" s="263" t="s">
        <v>1932</v>
      </c>
      <c r="G94" s="43" t="s">
        <v>1933</v>
      </c>
      <c r="H94" s="201">
        <v>630447291</v>
      </c>
      <c r="I94" s="43" t="s">
        <v>0</v>
      </c>
      <c r="J94" s="44">
        <v>45993</v>
      </c>
      <c r="K94" s="44"/>
      <c r="L94" s="44"/>
      <c r="M94" s="44"/>
      <c r="N94" s="127">
        <v>46157</v>
      </c>
      <c r="O94" s="128" t="s">
        <v>2125</v>
      </c>
      <c r="P94" s="126" t="s">
        <v>2491</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8"/>
      <c r="AP94" s="144" t="str">
        <f t="shared" ca="1" si="24"/>
        <v/>
      </c>
      <c r="AQ94" s="142" t="s">
        <v>2358</v>
      </c>
      <c r="AR94" s="142" t="s">
        <v>2351</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7"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7"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2" customFormat="1" x14ac:dyDescent="0.25">
      <c r="A95" s="64" t="s">
        <v>2594</v>
      </c>
      <c r="B95" s="64" t="s">
        <v>2403</v>
      </c>
      <c r="C95" s="61" t="s">
        <v>2129</v>
      </c>
      <c r="D95" s="43" t="s">
        <v>2075</v>
      </c>
      <c r="E95" s="201">
        <v>606845436</v>
      </c>
      <c r="F95" s="263" t="s">
        <v>2076</v>
      </c>
      <c r="G95" s="203" t="s">
        <v>2156</v>
      </c>
      <c r="H95" s="203" t="s">
        <v>0</v>
      </c>
      <c r="I95" s="122" t="s">
        <v>0</v>
      </c>
      <c r="J95" s="44">
        <v>46084</v>
      </c>
      <c r="K95" s="44"/>
      <c r="L95" s="44"/>
      <c r="M95" s="44"/>
      <c r="N95" s="127"/>
      <c r="O95" s="128" t="s">
        <v>2407</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8"/>
      <c r="AP95" s="144" t="str">
        <f t="shared" ca="1" si="24"/>
        <v/>
      </c>
      <c r="AQ95" s="142" t="s">
        <v>2358</v>
      </c>
      <c r="AR95" s="142" t="s">
        <v>2351</v>
      </c>
      <c r="AS95" s="57" t="str">
        <f t="shared" si="17"/>
        <v>---</v>
      </c>
      <c r="AT95" s="141" t="str">
        <f t="shared" si="18"/>
        <v xml:space="preserve">PLAN CINCO CCPP Av Jerez 108 (Bellavista) - </v>
      </c>
      <c r="AU95" s="141" t="str">
        <f t="shared" ca="1" si="19"/>
        <v/>
      </c>
      <c r="AV95" s="257" t="str">
        <f t="shared" ca="1" si="20"/>
        <v/>
      </c>
      <c r="AW95" s="257" t="str">
        <f t="shared" si="21"/>
        <v/>
      </c>
      <c r="AX95" s="141" t="s">
        <v>1410</v>
      </c>
      <c r="AY95" s="142"/>
    </row>
    <row r="96" spans="1:51" s="262" customFormat="1" x14ac:dyDescent="0.25">
      <c r="A96" s="64" t="s">
        <v>2592</v>
      </c>
      <c r="B96" s="64" t="s">
        <v>2245</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8"/>
      <c r="AP96" s="144" t="str">
        <f t="shared" ca="1" si="24"/>
        <v/>
      </c>
      <c r="AQ96" s="142" t="s">
        <v>2358</v>
      </c>
      <c r="AR96" s="142" t="s">
        <v>2351</v>
      </c>
      <c r="AS96" s="57" t="str">
        <f t="shared" si="17"/>
        <v>---</v>
      </c>
      <c r="AT96" s="141" t="str">
        <f t="shared" si="18"/>
        <v xml:space="preserve">PLAN CINCO CCPP C Jericó 2 - </v>
      </c>
      <c r="AU96" s="141" t="str">
        <f t="shared" ca="1" si="19"/>
        <v/>
      </c>
      <c r="AV96" s="257" t="str">
        <f t="shared" ca="1" si="20"/>
        <v/>
      </c>
      <c r="AW96" s="257" t="str">
        <f t="shared" si="21"/>
        <v/>
      </c>
      <c r="AX96" s="141" t="s">
        <v>1410</v>
      </c>
      <c r="AY96" s="142"/>
    </row>
    <row r="97" spans="1:51" s="262" customFormat="1" x14ac:dyDescent="0.25">
      <c r="A97" s="64" t="s">
        <v>2592</v>
      </c>
      <c r="B97" s="64" t="s">
        <v>2254</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2499</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8"/>
      <c r="AP97" s="144" t="str">
        <f t="shared" ca="1" si="24"/>
        <v/>
      </c>
      <c r="AQ97" s="142" t="s">
        <v>2358</v>
      </c>
      <c r="AR97" s="142" t="s">
        <v>2351</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7"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7"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2" customFormat="1" x14ac:dyDescent="0.25">
      <c r="A98" s="75" t="s">
        <v>2592</v>
      </c>
      <c r="B98" s="75" t="s">
        <v>2255</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2386</v>
      </c>
      <c r="P98" s="126" t="s">
        <v>2502</v>
      </c>
      <c r="Q98" s="65">
        <v>46073</v>
      </c>
      <c r="R98" s="65">
        <v>46070</v>
      </c>
      <c r="S98" s="65">
        <v>46101</v>
      </c>
      <c r="T98" s="65">
        <v>46125</v>
      </c>
      <c r="U98" s="65"/>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8"/>
      <c r="AP98" s="144" t="str">
        <f t="shared" ca="1" si="24"/>
        <v>SI</v>
      </c>
      <c r="AQ98" s="142" t="s">
        <v>2358</v>
      </c>
      <c r="AR98" s="142" t="s">
        <v>2351</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7"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7"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2" customFormat="1" x14ac:dyDescent="0.25">
      <c r="A99" s="64" t="s">
        <v>2592</v>
      </c>
      <c r="B99" s="64" t="s">
        <v>2256</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2499</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8"/>
      <c r="AP99" s="144" t="str">
        <f t="shared" ca="1" si="24"/>
        <v/>
      </c>
      <c r="AQ99" s="142" t="s">
        <v>2358</v>
      </c>
      <c r="AR99" s="142" t="s">
        <v>2351</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7"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7"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2" customFormat="1" x14ac:dyDescent="0.25">
      <c r="A100" s="64" t="s">
        <v>2592</v>
      </c>
      <c r="B100" s="64" t="s">
        <v>2258</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2499</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8"/>
      <c r="AP100" s="144" t="str">
        <f t="shared" ca="1" si="24"/>
        <v/>
      </c>
      <c r="AQ100" s="142" t="s">
        <v>2358</v>
      </c>
      <c r="AR100" s="142" t="s">
        <v>2351</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7"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7"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2" customFormat="1" x14ac:dyDescent="0.25">
      <c r="A101" s="64" t="s">
        <v>2592</v>
      </c>
      <c r="B101" s="64" t="s">
        <v>2250</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8"/>
      <c r="AP101" s="144" t="str">
        <f t="shared" ca="1" si="24"/>
        <v/>
      </c>
      <c r="AQ101" s="142" t="s">
        <v>2358</v>
      </c>
      <c r="AR101" s="142" t="s">
        <v>2351</v>
      </c>
      <c r="AS101" s="57" t="str">
        <f t="shared" si="17"/>
        <v>---</v>
      </c>
      <c r="AT101" s="141" t="str">
        <f t="shared" si="18"/>
        <v xml:space="preserve">PLAN CINCO CCPP C José Val del Omar 16 - </v>
      </c>
      <c r="AU101" s="141" t="str">
        <f t="shared" ca="1" si="19"/>
        <v/>
      </c>
      <c r="AV101" s="257" t="str">
        <f t="shared" ca="1" si="20"/>
        <v/>
      </c>
      <c r="AW101" s="257" t="str">
        <f t="shared" si="21"/>
        <v/>
      </c>
      <c r="AX101" s="141" t="s">
        <v>1410</v>
      </c>
      <c r="AY101" s="142"/>
    </row>
    <row r="102" spans="1:51" s="262" customFormat="1" x14ac:dyDescent="0.25">
      <c r="A102" s="64" t="s">
        <v>2592</v>
      </c>
      <c r="B102" s="64" t="s">
        <v>2251</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8"/>
      <c r="AP102" s="144" t="str">
        <f t="shared" ca="1" si="24"/>
        <v/>
      </c>
      <c r="AQ102" s="142" t="s">
        <v>2358</v>
      </c>
      <c r="AR102" s="142" t="s">
        <v>2351</v>
      </c>
      <c r="AS102" s="57" t="str">
        <f t="shared" si="17"/>
        <v>---</v>
      </c>
      <c r="AT102" s="141" t="str">
        <f t="shared" si="18"/>
        <v xml:space="preserve">PLAN CINCO CCPP C Juan Castillo Sánchez 5B - </v>
      </c>
      <c r="AU102" s="141" t="str">
        <f t="shared" ca="1" si="19"/>
        <v/>
      </c>
      <c r="AV102" s="257" t="str">
        <f t="shared" ca="1" si="20"/>
        <v/>
      </c>
      <c r="AW102" s="257" t="str">
        <f t="shared" si="21"/>
        <v/>
      </c>
      <c r="AX102" s="141" t="s">
        <v>1410</v>
      </c>
      <c r="AY102" s="142"/>
    </row>
    <row r="103" spans="1:51" s="262" customFormat="1" x14ac:dyDescent="0.25">
      <c r="A103" s="64" t="s">
        <v>2592</v>
      </c>
      <c r="B103" s="64" t="s">
        <v>2261</v>
      </c>
      <c r="C103" s="61" t="s">
        <v>2129</v>
      </c>
      <c r="D103" s="43" t="s">
        <v>1893</v>
      </c>
      <c r="E103" s="201">
        <v>954214057</v>
      </c>
      <c r="F103" s="263" t="s">
        <v>1894</v>
      </c>
      <c r="G103" s="43" t="s">
        <v>1945</v>
      </c>
      <c r="H103" s="201">
        <v>646930469</v>
      </c>
      <c r="I103" s="43" t="s">
        <v>0</v>
      </c>
      <c r="J103" s="44">
        <v>46056</v>
      </c>
      <c r="K103" s="44"/>
      <c r="L103" s="44"/>
      <c r="M103" s="44"/>
      <c r="N103" s="127">
        <v>46157</v>
      </c>
      <c r="O103" s="128" t="s">
        <v>2133</v>
      </c>
      <c r="P103" s="129" t="s">
        <v>2491</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8"/>
      <c r="AP103" s="144" t="str">
        <f t="shared" ca="1" si="24"/>
        <v/>
      </c>
      <c r="AQ103" s="142" t="s">
        <v>2358</v>
      </c>
      <c r="AR103" s="142" t="s">
        <v>2351</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7"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7"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2" customFormat="1" x14ac:dyDescent="0.25">
      <c r="A104" s="75" t="s">
        <v>2592</v>
      </c>
      <c r="B104" s="75" t="s">
        <v>2262</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8"/>
      <c r="AP104" s="144" t="str">
        <f t="shared" ca="1" si="24"/>
        <v/>
      </c>
      <c r="AQ104" s="142" t="s">
        <v>2358</v>
      </c>
      <c r="AR104" s="142" t="s">
        <v>2351</v>
      </c>
      <c r="AS104" s="57" t="str">
        <f t="shared" si="17"/>
        <v>---</v>
      </c>
      <c r="AT104" s="141" t="str">
        <f t="shared" si="18"/>
        <v xml:space="preserve">PLAN CINCO CCPP C Juan Pablos 17 - </v>
      </c>
      <c r="AU104" s="141" t="str">
        <f t="shared" ca="1" si="19"/>
        <v/>
      </c>
      <c r="AV104" s="257" t="str">
        <f t="shared" ca="1" si="20"/>
        <v/>
      </c>
      <c r="AW104" s="257" t="str">
        <f t="shared" si="21"/>
        <v/>
      </c>
      <c r="AX104" s="141" t="s">
        <v>1410</v>
      </c>
      <c r="AY104" s="142"/>
    </row>
    <row r="105" spans="1:51" s="262" customFormat="1" x14ac:dyDescent="0.25">
      <c r="A105" s="64" t="s">
        <v>2592</v>
      </c>
      <c r="B105" s="64" t="s">
        <v>2263</v>
      </c>
      <c r="C105" s="61" t="s">
        <v>2129</v>
      </c>
      <c r="D105" s="43" t="s">
        <v>2101</v>
      </c>
      <c r="E105" s="201">
        <v>637492592</v>
      </c>
      <c r="F105" s="263" t="s">
        <v>2367</v>
      </c>
      <c r="G105" s="43" t="s">
        <v>1948</v>
      </c>
      <c r="H105" s="201">
        <v>653831491</v>
      </c>
      <c r="I105" s="43" t="s">
        <v>0</v>
      </c>
      <c r="J105" s="44">
        <v>45929</v>
      </c>
      <c r="K105" s="44"/>
      <c r="L105" s="44"/>
      <c r="M105" s="44"/>
      <c r="N105" s="127">
        <v>46157</v>
      </c>
      <c r="O105" s="128" t="s">
        <v>2133</v>
      </c>
      <c r="P105" s="129" t="s">
        <v>2491</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8"/>
      <c r="AP105" s="144" t="str">
        <f t="shared" ca="1" si="24"/>
        <v/>
      </c>
      <c r="AQ105" s="142" t="s">
        <v>2358</v>
      </c>
      <c r="AR105" s="142" t="s">
        <v>2351</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7"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7"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2" customFormat="1" x14ac:dyDescent="0.25">
      <c r="A106" s="64" t="s">
        <v>2592</v>
      </c>
      <c r="B106" s="64" t="s">
        <v>2265</v>
      </c>
      <c r="C106" s="61" t="s">
        <v>2129</v>
      </c>
      <c r="D106" s="43" t="s">
        <v>1949</v>
      </c>
      <c r="E106" s="201">
        <v>619842488</v>
      </c>
      <c r="F106" s="61" t="s">
        <v>0</v>
      </c>
      <c r="G106" s="203" t="s">
        <v>2156</v>
      </c>
      <c r="H106" s="203" t="s">
        <v>0</v>
      </c>
      <c r="I106" s="122" t="s">
        <v>0</v>
      </c>
      <c r="J106" s="136">
        <v>45980</v>
      </c>
      <c r="K106" s="136"/>
      <c r="L106" s="136"/>
      <c r="M106" s="136"/>
      <c r="N106" s="127">
        <v>46157</v>
      </c>
      <c r="O106" s="128" t="s">
        <v>2492</v>
      </c>
      <c r="P106" s="126" t="s">
        <v>2491</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8"/>
      <c r="AP106" s="144" t="str">
        <f t="shared" ca="1" si="24"/>
        <v/>
      </c>
      <c r="AQ106" s="142" t="s">
        <v>2358</v>
      </c>
      <c r="AR106" s="142" t="s">
        <v>2351</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7"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7"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2" customFormat="1" x14ac:dyDescent="0.25">
      <c r="A107" s="64" t="s">
        <v>2592</v>
      </c>
      <c r="B107" s="64" t="s">
        <v>2267</v>
      </c>
      <c r="C107" s="61" t="s">
        <v>2129</v>
      </c>
      <c r="D107" s="43" t="s">
        <v>1950</v>
      </c>
      <c r="E107" s="201" t="s">
        <v>1951</v>
      </c>
      <c r="F107" s="263" t="s">
        <v>1952</v>
      </c>
      <c r="G107" s="43" t="s">
        <v>1953</v>
      </c>
      <c r="H107" s="201">
        <v>699711030</v>
      </c>
      <c r="I107" s="43" t="s">
        <v>0</v>
      </c>
      <c r="J107" s="44">
        <v>46063</v>
      </c>
      <c r="K107" s="44"/>
      <c r="L107" s="44"/>
      <c r="M107" s="44"/>
      <c r="N107" s="127">
        <v>46157</v>
      </c>
      <c r="O107" s="128" t="s">
        <v>2133</v>
      </c>
      <c r="P107" s="126" t="s">
        <v>2491</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8"/>
      <c r="AP107" s="144" t="str">
        <f t="shared" ca="1" si="24"/>
        <v/>
      </c>
      <c r="AQ107" s="142" t="s">
        <v>2358</v>
      </c>
      <c r="AR107" s="142" t="s">
        <v>2351</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7"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7"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2" customFormat="1" x14ac:dyDescent="0.25">
      <c r="A108" s="64" t="s">
        <v>2592</v>
      </c>
      <c r="B108" s="64" t="s">
        <v>2257</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8"/>
      <c r="AP108" s="144" t="str">
        <f t="shared" ca="1" si="24"/>
        <v/>
      </c>
      <c r="AQ108" s="142" t="s">
        <v>2358</v>
      </c>
      <c r="AR108" s="142" t="s">
        <v>2351</v>
      </c>
      <c r="AS108" s="57" t="str">
        <f t="shared" si="17"/>
        <v>---</v>
      </c>
      <c r="AT108" s="141" t="str">
        <f t="shared" si="18"/>
        <v xml:space="preserve">PLAN CINCO CCPP C López de Gomara 53 - </v>
      </c>
      <c r="AU108" s="141" t="str">
        <f t="shared" ca="1" si="19"/>
        <v/>
      </c>
      <c r="AV108" s="257" t="str">
        <f t="shared" ca="1" si="20"/>
        <v/>
      </c>
      <c r="AW108" s="257" t="str">
        <f t="shared" si="21"/>
        <v/>
      </c>
      <c r="AX108" s="141" t="s">
        <v>1410</v>
      </c>
      <c r="AY108" s="142"/>
    </row>
    <row r="109" spans="1:51" s="262" customFormat="1" x14ac:dyDescent="0.25">
      <c r="A109" s="64" t="s">
        <v>2592</v>
      </c>
      <c r="B109" s="64" t="s">
        <v>2268</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2499</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8"/>
      <c r="AP109" s="144" t="str">
        <f t="shared" ca="1" si="24"/>
        <v/>
      </c>
      <c r="AQ109" s="142" t="s">
        <v>2358</v>
      </c>
      <c r="AR109" s="142" t="s">
        <v>2351</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7"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7"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2" customFormat="1" x14ac:dyDescent="0.25">
      <c r="A110" s="64" t="s">
        <v>2592</v>
      </c>
      <c r="B110" s="64" t="s">
        <v>2259</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8"/>
      <c r="AP110" s="144" t="str">
        <f t="shared" ca="1" si="24"/>
        <v/>
      </c>
      <c r="AQ110" s="142" t="s">
        <v>2358</v>
      </c>
      <c r="AR110" s="142" t="s">
        <v>2351</v>
      </c>
      <c r="AS110" s="57" t="str">
        <f t="shared" si="17"/>
        <v>---</v>
      </c>
      <c r="AT110" s="141" t="str">
        <f t="shared" si="18"/>
        <v xml:space="preserve">PLAN CINCO CCPP C Lorenzo Leal 8 - </v>
      </c>
      <c r="AU110" s="141" t="str">
        <f t="shared" ca="1" si="19"/>
        <v/>
      </c>
      <c r="AV110" s="257" t="str">
        <f t="shared" ca="1" si="20"/>
        <v/>
      </c>
      <c r="AW110" s="257" t="str">
        <f t="shared" si="21"/>
        <v/>
      </c>
      <c r="AX110" s="141" t="s">
        <v>1410</v>
      </c>
      <c r="AY110" s="142"/>
    </row>
    <row r="111" spans="1:51" s="262" customFormat="1" x14ac:dyDescent="0.25">
      <c r="A111" s="64" t="s">
        <v>2597</v>
      </c>
      <c r="B111" s="64" t="s">
        <v>2260</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8"/>
      <c r="AP111" s="144" t="str">
        <f t="shared" ca="1" si="24"/>
        <v/>
      </c>
      <c r="AQ111" s="142" t="s">
        <v>2358</v>
      </c>
      <c r="AR111" s="142" t="s">
        <v>2351</v>
      </c>
      <c r="AS111" s="57" t="str">
        <f t="shared" si="17"/>
        <v>---</v>
      </c>
      <c r="AT111" s="141" t="str">
        <f t="shared" si="18"/>
        <v xml:space="preserve">PLAN CINCO CCPP Pz de los Luceros 10 - </v>
      </c>
      <c r="AU111" s="141" t="str">
        <f t="shared" ca="1" si="19"/>
        <v/>
      </c>
      <c r="AV111" s="257" t="str">
        <f t="shared" ca="1" si="20"/>
        <v/>
      </c>
      <c r="AW111" s="257" t="str">
        <f t="shared" si="21"/>
        <v/>
      </c>
      <c r="AX111" s="141" t="s">
        <v>1410</v>
      </c>
      <c r="AY111" s="142"/>
    </row>
    <row r="112" spans="1:51" s="262" customFormat="1" x14ac:dyDescent="0.25">
      <c r="A112" s="75" t="s">
        <v>2597</v>
      </c>
      <c r="B112" s="75" t="s">
        <v>2269</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2505</v>
      </c>
      <c r="Q112" s="65">
        <v>45957</v>
      </c>
      <c r="R112" s="65">
        <v>46076</v>
      </c>
      <c r="S112" s="65">
        <v>46090</v>
      </c>
      <c r="T112" s="65"/>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8"/>
      <c r="AP112" s="144" t="str">
        <f t="shared" ca="1" si="24"/>
        <v/>
      </c>
      <c r="AQ112" s="142" t="s">
        <v>2358</v>
      </c>
      <c r="AR112" s="142" t="s">
        <v>2351</v>
      </c>
      <c r="AS112" s="57" t="str">
        <f t="shared" si="17"/>
        <v>---</v>
      </c>
      <c r="AT112" s="141" t="str">
        <f t="shared" si="18"/>
        <v xml:space="preserve">PLAN CINCO CCPP Pz de los Luceros 4 - </v>
      </c>
      <c r="AU112" s="141" t="str">
        <f t="shared" ca="1" si="19"/>
        <v/>
      </c>
      <c r="AV112" s="257" t="str">
        <f t="shared" ca="1" si="20"/>
        <v/>
      </c>
      <c r="AW112" s="257" t="str">
        <f t="shared" si="21"/>
        <v/>
      </c>
      <c r="AX112" s="141" t="s">
        <v>1410</v>
      </c>
      <c r="AY112" s="142"/>
    </row>
    <row r="113" spans="1:51" s="262" customFormat="1" x14ac:dyDescent="0.25">
      <c r="A113" s="64" t="s">
        <v>2602</v>
      </c>
      <c r="B113" s="64" t="s">
        <v>2270</v>
      </c>
      <c r="C113" s="61" t="s">
        <v>1798</v>
      </c>
      <c r="D113" s="43" t="s">
        <v>1961</v>
      </c>
      <c r="E113" s="201">
        <v>640971105</v>
      </c>
      <c r="F113" s="263" t="s">
        <v>1962</v>
      </c>
      <c r="G113" s="43" t="s">
        <v>0</v>
      </c>
      <c r="H113" s="201" t="s">
        <v>0</v>
      </c>
      <c r="I113" s="43" t="s">
        <v>0</v>
      </c>
      <c r="J113" s="44">
        <v>46086</v>
      </c>
      <c r="K113" s="44"/>
      <c r="L113" s="44"/>
      <c r="M113" s="44"/>
      <c r="N113" s="127">
        <v>46157</v>
      </c>
      <c r="O113" s="128" t="s">
        <v>2126</v>
      </c>
      <c r="P113" s="126" t="s">
        <v>2491</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8"/>
      <c r="AP113" s="144" t="str">
        <f t="shared" ca="1" si="24"/>
        <v/>
      </c>
      <c r="AQ113" s="142" t="s">
        <v>2358</v>
      </c>
      <c r="AR113" s="142" t="s">
        <v>2351</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7"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7"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2" customFormat="1" x14ac:dyDescent="0.25">
      <c r="A114" s="75" t="s">
        <v>2592</v>
      </c>
      <c r="B114" s="75" t="s">
        <v>2271</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2457</v>
      </c>
      <c r="P114" s="129" t="s">
        <v>2502</v>
      </c>
      <c r="Q114" s="65">
        <v>45978</v>
      </c>
      <c r="R114" s="65">
        <v>46086</v>
      </c>
      <c r="S114" s="65">
        <v>46099</v>
      </c>
      <c r="T114" s="65">
        <v>46127</v>
      </c>
      <c r="U114" s="65"/>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8"/>
      <c r="AP114" s="144" t="str">
        <f t="shared" ca="1" si="24"/>
        <v>SI</v>
      </c>
      <c r="AQ114" s="142" t="s">
        <v>2358</v>
      </c>
      <c r="AR114" s="142" t="s">
        <v>2351</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7"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7"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2" customFormat="1" x14ac:dyDescent="0.25">
      <c r="A115" s="64" t="s">
        <v>2592</v>
      </c>
      <c r="B115" s="64" t="s">
        <v>2272</v>
      </c>
      <c r="C115" s="61" t="s">
        <v>2129</v>
      </c>
      <c r="D115" s="43" t="s">
        <v>1888</v>
      </c>
      <c r="E115" s="201">
        <v>954635100</v>
      </c>
      <c r="F115" s="364" t="s">
        <v>1889</v>
      </c>
      <c r="G115" s="43" t="s">
        <v>0</v>
      </c>
      <c r="H115" s="201" t="s">
        <v>0</v>
      </c>
      <c r="I115" s="43" t="s">
        <v>0</v>
      </c>
      <c r="J115" s="136">
        <v>46105</v>
      </c>
      <c r="K115" s="134">
        <v>46127</v>
      </c>
      <c r="L115" s="136">
        <v>46141</v>
      </c>
      <c r="M115" s="136"/>
      <c r="N115" s="127"/>
      <c r="O115" s="128"/>
      <c r="P115" s="126" t="s">
        <v>2499</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8"/>
      <c r="AP115" s="144" t="str">
        <f t="shared" ca="1" si="24"/>
        <v/>
      </c>
      <c r="AQ115" s="142" t="s">
        <v>2358</v>
      </c>
      <c r="AR115" s="142" t="s">
        <v>2351</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7"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7"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2" customFormat="1" x14ac:dyDescent="0.25">
      <c r="A116" s="64" t="s">
        <v>2592</v>
      </c>
      <c r="B116" s="64" t="s">
        <v>2264</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8"/>
      <c r="AP116" s="144" t="str">
        <f t="shared" ca="1" si="24"/>
        <v/>
      </c>
      <c r="AQ116" s="142" t="s">
        <v>2358</v>
      </c>
      <c r="AR116" s="142" t="s">
        <v>2351</v>
      </c>
      <c r="AS116" s="57" t="str">
        <f t="shared" si="17"/>
        <v>---</v>
      </c>
      <c r="AT116" s="141" t="str">
        <f t="shared" si="18"/>
        <v xml:space="preserve">PLAN CINCO CCPP C Mar Caspio 3 - </v>
      </c>
      <c r="AU116" s="141" t="str">
        <f t="shared" ca="1" si="19"/>
        <v/>
      </c>
      <c r="AV116" s="257" t="str">
        <f t="shared" ca="1" si="20"/>
        <v/>
      </c>
      <c r="AW116" s="257" t="str">
        <f t="shared" si="21"/>
        <v/>
      </c>
      <c r="AX116" s="141" t="s">
        <v>1410</v>
      </c>
      <c r="AY116" s="142"/>
    </row>
    <row r="117" spans="1:51" s="262" customFormat="1" x14ac:dyDescent="0.25">
      <c r="A117" s="75" t="s">
        <v>2592</v>
      </c>
      <c r="B117" s="75" t="s">
        <v>2273</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2506</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8"/>
      <c r="AP117" s="144" t="str">
        <f t="shared" ca="1" si="24"/>
        <v/>
      </c>
      <c r="AQ117" s="142" t="s">
        <v>2358</v>
      </c>
      <c r="AR117" s="142" t="s">
        <v>2351</v>
      </c>
      <c r="AS117" s="57" t="str">
        <f t="shared" si="17"/>
        <v>---</v>
      </c>
      <c r="AT117" s="141" t="str">
        <f t="shared" si="18"/>
        <v xml:space="preserve">PLAN CINCO CCPP C Mar de Alborán 14 - </v>
      </c>
      <c r="AU117" s="141" t="str">
        <f t="shared" ca="1" si="19"/>
        <v/>
      </c>
      <c r="AV117" s="257" t="str">
        <f t="shared" ca="1" si="20"/>
        <v/>
      </c>
      <c r="AW117" s="257" t="str">
        <f t="shared" si="21"/>
        <v/>
      </c>
      <c r="AX117" s="141" t="s">
        <v>1410</v>
      </c>
      <c r="AY117" s="142"/>
    </row>
    <row r="118" spans="1:51" s="262" customFormat="1" x14ac:dyDescent="0.25">
      <c r="A118" s="64" t="s">
        <v>2592</v>
      </c>
      <c r="B118" s="64" t="s">
        <v>2266</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8"/>
      <c r="AP118" s="144" t="str">
        <f t="shared" ca="1" si="24"/>
        <v/>
      </c>
      <c r="AQ118" s="142" t="s">
        <v>2358</v>
      </c>
      <c r="AR118" s="142" t="s">
        <v>2351</v>
      </c>
      <c r="AS118" s="57" t="str">
        <f t="shared" si="17"/>
        <v>---</v>
      </c>
      <c r="AT118" s="141" t="str">
        <f t="shared" si="18"/>
        <v xml:space="preserve">PLAN CINCO CCPP C Mar Egeo 7 - </v>
      </c>
      <c r="AU118" s="141" t="str">
        <f t="shared" ca="1" si="19"/>
        <v/>
      </c>
      <c r="AV118" s="257" t="str">
        <f t="shared" ca="1" si="20"/>
        <v/>
      </c>
      <c r="AW118" s="257" t="str">
        <f t="shared" si="21"/>
        <v/>
      </c>
      <c r="AX118" s="141" t="s">
        <v>1410</v>
      </c>
      <c r="AY118" s="142"/>
    </row>
    <row r="119" spans="1:51" s="262" customFormat="1" x14ac:dyDescent="0.25">
      <c r="A119" s="64" t="s">
        <v>2592</v>
      </c>
      <c r="B119" s="64" t="s">
        <v>2274</v>
      </c>
      <c r="C119" s="61" t="s">
        <v>2129</v>
      </c>
      <c r="D119" s="43" t="s">
        <v>1969</v>
      </c>
      <c r="E119" s="201">
        <v>954658582</v>
      </c>
      <c r="F119" s="263" t="s">
        <v>1970</v>
      </c>
      <c r="G119" s="43" t="s">
        <v>0</v>
      </c>
      <c r="H119" s="201" t="s">
        <v>0</v>
      </c>
      <c r="I119" s="43" t="s">
        <v>0</v>
      </c>
      <c r="J119" s="44">
        <v>45957</v>
      </c>
      <c r="K119" s="44"/>
      <c r="L119" s="44"/>
      <c r="M119" s="44"/>
      <c r="N119" s="127">
        <v>46157</v>
      </c>
      <c r="O119" s="128" t="s">
        <v>2133</v>
      </c>
      <c r="P119" s="126" t="s">
        <v>2491</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8"/>
      <c r="AP119" s="144" t="str">
        <f t="shared" ca="1" si="24"/>
        <v/>
      </c>
      <c r="AQ119" s="142" t="s">
        <v>2358</v>
      </c>
      <c r="AR119" s="142" t="s">
        <v>2351</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7"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7"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2" customFormat="1" x14ac:dyDescent="0.25">
      <c r="A120" s="64" t="s">
        <v>2592</v>
      </c>
      <c r="B120" s="64" t="s">
        <v>2276</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2462</v>
      </c>
      <c r="P120" s="126" t="s">
        <v>2499</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8"/>
      <c r="AP120" s="144" t="str">
        <f t="shared" ca="1" si="24"/>
        <v/>
      </c>
      <c r="AQ120" s="142" t="s">
        <v>2358</v>
      </c>
      <c r="AR120" s="142" t="s">
        <v>2351</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7"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7"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2" customFormat="1" x14ac:dyDescent="0.25">
      <c r="A121" s="64" t="s">
        <v>2592</v>
      </c>
      <c r="B121" s="64" t="s">
        <v>2277</v>
      </c>
      <c r="C121" s="61" t="s">
        <v>2129</v>
      </c>
      <c r="D121" s="43" t="s">
        <v>1910</v>
      </c>
      <c r="E121" s="201">
        <v>744615257</v>
      </c>
      <c r="F121" s="263" t="s">
        <v>1974</v>
      </c>
      <c r="G121" s="43" t="s">
        <v>1933</v>
      </c>
      <c r="H121" s="201">
        <v>669484749</v>
      </c>
      <c r="I121" s="43" t="s">
        <v>0</v>
      </c>
      <c r="J121" s="44">
        <v>45992</v>
      </c>
      <c r="K121" s="44"/>
      <c r="L121" s="44"/>
      <c r="M121" s="44"/>
      <c r="N121" s="127"/>
      <c r="O121" s="128" t="s">
        <v>2409</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8"/>
      <c r="AP121" s="144" t="str">
        <f t="shared" ca="1" si="24"/>
        <v/>
      </c>
      <c r="AQ121" s="142" t="s">
        <v>2358</v>
      </c>
      <c r="AR121" s="142" t="s">
        <v>2351</v>
      </c>
      <c r="AS121" s="57" t="str">
        <f t="shared" si="17"/>
        <v>---</v>
      </c>
      <c r="AT121" s="141" t="str">
        <f t="shared" si="18"/>
        <v xml:space="preserve">PLAN CINCO CCPP C Mejorana 10 - </v>
      </c>
      <c r="AU121" s="141" t="str">
        <f t="shared" ca="1" si="19"/>
        <v/>
      </c>
      <c r="AV121" s="257" t="str">
        <f t="shared" ca="1" si="20"/>
        <v/>
      </c>
      <c r="AW121" s="257" t="str">
        <f t="shared" si="21"/>
        <v/>
      </c>
      <c r="AX121" s="141" t="s">
        <v>1410</v>
      </c>
      <c r="AY121" s="142"/>
    </row>
    <row r="122" spans="1:51" s="262" customFormat="1" x14ac:dyDescent="0.25">
      <c r="A122" s="75" t="s">
        <v>2592</v>
      </c>
      <c r="B122" s="75" t="s">
        <v>2278</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8"/>
      <c r="AP122" s="144" t="str">
        <f t="shared" ca="1" si="24"/>
        <v/>
      </c>
      <c r="AQ122" s="142" t="s">
        <v>2358</v>
      </c>
      <c r="AR122" s="142" t="s">
        <v>2351</v>
      </c>
      <c r="AS122" s="57" t="str">
        <f t="shared" si="17"/>
        <v>---</v>
      </c>
      <c r="AT122" s="141" t="str">
        <f t="shared" si="18"/>
        <v xml:space="preserve">PLAN CINCO CCPP C Miguel Cid 62 - </v>
      </c>
      <c r="AU122" s="141" t="str">
        <f t="shared" ca="1" si="19"/>
        <v/>
      </c>
      <c r="AV122" s="257" t="str">
        <f t="shared" ca="1" si="20"/>
        <v/>
      </c>
      <c r="AW122" s="257" t="str">
        <f t="shared" si="21"/>
        <v/>
      </c>
      <c r="AX122" s="141" t="s">
        <v>1410</v>
      </c>
      <c r="AY122" s="142"/>
    </row>
    <row r="123" spans="1:51" s="262" customFormat="1" x14ac:dyDescent="0.25">
      <c r="A123" s="75" t="s">
        <v>2592</v>
      </c>
      <c r="B123" s="75" t="s">
        <v>2281</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2574</v>
      </c>
      <c r="P123" s="126" t="s">
        <v>2497</v>
      </c>
      <c r="Q123" s="65">
        <v>46048</v>
      </c>
      <c r="R123" s="65">
        <v>46147</v>
      </c>
      <c r="S123" s="65"/>
      <c r="T123" s="65"/>
      <c r="U123" s="65"/>
      <c r="V123" s="46" t="str">
        <f t="shared" ca="1" si="14"/>
        <v>OK</v>
      </c>
      <c r="W123" s="47">
        <f t="shared" ca="1" si="15"/>
        <v>1</v>
      </c>
      <c r="X123" s="47" t="str">
        <f t="shared" ca="1" si="22"/>
        <v>COMPLETO</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8"/>
      <c r="AP123" s="144" t="str">
        <f t="shared" ca="1" si="24"/>
        <v>SI</v>
      </c>
      <c r="AQ123" s="142" t="s">
        <v>2358</v>
      </c>
      <c r="AR123" s="142" t="s">
        <v>2351</v>
      </c>
      <c r="AS123" s="57" t="str">
        <f t="shared" si="17"/>
        <v>06</v>
      </c>
      <c r="AT123" s="141" t="str">
        <f t="shared" si="18"/>
        <v>PLAN CINCO CCPP C Mijares 3 - Recepción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V123" s="257"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W123" s="257"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X123" s="141" t="s">
        <v>1410</v>
      </c>
      <c r="AY123" s="142"/>
    </row>
    <row r="124" spans="1:51" s="262" customFormat="1" x14ac:dyDescent="0.25">
      <c r="A124" s="64" t="s">
        <v>2603</v>
      </c>
      <c r="B124" s="64" t="s">
        <v>2282</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2499</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8"/>
      <c r="AP124" s="144" t="str">
        <f t="shared" ca="1" si="24"/>
        <v/>
      </c>
      <c r="AQ124" s="142" t="s">
        <v>2358</v>
      </c>
      <c r="AR124" s="142" t="s">
        <v>2351</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7"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7"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2" customFormat="1" x14ac:dyDescent="0.25">
      <c r="A125" s="75" t="s">
        <v>2592</v>
      </c>
      <c r="B125" s="75" t="s">
        <v>2284</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2573</v>
      </c>
      <c r="P125" s="126" t="s">
        <v>2498</v>
      </c>
      <c r="Q125" s="65">
        <v>46108</v>
      </c>
      <c r="R125" s="65"/>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2420</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8"/>
      <c r="AP125" s="144" t="str">
        <f t="shared" ca="1" si="24"/>
        <v>SI</v>
      </c>
      <c r="AQ125" s="142" t="s">
        <v>2358</v>
      </c>
      <c r="AR125" s="142" t="s">
        <v>2351</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7"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7"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2" customFormat="1" x14ac:dyDescent="0.25">
      <c r="A126" s="64" t="s">
        <v>2604</v>
      </c>
      <c r="B126" s="64" t="s">
        <v>2285</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2499</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8"/>
      <c r="AP126" s="144" t="str">
        <f t="shared" ca="1" si="24"/>
        <v/>
      </c>
      <c r="AQ126" s="142" t="s">
        <v>2358</v>
      </c>
      <c r="AR126" s="142" t="s">
        <v>2351</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7"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7"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2" customFormat="1" x14ac:dyDescent="0.25">
      <c r="A127" s="64" t="s">
        <v>2592</v>
      </c>
      <c r="B127" s="64" t="s">
        <v>2275</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8"/>
      <c r="AP127" s="144" t="str">
        <f t="shared" ca="1" si="24"/>
        <v/>
      </c>
      <c r="AQ127" s="142" t="s">
        <v>2358</v>
      </c>
      <c r="AR127" s="142" t="s">
        <v>2351</v>
      </c>
      <c r="AS127" s="57" t="str">
        <f t="shared" si="17"/>
        <v>---</v>
      </c>
      <c r="AT127" s="141" t="str">
        <f t="shared" si="18"/>
        <v xml:space="preserve">PLAN CINCO CCPP C Morería 3 - </v>
      </c>
      <c r="AU127" s="141" t="str">
        <f t="shared" ca="1" si="19"/>
        <v/>
      </c>
      <c r="AV127" s="257" t="str">
        <f t="shared" ca="1" si="20"/>
        <v/>
      </c>
      <c r="AW127" s="257" t="str">
        <f t="shared" si="21"/>
        <v/>
      </c>
      <c r="AX127" s="141" t="s">
        <v>1410</v>
      </c>
      <c r="AY127" s="142"/>
    </row>
    <row r="128" spans="1:51" s="262" customFormat="1" x14ac:dyDescent="0.25">
      <c r="A128" s="64" t="s">
        <v>2592</v>
      </c>
      <c r="B128" s="64" t="s">
        <v>2286</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2499</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8"/>
      <c r="AP128" s="144" t="str">
        <f t="shared" ca="1" si="24"/>
        <v/>
      </c>
      <c r="AQ128" s="142" t="s">
        <v>2358</v>
      </c>
      <c r="AR128" s="142" t="s">
        <v>2351</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7"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7"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2" customFormat="1" x14ac:dyDescent="0.25">
      <c r="A129" s="64" t="s">
        <v>2592</v>
      </c>
      <c r="B129" s="64" t="s">
        <v>2288</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2499</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8"/>
      <c r="AP129" s="144" t="str">
        <f t="shared" ca="1" si="24"/>
        <v/>
      </c>
      <c r="AQ129" s="142" t="s">
        <v>2358</v>
      </c>
      <c r="AR129" s="142" t="s">
        <v>2351</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7"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7"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2" customFormat="1" x14ac:dyDescent="0.25">
      <c r="A130" s="64" t="s">
        <v>2592</v>
      </c>
      <c r="B130" s="64" t="s">
        <v>2289</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2499</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8"/>
      <c r="AP130" s="144" t="str">
        <f t="shared" ca="1" si="24"/>
        <v/>
      </c>
      <c r="AQ130" s="142" t="s">
        <v>2358</v>
      </c>
      <c r="AR130" s="142" t="s">
        <v>2351</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7"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7"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2" customFormat="1" x14ac:dyDescent="0.25">
      <c r="A131" s="64" t="s">
        <v>2592</v>
      </c>
      <c r="B131" s="64" t="s">
        <v>2279</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8"/>
      <c r="AP131" s="144" t="str">
        <f t="shared" ca="1" si="24"/>
        <v/>
      </c>
      <c r="AQ131" s="142" t="s">
        <v>2358</v>
      </c>
      <c r="AR131" s="142" t="s">
        <v>2351</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7" t="str">
        <f t="shared" ref="AV131:AV194" ca="1" si="33">IFERROR(
    SUBSTITUTE(
        SUBSTITUTE(
            SUBSTITUTE(
                SUBSTITUTE(
                    SUBSTITUTE(
                        AW131,
                        "{FECHA_ENVIO_CYCP}", TEXT(T131, "dd/mm/aaaa")),
                    "{FECHA_RECIBO_CYCP}", TEXT(U131, "dd/mm/aaaa")),
                "{FECHA+10}", TEXT(T131 + 10, "dd/mm/aaaa")),
            "%CCPP", TEXT(W131, "0%")),
        "%PISOS", TEXT(Y131, "0%")),
    ""
)</f>
        <v/>
      </c>
      <c r="AW131" s="257"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2" customFormat="1" x14ac:dyDescent="0.25">
      <c r="A132" s="64" t="s">
        <v>2605</v>
      </c>
      <c r="B132" s="64" t="s">
        <v>2280</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8"/>
      <c r="AP132" s="144" t="str">
        <f t="shared" ref="AP132:AP194" ca="1" si="37">IF(AO132="🔒","NO",IF(AND(ISNUMBER(N132),N132&lt;=TODAY(),AS132&lt;&gt;"---"),"SI",""))</f>
        <v/>
      </c>
      <c r="AQ132" s="142" t="s">
        <v>2358</v>
      </c>
      <c r="AR132" s="142" t="s">
        <v>2351</v>
      </c>
      <c r="AS132" s="57" t="str">
        <f t="shared" si="30"/>
        <v>---</v>
      </c>
      <c r="AT132" s="141" t="str">
        <f t="shared" si="31"/>
        <v xml:space="preserve">PLAN CINCO CCPP Bª Nuestra Señora de la Oliva 081 - </v>
      </c>
      <c r="AU132" s="141" t="str">
        <f t="shared" ca="1" si="32"/>
        <v/>
      </c>
      <c r="AV132" s="257" t="str">
        <f t="shared" ca="1" si="33"/>
        <v/>
      </c>
      <c r="AW132" s="257" t="str">
        <f t="shared" si="34"/>
        <v/>
      </c>
      <c r="AX132" s="141" t="s">
        <v>1410</v>
      </c>
      <c r="AY132" s="142"/>
    </row>
    <row r="133" spans="1:51" s="262" customFormat="1" x14ac:dyDescent="0.25">
      <c r="A133" s="64" t="s">
        <v>2605</v>
      </c>
      <c r="B133" s="64" t="s">
        <v>2290</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2499</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8"/>
      <c r="AP133" s="144" t="str">
        <f t="shared" ca="1" si="37"/>
        <v/>
      </c>
      <c r="AQ133" s="142" t="s">
        <v>2358</v>
      </c>
      <c r="AR133" s="142" t="s">
        <v>2351</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7"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7"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2" customFormat="1" x14ac:dyDescent="0.25">
      <c r="A134" s="75" t="s">
        <v>2605</v>
      </c>
      <c r="B134" s="75" t="s">
        <v>2291</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99" t="s">
        <v>2394</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8"/>
      <c r="AP134" s="144" t="str">
        <f t="shared" ca="1" si="37"/>
        <v/>
      </c>
      <c r="AQ134" s="142" t="s">
        <v>2358</v>
      </c>
      <c r="AR134" s="142" t="s">
        <v>2351</v>
      </c>
      <c r="AS134" s="57" t="str">
        <f t="shared" si="30"/>
        <v>---</v>
      </c>
      <c r="AT134" s="141" t="str">
        <f t="shared" si="31"/>
        <v xml:space="preserve">PLAN CINCO CCPP Bª Nuestra Señora de la Oliva 110 - </v>
      </c>
      <c r="AU134" s="141" t="str">
        <f t="shared" ca="1" si="32"/>
        <v/>
      </c>
      <c r="AV134" s="257" t="str">
        <f t="shared" ca="1" si="33"/>
        <v/>
      </c>
      <c r="AW134" s="257" t="str">
        <f t="shared" si="34"/>
        <v/>
      </c>
      <c r="AX134" s="141" t="s">
        <v>1410</v>
      </c>
      <c r="AY134" s="142"/>
    </row>
    <row r="135" spans="1:51" s="262" customFormat="1" x14ac:dyDescent="0.25">
      <c r="A135" s="64" t="s">
        <v>2605</v>
      </c>
      <c r="B135" s="64" t="s">
        <v>2283</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8"/>
      <c r="AP135" s="144" t="str">
        <f t="shared" ca="1" si="37"/>
        <v/>
      </c>
      <c r="AQ135" s="142" t="s">
        <v>2358</v>
      </c>
      <c r="AR135" s="142" t="s">
        <v>2351</v>
      </c>
      <c r="AS135" s="57" t="str">
        <f t="shared" si="30"/>
        <v>---</v>
      </c>
      <c r="AT135" s="141" t="str">
        <f t="shared" si="31"/>
        <v xml:space="preserve">PLAN CINCO CCPP Bª Nuestra Señora de la Oliva 134 - </v>
      </c>
      <c r="AU135" s="141" t="str">
        <f t="shared" ca="1" si="32"/>
        <v/>
      </c>
      <c r="AV135" s="257" t="str">
        <f t="shared" ca="1" si="33"/>
        <v/>
      </c>
      <c r="AW135" s="257" t="str">
        <f t="shared" si="34"/>
        <v/>
      </c>
      <c r="AX135" s="141" t="s">
        <v>1410</v>
      </c>
      <c r="AY135" s="142"/>
    </row>
    <row r="136" spans="1:51" s="262" customFormat="1" x14ac:dyDescent="0.25">
      <c r="A136" s="64" t="s">
        <v>2605</v>
      </c>
      <c r="B136" s="64" t="s">
        <v>2292</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2499</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8"/>
      <c r="AP136" s="144" t="str">
        <f t="shared" ca="1" si="37"/>
        <v/>
      </c>
      <c r="AQ136" s="142" t="s">
        <v>2358</v>
      </c>
      <c r="AR136" s="142" t="s">
        <v>2351</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7"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7"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2" customFormat="1" x14ac:dyDescent="0.25">
      <c r="A137" s="75" t="s">
        <v>2605</v>
      </c>
      <c r="B137" s="75" t="s">
        <v>2293</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8"/>
      <c r="AP137" s="144" t="str">
        <f t="shared" ca="1" si="37"/>
        <v/>
      </c>
      <c r="AQ137" s="142" t="s">
        <v>2358</v>
      </c>
      <c r="AR137" s="142" t="s">
        <v>2351</v>
      </c>
      <c r="AS137" s="57" t="str">
        <f t="shared" si="30"/>
        <v>---</v>
      </c>
      <c r="AT137" s="141" t="str">
        <f t="shared" si="31"/>
        <v xml:space="preserve">PLAN CINCO CCPP Bª Nuestra Señora de la Oliva 2 - </v>
      </c>
      <c r="AU137" s="141" t="str">
        <f t="shared" ca="1" si="32"/>
        <v/>
      </c>
      <c r="AV137" s="257" t="str">
        <f t="shared" ca="1" si="33"/>
        <v/>
      </c>
      <c r="AW137" s="257" t="str">
        <f t="shared" si="34"/>
        <v/>
      </c>
      <c r="AX137" s="141" t="s">
        <v>1410</v>
      </c>
      <c r="AY137" s="142"/>
    </row>
    <row r="138" spans="1:51" s="262" customFormat="1" x14ac:dyDescent="0.25">
      <c r="A138" s="64" t="s">
        <v>2606</v>
      </c>
      <c r="B138" s="64" t="s">
        <v>2294</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2499</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8"/>
      <c r="AP138" s="144" t="str">
        <f t="shared" ca="1" si="37"/>
        <v/>
      </c>
      <c r="AQ138" s="142" t="s">
        <v>2358</v>
      </c>
      <c r="AR138" s="142" t="s">
        <v>2351</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7"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7"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2" customFormat="1" x14ac:dyDescent="0.25">
      <c r="A139" s="64" t="s">
        <v>2606</v>
      </c>
      <c r="B139" s="64" t="s">
        <v>2287</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8"/>
      <c r="AP139" s="144" t="str">
        <f t="shared" ca="1" si="37"/>
        <v/>
      </c>
      <c r="AQ139" s="142" t="s">
        <v>2358</v>
      </c>
      <c r="AR139" s="142" t="s">
        <v>2351</v>
      </c>
      <c r="AS139" s="57" t="str">
        <f t="shared" si="30"/>
        <v>---</v>
      </c>
      <c r="AT139" s="141" t="str">
        <f t="shared" si="31"/>
        <v xml:space="preserve">PLAN CINCO CCPP Rª Nuestra Señora de la Oliva 2-6 - </v>
      </c>
      <c r="AU139" s="141" t="str">
        <f t="shared" ca="1" si="32"/>
        <v/>
      </c>
      <c r="AV139" s="257" t="str">
        <f t="shared" ca="1" si="33"/>
        <v/>
      </c>
      <c r="AW139" s="257" t="str">
        <f t="shared" si="34"/>
        <v/>
      </c>
      <c r="AX139" s="141" t="s">
        <v>1410</v>
      </c>
      <c r="AY139" s="142"/>
    </row>
    <row r="140" spans="1:51" s="262" customFormat="1" x14ac:dyDescent="0.25">
      <c r="A140" s="75" t="s">
        <v>2605</v>
      </c>
      <c r="B140" s="75" t="s">
        <v>2295</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8"/>
      <c r="AP140" s="144" t="str">
        <f t="shared" ca="1" si="37"/>
        <v/>
      </c>
      <c r="AQ140" s="142" t="s">
        <v>2358</v>
      </c>
      <c r="AR140" s="142" t="s">
        <v>2351</v>
      </c>
      <c r="AS140" s="57" t="str">
        <f t="shared" si="30"/>
        <v>---</v>
      </c>
      <c r="AT140" s="141" t="str">
        <f t="shared" si="31"/>
        <v xml:space="preserve">PLAN CINCO CCPP Bª Nuestra Señora de la Oliva 67 - </v>
      </c>
      <c r="AU140" s="141" t="str">
        <f t="shared" ca="1" si="32"/>
        <v/>
      </c>
      <c r="AV140" s="257" t="str">
        <f t="shared" ca="1" si="33"/>
        <v/>
      </c>
      <c r="AW140" s="257" t="str">
        <f t="shared" si="34"/>
        <v/>
      </c>
      <c r="AX140" s="141" t="s">
        <v>1410</v>
      </c>
      <c r="AY140" s="142"/>
    </row>
    <row r="141" spans="1:51" s="262" customFormat="1" x14ac:dyDescent="0.25">
      <c r="A141" s="75" t="s">
        <v>2605</v>
      </c>
      <c r="B141" s="75" t="s">
        <v>2297</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8"/>
      <c r="AP141" s="144" t="str">
        <f t="shared" ca="1" si="37"/>
        <v/>
      </c>
      <c r="AQ141" s="142" t="s">
        <v>2358</v>
      </c>
      <c r="AR141" s="142" t="s">
        <v>2351</v>
      </c>
      <c r="AS141" s="57" t="str">
        <f t="shared" si="30"/>
        <v>---</v>
      </c>
      <c r="AT141" s="141" t="str">
        <f t="shared" si="31"/>
        <v xml:space="preserve">PLAN CINCO CCPP Bª Nuestra Señora de la Oliva 94 - </v>
      </c>
      <c r="AU141" s="141" t="str">
        <f t="shared" ca="1" si="32"/>
        <v/>
      </c>
      <c r="AV141" s="257" t="str">
        <f t="shared" ca="1" si="33"/>
        <v/>
      </c>
      <c r="AW141" s="257" t="str">
        <f t="shared" si="34"/>
        <v/>
      </c>
      <c r="AX141" s="141" t="s">
        <v>1410</v>
      </c>
      <c r="AY141" s="142"/>
    </row>
    <row r="142" spans="1:51" s="262" customFormat="1" x14ac:dyDescent="0.25">
      <c r="A142" s="64" t="s">
        <v>2605</v>
      </c>
      <c r="B142" s="64" t="s">
        <v>2299</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2499</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8"/>
      <c r="AP142" s="144" t="str">
        <f t="shared" ca="1" si="37"/>
        <v/>
      </c>
      <c r="AQ142" s="142" t="s">
        <v>2358</v>
      </c>
      <c r="AR142" s="142" t="s">
        <v>2351</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7"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7"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2" customFormat="1" x14ac:dyDescent="0.25">
      <c r="A143" s="64" t="s">
        <v>2607</v>
      </c>
      <c r="B143" s="64" t="s">
        <v>2300</v>
      </c>
      <c r="C143" s="61" t="s">
        <v>2129</v>
      </c>
      <c r="D143" s="43" t="s">
        <v>2143</v>
      </c>
      <c r="E143" s="203" t="s">
        <v>0</v>
      </c>
      <c r="F143" s="263" t="s">
        <v>2144</v>
      </c>
      <c r="G143" s="203" t="s">
        <v>2156</v>
      </c>
      <c r="H143" s="203" t="s">
        <v>0</v>
      </c>
      <c r="I143" s="122" t="s">
        <v>0</v>
      </c>
      <c r="J143" s="44">
        <v>46104</v>
      </c>
      <c r="K143" s="44"/>
      <c r="L143" s="44"/>
      <c r="M143" s="44"/>
      <c r="N143" s="127">
        <v>46157</v>
      </c>
      <c r="O143" s="128" t="s">
        <v>2127</v>
      </c>
      <c r="P143" s="129" t="s">
        <v>2491</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8"/>
      <c r="AP143" s="144" t="str">
        <f t="shared" ca="1" si="37"/>
        <v/>
      </c>
      <c r="AQ143" s="142" t="s">
        <v>2358</v>
      </c>
      <c r="AR143" s="142" t="s">
        <v>2351</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7"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7"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2" customFormat="1" x14ac:dyDescent="0.25">
      <c r="A144" s="64" t="s">
        <v>2608</v>
      </c>
      <c r="B144" s="64" t="s">
        <v>2301</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8"/>
      <c r="AP144" s="144" t="str">
        <f t="shared" ca="1" si="37"/>
        <v/>
      </c>
      <c r="AQ144" s="142" t="s">
        <v>2358</v>
      </c>
      <c r="AR144" s="142" t="s">
        <v>2351</v>
      </c>
      <c r="AS144" s="57" t="str">
        <f t="shared" si="30"/>
        <v>---</v>
      </c>
      <c r="AT144" s="141" t="str">
        <f t="shared" si="31"/>
        <v xml:space="preserve">PLAN CINCO CCPP Pz de Otelo 4 - </v>
      </c>
      <c r="AU144" s="141" t="str">
        <f t="shared" ca="1" si="32"/>
        <v/>
      </c>
      <c r="AV144" s="257" t="str">
        <f t="shared" ca="1" si="33"/>
        <v/>
      </c>
      <c r="AW144" s="257" t="str">
        <f t="shared" si="34"/>
        <v/>
      </c>
      <c r="AX144" s="141" t="s">
        <v>1410</v>
      </c>
      <c r="AY144" s="142"/>
    </row>
    <row r="145" spans="1:51" s="262" customFormat="1" x14ac:dyDescent="0.25">
      <c r="A145" s="64" t="s">
        <v>2608</v>
      </c>
      <c r="B145" s="64" t="s">
        <v>2302</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2499</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8"/>
      <c r="AP145" s="144" t="str">
        <f t="shared" ca="1" si="37"/>
        <v/>
      </c>
      <c r="AQ145" s="142" t="s">
        <v>2358</v>
      </c>
      <c r="AR145" s="142" t="s">
        <v>2351</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7"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7"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2" customFormat="1" x14ac:dyDescent="0.25">
      <c r="A146" s="64" t="s">
        <v>2592</v>
      </c>
      <c r="B146" s="64" t="s">
        <v>2303</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2499</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8"/>
      <c r="AP146" s="144" t="str">
        <f t="shared" ca="1" si="37"/>
        <v/>
      </c>
      <c r="AQ146" s="142" t="s">
        <v>2358</v>
      </c>
      <c r="AR146" s="142" t="s">
        <v>2351</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7"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7"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2" customFormat="1" x14ac:dyDescent="0.25">
      <c r="A147" s="75" t="s">
        <v>2592</v>
      </c>
      <c r="B147" s="75" t="s">
        <v>2304</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8"/>
      <c r="AP147" s="144" t="str">
        <f t="shared" ca="1" si="37"/>
        <v/>
      </c>
      <c r="AQ147" s="142" t="s">
        <v>2358</v>
      </c>
      <c r="AR147" s="142" t="s">
        <v>2351</v>
      </c>
      <c r="AS147" s="57" t="str">
        <f t="shared" si="30"/>
        <v>---</v>
      </c>
      <c r="AT147" s="141" t="str">
        <f t="shared" si="31"/>
        <v xml:space="preserve">PLAN CINCO CCPP C Palma del Río 12 - </v>
      </c>
      <c r="AU147" s="141" t="str">
        <f t="shared" ca="1" si="32"/>
        <v/>
      </c>
      <c r="AV147" s="257" t="str">
        <f t="shared" ca="1" si="33"/>
        <v/>
      </c>
      <c r="AW147" s="257" t="str">
        <f t="shared" si="34"/>
        <v/>
      </c>
      <c r="AX147" s="141" t="s">
        <v>1410</v>
      </c>
      <c r="AY147" s="142"/>
    </row>
    <row r="148" spans="1:51" s="262" customFormat="1" x14ac:dyDescent="0.25">
      <c r="A148" s="64" t="s">
        <v>2609</v>
      </c>
      <c r="B148" s="64" t="s">
        <v>2305</v>
      </c>
      <c r="C148" s="61" t="s">
        <v>1798</v>
      </c>
      <c r="D148" s="43" t="s">
        <v>1961</v>
      </c>
      <c r="E148" s="201">
        <v>640971105</v>
      </c>
      <c r="F148" s="263" t="s">
        <v>1962</v>
      </c>
      <c r="G148" s="43" t="s">
        <v>0</v>
      </c>
      <c r="H148" s="201" t="s">
        <v>0</v>
      </c>
      <c r="I148" s="43" t="s">
        <v>0</v>
      </c>
      <c r="J148" s="44">
        <v>46086</v>
      </c>
      <c r="K148" s="44"/>
      <c r="L148" s="44"/>
      <c r="M148" s="44"/>
      <c r="N148" s="127">
        <v>46157</v>
      </c>
      <c r="O148" s="128" t="s">
        <v>2127</v>
      </c>
      <c r="P148" s="129" t="s">
        <v>2491</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8"/>
      <c r="AP148" s="144" t="str">
        <f t="shared" ca="1" si="37"/>
        <v/>
      </c>
      <c r="AQ148" s="142" t="s">
        <v>2358</v>
      </c>
      <c r="AR148" s="142" t="s">
        <v>2351</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7"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7"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2" customFormat="1" x14ac:dyDescent="0.25">
      <c r="A149" s="64" t="s">
        <v>2610</v>
      </c>
      <c r="B149" s="64" t="s">
        <v>2296</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8"/>
      <c r="AP149" s="144" t="str">
        <f t="shared" ca="1" si="37"/>
        <v/>
      </c>
      <c r="AQ149" s="142" t="s">
        <v>2358</v>
      </c>
      <c r="AR149" s="142" t="s">
        <v>2351</v>
      </c>
      <c r="AS149" s="57" t="str">
        <f t="shared" si="30"/>
        <v>---</v>
      </c>
      <c r="AT149" s="141" t="str">
        <f t="shared" si="31"/>
        <v xml:space="preserve">PLAN CINCO CCPP AvS.Juan Palomares 2, Portal 4 - </v>
      </c>
      <c r="AU149" s="141" t="str">
        <f t="shared" ca="1" si="32"/>
        <v/>
      </c>
      <c r="AV149" s="257" t="str">
        <f t="shared" ca="1" si="33"/>
        <v/>
      </c>
      <c r="AW149" s="257" t="str">
        <f t="shared" si="34"/>
        <v/>
      </c>
      <c r="AX149" s="141" t="s">
        <v>1410</v>
      </c>
      <c r="AY149" s="142"/>
    </row>
    <row r="150" spans="1:51" s="262" customFormat="1" x14ac:dyDescent="0.25">
      <c r="A150" s="64" t="s">
        <v>2594</v>
      </c>
      <c r="B150" s="64" t="s">
        <v>2308</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2461</v>
      </c>
      <c r="P150" s="129" t="s">
        <v>2499</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8"/>
      <c r="AP150" s="144" t="str">
        <f t="shared" ca="1" si="37"/>
        <v/>
      </c>
      <c r="AQ150" s="142" t="s">
        <v>2358</v>
      </c>
      <c r="AR150" s="142" t="s">
        <v>2351</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7"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7"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2" customFormat="1" x14ac:dyDescent="0.25">
      <c r="A151" s="64" t="s">
        <v>2592</v>
      </c>
      <c r="B151" s="64" t="s">
        <v>2298</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8"/>
      <c r="AP151" s="144" t="str">
        <f t="shared" ca="1" si="37"/>
        <v/>
      </c>
      <c r="AQ151" s="142" t="s">
        <v>2358</v>
      </c>
      <c r="AR151" s="142" t="s">
        <v>2351</v>
      </c>
      <c r="AS151" s="57" t="str">
        <f t="shared" si="30"/>
        <v>---</v>
      </c>
      <c r="AT151" s="141" t="str">
        <f t="shared" si="31"/>
        <v xml:space="preserve">PLAN CINCO CCPP C Paulo Orosio 9 - </v>
      </c>
      <c r="AU151" s="141" t="str">
        <f t="shared" ca="1" si="32"/>
        <v/>
      </c>
      <c r="AV151" s="257" t="str">
        <f t="shared" ca="1" si="33"/>
        <v/>
      </c>
      <c r="AW151" s="257" t="str">
        <f t="shared" si="34"/>
        <v/>
      </c>
      <c r="AX151" s="141" t="s">
        <v>1410</v>
      </c>
      <c r="AY151" s="142"/>
    </row>
    <row r="152" spans="1:51" s="262" customFormat="1" x14ac:dyDescent="0.25">
      <c r="A152" s="75" t="s">
        <v>2595</v>
      </c>
      <c r="B152" s="75" t="s">
        <v>2309</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2504</v>
      </c>
      <c r="Q152" s="65">
        <v>46057</v>
      </c>
      <c r="R152" s="65">
        <v>46126</v>
      </c>
      <c r="S152" s="65">
        <v>46147</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8"/>
      <c r="AP152" s="144" t="str">
        <f t="shared" ca="1" si="37"/>
        <v/>
      </c>
      <c r="AQ152" s="142" t="s">
        <v>2358</v>
      </c>
      <c r="AR152" s="142" t="s">
        <v>2351</v>
      </c>
      <c r="AS152" s="57" t="str">
        <f t="shared" si="30"/>
        <v>---</v>
      </c>
      <c r="AT152" s="141" t="str">
        <f t="shared" si="31"/>
        <v xml:space="preserve">PLAN CINCO CCPP Av de la Paz 29 - </v>
      </c>
      <c r="AU152" s="141" t="str">
        <f t="shared" ca="1" si="32"/>
        <v/>
      </c>
      <c r="AV152" s="257" t="str">
        <f t="shared" ca="1" si="33"/>
        <v/>
      </c>
      <c r="AW152" s="257" t="str">
        <f t="shared" si="34"/>
        <v/>
      </c>
      <c r="AX152" s="141" t="s">
        <v>1410</v>
      </c>
      <c r="AY152" s="142"/>
    </row>
    <row r="153" spans="1:51" s="262" customFormat="1" x14ac:dyDescent="0.25">
      <c r="A153" s="64" t="s">
        <v>2594</v>
      </c>
      <c r="B153" s="64" t="s">
        <v>2311</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2499</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8"/>
      <c r="AP153" s="144" t="str">
        <f t="shared" ca="1" si="37"/>
        <v/>
      </c>
      <c r="AQ153" s="142" t="s">
        <v>2358</v>
      </c>
      <c r="AR153" s="142" t="s">
        <v>2351</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7"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7"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2" customFormat="1" x14ac:dyDescent="0.25">
      <c r="A154" s="64" t="s">
        <v>2592</v>
      </c>
      <c r="B154" s="64" t="s">
        <v>2312</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2499</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8"/>
      <c r="AP154" s="144" t="str">
        <f t="shared" ca="1" si="37"/>
        <v/>
      </c>
      <c r="AQ154" s="142" t="s">
        <v>2358</v>
      </c>
      <c r="AR154" s="142" t="s">
        <v>2351</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7"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7"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2" customFormat="1" x14ac:dyDescent="0.25">
      <c r="A155" s="64" t="s">
        <v>2592</v>
      </c>
      <c r="B155" s="64" t="s">
        <v>2313</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8"/>
      <c r="AP155" s="144" t="str">
        <f t="shared" ca="1" si="37"/>
        <v/>
      </c>
      <c r="AQ155" s="142" t="s">
        <v>2358</v>
      </c>
      <c r="AR155" s="142" t="s">
        <v>2351</v>
      </c>
      <c r="AS155" s="57" t="str">
        <f t="shared" si="30"/>
        <v>---</v>
      </c>
      <c r="AT155" s="141" t="str">
        <f t="shared" si="31"/>
        <v xml:space="preserve">PLAN CINCO CCPP C Peñuelas 13 - </v>
      </c>
      <c r="AU155" s="141" t="str">
        <f t="shared" ca="1" si="32"/>
        <v/>
      </c>
      <c r="AV155" s="257" t="str">
        <f t="shared" ca="1" si="33"/>
        <v/>
      </c>
      <c r="AW155" s="257" t="str">
        <f t="shared" si="34"/>
        <v/>
      </c>
      <c r="AX155" s="141" t="s">
        <v>1410</v>
      </c>
      <c r="AY155" s="142"/>
    </row>
    <row r="156" spans="1:51" s="262" customFormat="1" ht="63" x14ac:dyDescent="0.25">
      <c r="A156" s="75" t="s">
        <v>2592</v>
      </c>
      <c r="B156" s="75" t="s">
        <v>2314</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2436</v>
      </c>
      <c r="P156" s="126" t="s">
        <v>2498</v>
      </c>
      <c r="Q156" s="65">
        <v>46035</v>
      </c>
      <c r="R156" s="65"/>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2420</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8"/>
      <c r="AP156" s="144" t="str">
        <f t="shared" ca="1" si="37"/>
        <v>SI</v>
      </c>
      <c r="AQ156" s="142" t="s">
        <v>2358</v>
      </c>
      <c r="AR156" s="142" t="s">
        <v>2351</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7"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7"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2" customFormat="1" x14ac:dyDescent="0.25">
      <c r="A157" s="64" t="s">
        <v>2592</v>
      </c>
      <c r="B157" s="64" t="s">
        <v>2315</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2499</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8"/>
      <c r="AP157" s="144" t="str">
        <f t="shared" ca="1" si="37"/>
        <v/>
      </c>
      <c r="AQ157" s="142" t="s">
        <v>2358</v>
      </c>
      <c r="AR157" s="142" t="s">
        <v>2351</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7"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7"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2" customFormat="1" x14ac:dyDescent="0.25">
      <c r="A158" s="64" t="s">
        <v>2593</v>
      </c>
      <c r="B158" s="64" t="s">
        <v>2316</v>
      </c>
      <c r="C158" s="61" t="s">
        <v>2129</v>
      </c>
      <c r="D158" s="43" t="s">
        <v>2025</v>
      </c>
      <c r="E158" s="201">
        <v>954658582</v>
      </c>
      <c r="F158" s="263" t="s">
        <v>1970</v>
      </c>
      <c r="G158" s="43" t="s">
        <v>2026</v>
      </c>
      <c r="H158" s="201">
        <v>670672183</v>
      </c>
      <c r="I158" s="43" t="s">
        <v>0</v>
      </c>
      <c r="J158" s="44">
        <v>45922</v>
      </c>
      <c r="K158" s="44"/>
      <c r="L158" s="44"/>
      <c r="M158" s="44"/>
      <c r="N158" s="127">
        <v>46157</v>
      </c>
      <c r="O158" s="128" t="s">
        <v>2133</v>
      </c>
      <c r="P158" s="126" t="s">
        <v>2491</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8"/>
      <c r="AP158" s="144" t="str">
        <f t="shared" ca="1" si="37"/>
        <v/>
      </c>
      <c r="AQ158" s="142" t="s">
        <v>2358</v>
      </c>
      <c r="AR158" s="142" t="s">
        <v>2351</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7"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7"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2" customFormat="1" x14ac:dyDescent="0.25">
      <c r="A159" s="64" t="s">
        <v>2592</v>
      </c>
      <c r="B159" s="64" t="s">
        <v>2306</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8"/>
      <c r="AP159" s="144" t="str">
        <f t="shared" ca="1" si="37"/>
        <v/>
      </c>
      <c r="AQ159" s="142" t="s">
        <v>2358</v>
      </c>
      <c r="AR159" s="142" t="s">
        <v>2351</v>
      </c>
      <c r="AS159" s="57" t="str">
        <f t="shared" si="30"/>
        <v>---</v>
      </c>
      <c r="AT159" s="141" t="str">
        <f t="shared" si="31"/>
        <v xml:space="preserve">PLAN CINCO CCPP C Playa de Chipiona 2 - </v>
      </c>
      <c r="AU159" s="141" t="str">
        <f t="shared" ca="1" si="32"/>
        <v/>
      </c>
      <c r="AV159" s="257" t="str">
        <f t="shared" ca="1" si="33"/>
        <v/>
      </c>
      <c r="AW159" s="257" t="str">
        <f t="shared" si="34"/>
        <v/>
      </c>
      <c r="AX159" s="141" t="s">
        <v>1410</v>
      </c>
      <c r="AY159" s="142"/>
    </row>
    <row r="160" spans="1:51" s="262" customFormat="1" x14ac:dyDescent="0.25">
      <c r="A160" s="64" t="s">
        <v>2592</v>
      </c>
      <c r="B160" s="64" t="s">
        <v>2307</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8"/>
      <c r="AP160" s="144" t="str">
        <f t="shared" ca="1" si="37"/>
        <v/>
      </c>
      <c r="AQ160" s="142" t="s">
        <v>2358</v>
      </c>
      <c r="AR160" s="142" t="s">
        <v>2351</v>
      </c>
      <c r="AS160" s="57" t="str">
        <f t="shared" si="30"/>
        <v>---</v>
      </c>
      <c r="AT160" s="141" t="str">
        <f t="shared" si="31"/>
        <v xml:space="preserve">PLAN CINCO CCPP C Playa de Estepona 3 - </v>
      </c>
      <c r="AU160" s="141" t="str">
        <f t="shared" ca="1" si="32"/>
        <v/>
      </c>
      <c r="AV160" s="257" t="str">
        <f t="shared" ca="1" si="33"/>
        <v/>
      </c>
      <c r="AW160" s="257" t="str">
        <f t="shared" si="34"/>
        <v/>
      </c>
      <c r="AX160" s="141" t="s">
        <v>1410</v>
      </c>
      <c r="AY160" s="142"/>
    </row>
    <row r="161" spans="1:51" s="262" customFormat="1" x14ac:dyDescent="0.25">
      <c r="A161" s="64" t="s">
        <v>2592</v>
      </c>
      <c r="B161" s="64" t="s">
        <v>2317</v>
      </c>
      <c r="C161" s="61" t="s">
        <v>2129</v>
      </c>
      <c r="D161" s="43" t="s">
        <v>1866</v>
      </c>
      <c r="E161" s="201">
        <v>661592498</v>
      </c>
      <c r="F161" s="263" t="s">
        <v>1867</v>
      </c>
      <c r="G161" s="43" t="s">
        <v>2379</v>
      </c>
      <c r="H161" s="201">
        <v>626063794</v>
      </c>
      <c r="I161" s="43" t="s">
        <v>0</v>
      </c>
      <c r="J161" s="136">
        <v>46122</v>
      </c>
      <c r="K161" s="136"/>
      <c r="L161" s="136"/>
      <c r="M161" s="136"/>
      <c r="N161" s="127"/>
      <c r="O161" s="128" t="s">
        <v>2402</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8"/>
      <c r="AP161" s="144" t="str">
        <f t="shared" ca="1" si="37"/>
        <v/>
      </c>
      <c r="AQ161" s="142" t="s">
        <v>2358</v>
      </c>
      <c r="AR161" s="142" t="s">
        <v>2351</v>
      </c>
      <c r="AS161" s="57" t="str">
        <f t="shared" si="30"/>
        <v>---</v>
      </c>
      <c r="AT161" s="141" t="str">
        <f t="shared" si="31"/>
        <v xml:space="preserve">PLAN CINCO CCPP C Puerto de Viella 5 - </v>
      </c>
      <c r="AU161" s="141" t="str">
        <f t="shared" ca="1" si="32"/>
        <v/>
      </c>
      <c r="AV161" s="257" t="str">
        <f t="shared" ca="1" si="33"/>
        <v/>
      </c>
      <c r="AW161" s="257" t="str">
        <f t="shared" si="34"/>
        <v/>
      </c>
      <c r="AX161" s="141" t="s">
        <v>1410</v>
      </c>
      <c r="AY161" s="142"/>
    </row>
    <row r="162" spans="1:51" s="262" customFormat="1" x14ac:dyDescent="0.25">
      <c r="A162" s="75" t="s">
        <v>2592</v>
      </c>
      <c r="B162" s="75" t="s">
        <v>2318</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2460</v>
      </c>
      <c r="P162" s="129" t="s">
        <v>2505</v>
      </c>
      <c r="Q162" s="65">
        <v>45974</v>
      </c>
      <c r="R162" s="65">
        <v>46108</v>
      </c>
      <c r="S162" s="65">
        <v>46132</v>
      </c>
      <c r="T162" s="65"/>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8"/>
      <c r="AP162" s="144" t="str">
        <f t="shared" ca="1" si="37"/>
        <v/>
      </c>
      <c r="AQ162" s="142" t="s">
        <v>2358</v>
      </c>
      <c r="AR162" s="142" t="s">
        <v>2351</v>
      </c>
      <c r="AS162" s="57" t="str">
        <f t="shared" si="30"/>
        <v>---</v>
      </c>
      <c r="AT162" s="141" t="str">
        <f t="shared" si="31"/>
        <v xml:space="preserve">PLAN CINCO CCPP C Rafael Laffón 7 - </v>
      </c>
      <c r="AU162" s="141" t="str">
        <f t="shared" ca="1" si="32"/>
        <v/>
      </c>
      <c r="AV162" s="257" t="str">
        <f t="shared" ca="1" si="33"/>
        <v/>
      </c>
      <c r="AW162" s="257" t="str">
        <f t="shared" si="34"/>
        <v/>
      </c>
      <c r="AX162" s="141" t="s">
        <v>1410</v>
      </c>
      <c r="AY162" s="142"/>
    </row>
    <row r="163" spans="1:51" s="262" customFormat="1" x14ac:dyDescent="0.25">
      <c r="A163" s="75" t="s">
        <v>2592</v>
      </c>
      <c r="B163" s="75" t="s">
        <v>2319</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8"/>
      <c r="AP163" s="144" t="str">
        <f t="shared" ca="1" si="37"/>
        <v/>
      </c>
      <c r="AQ163" s="142" t="s">
        <v>2358</v>
      </c>
      <c r="AR163" s="142" t="s">
        <v>2351</v>
      </c>
      <c r="AS163" s="57" t="str">
        <f t="shared" si="30"/>
        <v>---</v>
      </c>
      <c r="AT163" s="141" t="str">
        <f t="shared" si="31"/>
        <v xml:space="preserve">PLAN CINCO CCPP C Regimiento de Soria 9 2 - </v>
      </c>
      <c r="AU163" s="141" t="str">
        <f t="shared" ca="1" si="32"/>
        <v/>
      </c>
      <c r="AV163" s="257" t="str">
        <f t="shared" ca="1" si="33"/>
        <v/>
      </c>
      <c r="AW163" s="257" t="str">
        <f t="shared" si="34"/>
        <v/>
      </c>
      <c r="AX163" s="141" t="s">
        <v>1410</v>
      </c>
      <c r="AY163" s="142"/>
    </row>
    <row r="164" spans="1:51" s="262" customFormat="1" x14ac:dyDescent="0.25">
      <c r="A164" s="64" t="s">
        <v>2592</v>
      </c>
      <c r="B164" s="64" t="s">
        <v>2310</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8"/>
      <c r="AP164" s="144" t="str">
        <f t="shared" ca="1" si="37"/>
        <v/>
      </c>
      <c r="AQ164" s="142" t="s">
        <v>2358</v>
      </c>
      <c r="AR164" s="142" t="s">
        <v>2351</v>
      </c>
      <c r="AS164" s="57" t="str">
        <f t="shared" si="30"/>
        <v>---</v>
      </c>
      <c r="AT164" s="141" t="str">
        <f t="shared" si="31"/>
        <v xml:space="preserve">PLAN CINCO CCPP C Regimiento de Soria 9 4 - </v>
      </c>
      <c r="AU164" s="141" t="str">
        <f t="shared" ca="1" si="32"/>
        <v/>
      </c>
      <c r="AV164" s="257" t="str">
        <f t="shared" ca="1" si="33"/>
        <v/>
      </c>
      <c r="AW164" s="257" t="str">
        <f t="shared" si="34"/>
        <v/>
      </c>
      <c r="AX164" s="141" t="s">
        <v>1410</v>
      </c>
      <c r="AY164" s="142"/>
    </row>
    <row r="165" spans="1:51" s="262" customFormat="1" x14ac:dyDescent="0.25">
      <c r="A165" s="75" t="s">
        <v>2592</v>
      </c>
      <c r="B165" s="75" t="s">
        <v>2320</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8"/>
      <c r="AP165" s="144" t="str">
        <f t="shared" ca="1" si="37"/>
        <v/>
      </c>
      <c r="AQ165" s="142" t="s">
        <v>2358</v>
      </c>
      <c r="AR165" s="142" t="s">
        <v>2351</v>
      </c>
      <c r="AS165" s="57" t="str">
        <f t="shared" si="30"/>
        <v>---</v>
      </c>
      <c r="AT165" s="141" t="str">
        <f t="shared" si="31"/>
        <v xml:space="preserve">PLAN CINCO CCPP C Rodrigo de Triana 9 - </v>
      </c>
      <c r="AU165" s="141" t="str">
        <f t="shared" ca="1" si="32"/>
        <v/>
      </c>
      <c r="AV165" s="257" t="str">
        <f t="shared" ca="1" si="33"/>
        <v/>
      </c>
      <c r="AW165" s="257" t="str">
        <f t="shared" si="34"/>
        <v/>
      </c>
      <c r="AX165" s="141" t="s">
        <v>1410</v>
      </c>
      <c r="AY165" s="142"/>
    </row>
    <row r="166" spans="1:51" s="262" customFormat="1" x14ac:dyDescent="0.25">
      <c r="A166" s="64" t="s">
        <v>2594</v>
      </c>
      <c r="B166" s="64" t="s">
        <v>2321</v>
      </c>
      <c r="C166" s="61" t="s">
        <v>1798</v>
      </c>
      <c r="D166" s="43" t="s">
        <v>1905</v>
      </c>
      <c r="E166" s="201">
        <v>681943040</v>
      </c>
      <c r="F166" s="263" t="s">
        <v>1906</v>
      </c>
      <c r="G166" s="43" t="s">
        <v>2033</v>
      </c>
      <c r="H166" s="201">
        <v>676407874</v>
      </c>
      <c r="I166" s="43" t="s">
        <v>0</v>
      </c>
      <c r="J166" s="44">
        <v>45939</v>
      </c>
      <c r="K166" s="44"/>
      <c r="L166" s="44"/>
      <c r="M166" s="44"/>
      <c r="N166" s="127">
        <v>46157</v>
      </c>
      <c r="O166" s="128" t="s">
        <v>2133</v>
      </c>
      <c r="P166" s="126" t="s">
        <v>2491</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8"/>
      <c r="AP166" s="144" t="str">
        <f t="shared" ca="1" si="37"/>
        <v/>
      </c>
      <c r="AQ166" s="142" t="s">
        <v>2358</v>
      </c>
      <c r="AR166" s="142" t="s">
        <v>2351</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7"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7"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2" customFormat="1" x14ac:dyDescent="0.25">
      <c r="A167" s="64" t="s">
        <v>2592</v>
      </c>
      <c r="B167" s="64" t="s">
        <v>2322</v>
      </c>
      <c r="C167" s="61" t="s">
        <v>2129</v>
      </c>
      <c r="D167" s="43" t="s">
        <v>2034</v>
      </c>
      <c r="E167" s="201">
        <v>661592498</v>
      </c>
      <c r="F167" s="263" t="s">
        <v>2035</v>
      </c>
      <c r="G167" s="43" t="s">
        <v>2036</v>
      </c>
      <c r="H167" s="201">
        <v>696954953</v>
      </c>
      <c r="I167" s="43" t="s">
        <v>0</v>
      </c>
      <c r="J167" s="44">
        <v>45975</v>
      </c>
      <c r="K167" s="44"/>
      <c r="L167" s="44"/>
      <c r="M167" s="44"/>
      <c r="N167" s="127"/>
      <c r="O167" s="128" t="s">
        <v>2410</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8"/>
      <c r="AP167" s="144" t="str">
        <f t="shared" ca="1" si="37"/>
        <v/>
      </c>
      <c r="AQ167" s="142" t="s">
        <v>2358</v>
      </c>
      <c r="AR167" s="142" t="s">
        <v>2351</v>
      </c>
      <c r="AS167" s="57" t="str">
        <f t="shared" si="30"/>
        <v>---</v>
      </c>
      <c r="AT167" s="141" t="str">
        <f t="shared" si="31"/>
        <v xml:space="preserve">PLAN CINCO CCPP C San Ignacio 5 - </v>
      </c>
      <c r="AU167" s="141" t="str">
        <f t="shared" ca="1" si="32"/>
        <v/>
      </c>
      <c r="AV167" s="257" t="str">
        <f t="shared" ca="1" si="33"/>
        <v/>
      </c>
      <c r="AW167" s="257" t="str">
        <f t="shared" si="34"/>
        <v/>
      </c>
      <c r="AX167" s="141" t="s">
        <v>1410</v>
      </c>
      <c r="AY167" s="142"/>
    </row>
    <row r="168" spans="1:51" s="262" customFormat="1" x14ac:dyDescent="0.25">
      <c r="A168" s="64" t="s">
        <v>2592</v>
      </c>
      <c r="B168" s="64" t="s">
        <v>2323</v>
      </c>
      <c r="C168" s="61" t="s">
        <v>2129</v>
      </c>
      <c r="D168" s="43" t="s">
        <v>2037</v>
      </c>
      <c r="E168" s="201">
        <v>676332731</v>
      </c>
      <c r="F168" s="135" t="s">
        <v>0</v>
      </c>
      <c r="G168" s="203" t="s">
        <v>2156</v>
      </c>
      <c r="H168" s="203" t="s">
        <v>0</v>
      </c>
      <c r="I168" s="122" t="s">
        <v>0</v>
      </c>
      <c r="J168" s="136">
        <v>46041</v>
      </c>
      <c r="K168" s="136"/>
      <c r="L168" s="136"/>
      <c r="M168" s="136"/>
      <c r="N168" s="127">
        <v>46157</v>
      </c>
      <c r="O168" s="128" t="s">
        <v>2492</v>
      </c>
      <c r="P168" s="126" t="s">
        <v>2491</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8"/>
      <c r="AP168" s="144" t="str">
        <f t="shared" ca="1" si="37"/>
        <v/>
      </c>
      <c r="AQ168" s="142" t="s">
        <v>2358</v>
      </c>
      <c r="AR168" s="142" t="s">
        <v>2351</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7"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7"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2" customFormat="1" x14ac:dyDescent="0.25">
      <c r="A169" s="64" t="s">
        <v>2611</v>
      </c>
      <c r="B169" s="64" t="s">
        <v>2324</v>
      </c>
      <c r="C169" s="61" t="s">
        <v>1798</v>
      </c>
      <c r="D169" s="43" t="s">
        <v>1808</v>
      </c>
      <c r="E169" s="201">
        <v>615671540</v>
      </c>
      <c r="F169" s="263" t="s">
        <v>1809</v>
      </c>
      <c r="G169" s="43" t="s">
        <v>2038</v>
      </c>
      <c r="H169" s="201">
        <v>660783130</v>
      </c>
      <c r="I169" s="43" t="s">
        <v>0</v>
      </c>
      <c r="J169" s="44">
        <v>45964</v>
      </c>
      <c r="K169" s="44"/>
      <c r="L169" s="44"/>
      <c r="M169" s="44"/>
      <c r="N169" s="127">
        <v>46157</v>
      </c>
      <c r="O169" s="128" t="s">
        <v>2139</v>
      </c>
      <c r="P169" s="126" t="s">
        <v>2491</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8"/>
      <c r="AP169" s="144" t="str">
        <f t="shared" ca="1" si="37"/>
        <v/>
      </c>
      <c r="AQ169" s="142" t="s">
        <v>2358</v>
      </c>
      <c r="AR169" s="142" t="s">
        <v>2351</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7"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7"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2" customFormat="1" x14ac:dyDescent="0.25">
      <c r="A170" s="64" t="s">
        <v>2592</v>
      </c>
      <c r="B170" s="64" t="s">
        <v>2327</v>
      </c>
      <c r="C170" s="61" t="s">
        <v>2129</v>
      </c>
      <c r="D170" s="43" t="s">
        <v>1893</v>
      </c>
      <c r="E170" s="201">
        <v>954214057</v>
      </c>
      <c r="F170" s="263" t="s">
        <v>1894</v>
      </c>
      <c r="G170" s="43" t="s">
        <v>2039</v>
      </c>
      <c r="H170" s="201">
        <v>670566608</v>
      </c>
      <c r="I170" s="43" t="s">
        <v>0</v>
      </c>
      <c r="J170" s="44">
        <v>46064</v>
      </c>
      <c r="K170" s="44"/>
      <c r="L170" s="44"/>
      <c r="M170" s="44"/>
      <c r="N170" s="127">
        <v>46157</v>
      </c>
      <c r="O170" s="128" t="s">
        <v>2133</v>
      </c>
      <c r="P170" s="129" t="s">
        <v>2491</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8"/>
      <c r="AP170" s="144" t="str">
        <f t="shared" ca="1" si="37"/>
        <v/>
      </c>
      <c r="AQ170" s="142" t="s">
        <v>2358</v>
      </c>
      <c r="AR170" s="142" t="s">
        <v>2351</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7"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7"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2" customFormat="1" x14ac:dyDescent="0.25">
      <c r="A171" s="64" t="s">
        <v>2592</v>
      </c>
      <c r="B171" s="64" t="s">
        <v>2328</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2499</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8"/>
      <c r="AP171" s="144" t="str">
        <f t="shared" ca="1" si="37"/>
        <v/>
      </c>
      <c r="AQ171" s="142" t="s">
        <v>2358</v>
      </c>
      <c r="AR171" s="142" t="s">
        <v>2351</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7"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7"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2" customFormat="1" x14ac:dyDescent="0.25">
      <c r="A172" s="64" t="s">
        <v>2612</v>
      </c>
      <c r="B172" s="64" t="s">
        <v>2329</v>
      </c>
      <c r="C172" s="61" t="s">
        <v>1798</v>
      </c>
      <c r="D172" s="43" t="s">
        <v>228</v>
      </c>
      <c r="E172" s="201">
        <v>646321077</v>
      </c>
      <c r="F172" s="263" t="s">
        <v>1780</v>
      </c>
      <c r="G172" s="43" t="s">
        <v>2041</v>
      </c>
      <c r="H172" s="201">
        <v>629118305</v>
      </c>
      <c r="I172" s="43" t="s">
        <v>0</v>
      </c>
      <c r="J172" s="44">
        <v>46072</v>
      </c>
      <c r="K172" s="44"/>
      <c r="L172" s="44"/>
      <c r="M172" s="44"/>
      <c r="N172" s="127">
        <v>46157</v>
      </c>
      <c r="O172" s="128" t="s">
        <v>2133</v>
      </c>
      <c r="P172" s="129" t="s">
        <v>2491</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8"/>
      <c r="AP172" s="144" t="str">
        <f t="shared" ca="1" si="37"/>
        <v/>
      </c>
      <c r="AQ172" s="142" t="s">
        <v>2358</v>
      </c>
      <c r="AR172" s="142" t="s">
        <v>2351</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7"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7"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2" customFormat="1" x14ac:dyDescent="0.25">
      <c r="A173" s="64" t="s">
        <v>2613</v>
      </c>
      <c r="B173" s="64" t="s">
        <v>2331</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2499</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8"/>
      <c r="AP173" s="144" t="str">
        <f t="shared" ca="1" si="37"/>
        <v/>
      </c>
      <c r="AQ173" s="142" t="s">
        <v>2358</v>
      </c>
      <c r="AR173" s="142" t="s">
        <v>2351</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7"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7"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2" customFormat="1" x14ac:dyDescent="0.25">
      <c r="A174" s="75" t="s">
        <v>2592</v>
      </c>
      <c r="B174" s="75" t="s">
        <v>2333</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2451</v>
      </c>
      <c r="P174" s="126" t="s">
        <v>2505</v>
      </c>
      <c r="Q174" s="65">
        <v>46031</v>
      </c>
      <c r="R174" s="65">
        <v>46100</v>
      </c>
      <c r="S174" s="65">
        <v>46127</v>
      </c>
      <c r="T174" s="65"/>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8"/>
      <c r="AP174" s="144" t="str">
        <f t="shared" ca="1" si="37"/>
        <v/>
      </c>
      <c r="AQ174" s="142" t="s">
        <v>2358</v>
      </c>
      <c r="AR174" s="142" t="s">
        <v>2351</v>
      </c>
      <c r="AS174" s="57" t="str">
        <f t="shared" si="30"/>
        <v>---</v>
      </c>
      <c r="AT174" s="141" t="str">
        <f t="shared" si="31"/>
        <v xml:space="preserve">PLAN CINCO CCPP C Sextante 4 - </v>
      </c>
      <c r="AU174" s="141" t="str">
        <f t="shared" ca="1" si="32"/>
        <v/>
      </c>
      <c r="AV174" s="257" t="str">
        <f t="shared" ca="1" si="33"/>
        <v/>
      </c>
      <c r="AW174" s="257" t="str">
        <f t="shared" si="34"/>
        <v/>
      </c>
      <c r="AX174" s="141" t="s">
        <v>1410</v>
      </c>
      <c r="AY174" s="142"/>
    </row>
    <row r="175" spans="1:51" s="262" customFormat="1" x14ac:dyDescent="0.25">
      <c r="A175" s="75" t="s">
        <v>2592</v>
      </c>
      <c r="B175" s="75" t="s">
        <v>2334</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8"/>
      <c r="AP175" s="144" t="str">
        <f t="shared" ca="1" si="37"/>
        <v/>
      </c>
      <c r="AQ175" s="142" t="s">
        <v>2358</v>
      </c>
      <c r="AR175" s="142" t="s">
        <v>2351</v>
      </c>
      <c r="AS175" s="57" t="str">
        <f t="shared" si="30"/>
        <v>---</v>
      </c>
      <c r="AT175" s="141" t="str">
        <f t="shared" si="31"/>
        <v xml:space="preserve">PLAN CINCO CCPP C Sinaí 39 - </v>
      </c>
      <c r="AU175" s="141" t="str">
        <f t="shared" ca="1" si="32"/>
        <v/>
      </c>
      <c r="AV175" s="257" t="str">
        <f t="shared" ca="1" si="33"/>
        <v/>
      </c>
      <c r="AW175" s="257" t="str">
        <f t="shared" si="34"/>
        <v/>
      </c>
      <c r="AX175" s="141" t="s">
        <v>1410</v>
      </c>
      <c r="AY175" s="142"/>
    </row>
    <row r="176" spans="1:51" s="262" customFormat="1" x14ac:dyDescent="0.25">
      <c r="A176" s="64" t="s">
        <v>2592</v>
      </c>
      <c r="B176" s="64" t="s">
        <v>2336</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2499</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8"/>
      <c r="AP176" s="144" t="str">
        <f t="shared" ca="1" si="37"/>
        <v/>
      </c>
      <c r="AQ176" s="142" t="s">
        <v>2358</v>
      </c>
      <c r="AR176" s="142" t="s">
        <v>2351</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7"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7"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2" customFormat="1" x14ac:dyDescent="0.25">
      <c r="A177" s="75" t="s">
        <v>2592</v>
      </c>
      <c r="B177" s="75" t="s">
        <v>2337</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2390</v>
      </c>
      <c r="P177" s="126" t="s">
        <v>2498</v>
      </c>
      <c r="Q177" s="65">
        <v>46078</v>
      </c>
      <c r="R177" s="65"/>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2420</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8"/>
      <c r="AP177" s="144" t="str">
        <f t="shared" ca="1" si="37"/>
        <v>SI</v>
      </c>
      <c r="AQ177" s="142" t="s">
        <v>2358</v>
      </c>
      <c r="AR177" s="142" t="s">
        <v>2351</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7"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7"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2" customFormat="1" x14ac:dyDescent="0.25">
      <c r="A178" s="64" t="s">
        <v>2592</v>
      </c>
      <c r="B178" s="64" t="s">
        <v>2325</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8"/>
      <c r="AP178" s="144" t="str">
        <f t="shared" ca="1" si="37"/>
        <v/>
      </c>
      <c r="AQ178" s="142" t="s">
        <v>2358</v>
      </c>
      <c r="AR178" s="142" t="s">
        <v>2351</v>
      </c>
      <c r="AS178" s="57" t="str">
        <f t="shared" si="30"/>
        <v>---</v>
      </c>
      <c r="AT178" s="141" t="str">
        <f t="shared" si="31"/>
        <v xml:space="preserve">PLAN CINCO CCPP C Teba 4 - </v>
      </c>
      <c r="AU178" s="141" t="str">
        <f t="shared" ca="1" si="32"/>
        <v/>
      </c>
      <c r="AV178" s="257" t="str">
        <f t="shared" ca="1" si="33"/>
        <v/>
      </c>
      <c r="AW178" s="257" t="str">
        <f t="shared" si="34"/>
        <v/>
      </c>
      <c r="AX178" s="141" t="s">
        <v>1410</v>
      </c>
      <c r="AY178" s="142"/>
    </row>
    <row r="179" spans="1:51" s="262" customFormat="1" x14ac:dyDescent="0.25">
      <c r="A179" s="64" t="s">
        <v>2592</v>
      </c>
      <c r="B179" s="64" t="s">
        <v>2339</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2499</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8"/>
      <c r="AP179" s="144" t="str">
        <f t="shared" ca="1" si="37"/>
        <v/>
      </c>
      <c r="AQ179" s="142" t="s">
        <v>2358</v>
      </c>
      <c r="AR179" s="142" t="s">
        <v>2351</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7"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7"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2" customFormat="1" x14ac:dyDescent="0.25">
      <c r="A180" s="64" t="s">
        <v>2592</v>
      </c>
      <c r="B180" s="64" t="s">
        <v>2326</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8"/>
      <c r="AP180" s="144" t="str">
        <f t="shared" ca="1" si="37"/>
        <v/>
      </c>
      <c r="AQ180" s="142" t="s">
        <v>2358</v>
      </c>
      <c r="AR180" s="142" t="s">
        <v>2351</v>
      </c>
      <c r="AS180" s="57" t="str">
        <f t="shared" si="30"/>
        <v>---</v>
      </c>
      <c r="AT180" s="141" t="str">
        <f t="shared" si="31"/>
        <v xml:space="preserve">PLAN CINCO CCPP C Teodosio 59 - </v>
      </c>
      <c r="AU180" s="141" t="str">
        <f t="shared" ca="1" si="32"/>
        <v/>
      </c>
      <c r="AV180" s="257" t="str">
        <f t="shared" ca="1" si="33"/>
        <v/>
      </c>
      <c r="AW180" s="257" t="str">
        <f t="shared" si="34"/>
        <v/>
      </c>
      <c r="AX180" s="141" t="s">
        <v>1410</v>
      </c>
      <c r="AY180" s="142"/>
    </row>
    <row r="181" spans="1:51" s="262" customFormat="1" x14ac:dyDescent="0.25">
      <c r="A181" s="64" t="s">
        <v>2592</v>
      </c>
      <c r="B181" s="64" t="s">
        <v>2341</v>
      </c>
      <c r="C181" s="61" t="s">
        <v>2129</v>
      </c>
      <c r="D181" s="43" t="s">
        <v>2057</v>
      </c>
      <c r="E181" s="201">
        <v>654802629</v>
      </c>
      <c r="F181" s="364" t="s">
        <v>2058</v>
      </c>
      <c r="G181" s="203" t="s">
        <v>2156</v>
      </c>
      <c r="H181" s="203" t="s">
        <v>0</v>
      </c>
      <c r="I181" s="122" t="s">
        <v>0</v>
      </c>
      <c r="J181" s="44">
        <v>46041</v>
      </c>
      <c r="K181" s="44">
        <v>46127</v>
      </c>
      <c r="L181" s="44">
        <v>46141</v>
      </c>
      <c r="M181" s="44"/>
      <c r="N181" s="127"/>
      <c r="O181" s="128"/>
      <c r="P181" s="129" t="s">
        <v>2499</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8"/>
      <c r="AP181" s="144" t="str">
        <f t="shared" ca="1" si="37"/>
        <v/>
      </c>
      <c r="AQ181" s="142" t="s">
        <v>2358</v>
      </c>
      <c r="AR181" s="142" t="s">
        <v>2351</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7"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7"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2" customFormat="1" x14ac:dyDescent="0.25">
      <c r="A182" s="64" t="s">
        <v>2594</v>
      </c>
      <c r="B182" s="64" t="s">
        <v>2342</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2389</v>
      </c>
      <c r="P182" s="126" t="s">
        <v>2499</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8"/>
      <c r="AP182" s="144" t="str">
        <f t="shared" ca="1" si="37"/>
        <v>SI</v>
      </c>
      <c r="AQ182" s="142" t="s">
        <v>2358</v>
      </c>
      <c r="AR182" s="142" t="s">
        <v>2351</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7"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7"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2" customFormat="1" x14ac:dyDescent="0.25">
      <c r="A183" s="64" t="s">
        <v>2592</v>
      </c>
      <c r="B183" s="64" t="s">
        <v>2343</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2499</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8"/>
      <c r="AP183" s="144" t="str">
        <f t="shared" ca="1" si="37"/>
        <v/>
      </c>
      <c r="AQ183" s="142" t="s">
        <v>2358</v>
      </c>
      <c r="AR183" s="142" t="s">
        <v>2351</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7"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7"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2" customFormat="1" x14ac:dyDescent="0.25">
      <c r="A184" s="64" t="s">
        <v>2593</v>
      </c>
      <c r="B184" s="64" t="s">
        <v>2330</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8"/>
      <c r="AP184" s="144" t="str">
        <f t="shared" ca="1" si="37"/>
        <v/>
      </c>
      <c r="AQ184" s="142" t="s">
        <v>2358</v>
      </c>
      <c r="AR184" s="142" t="s">
        <v>2351</v>
      </c>
      <c r="AS184" s="57" t="str">
        <f t="shared" si="30"/>
        <v>---</v>
      </c>
      <c r="AT184" s="141" t="str">
        <f t="shared" si="31"/>
        <v xml:space="preserve">PLAN CINCO CCPP Pz Venus del Espejo 5 - </v>
      </c>
      <c r="AU184" s="141" t="str">
        <f t="shared" ca="1" si="32"/>
        <v/>
      </c>
      <c r="AV184" s="257" t="str">
        <f t="shared" ca="1" si="33"/>
        <v/>
      </c>
      <c r="AW184" s="257" t="str">
        <f t="shared" si="34"/>
        <v/>
      </c>
      <c r="AX184" s="141" t="s">
        <v>1410</v>
      </c>
      <c r="AY184" s="142"/>
    </row>
    <row r="185" spans="1:51" s="262" customFormat="1" x14ac:dyDescent="0.25">
      <c r="A185" s="64" t="s">
        <v>2592</v>
      </c>
      <c r="B185" s="64" t="s">
        <v>2344</v>
      </c>
      <c r="C185" s="61" t="s">
        <v>1798</v>
      </c>
      <c r="D185" s="43" t="s">
        <v>2063</v>
      </c>
      <c r="E185" s="201">
        <v>679232386</v>
      </c>
      <c r="F185" s="263" t="s">
        <v>2064</v>
      </c>
      <c r="G185" s="43" t="s">
        <v>0</v>
      </c>
      <c r="H185" s="201" t="s">
        <v>0</v>
      </c>
      <c r="I185" s="43" t="s">
        <v>0</v>
      </c>
      <c r="J185" s="44">
        <v>46065</v>
      </c>
      <c r="K185" s="44"/>
      <c r="L185" s="44"/>
      <c r="M185" s="44"/>
      <c r="N185" s="127">
        <v>46157</v>
      </c>
      <c r="O185" s="128" t="s">
        <v>2132</v>
      </c>
      <c r="P185" s="126" t="s">
        <v>2491</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8"/>
      <c r="AP185" s="144" t="str">
        <f t="shared" ca="1" si="37"/>
        <v/>
      </c>
      <c r="AQ185" s="142" t="s">
        <v>2358</v>
      </c>
      <c r="AR185" s="142" t="s">
        <v>2351</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7"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7"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2" customFormat="1" x14ac:dyDescent="0.25">
      <c r="A186" s="64" t="s">
        <v>2608</v>
      </c>
      <c r="B186" s="64" t="s">
        <v>2332</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8"/>
      <c r="AP186" s="144" t="str">
        <f t="shared" ca="1" si="37"/>
        <v/>
      </c>
      <c r="AQ186" s="142" t="s">
        <v>2358</v>
      </c>
      <c r="AR186" s="142" t="s">
        <v>2351</v>
      </c>
      <c r="AS186" s="57" t="str">
        <f t="shared" si="30"/>
        <v>---</v>
      </c>
      <c r="AT186" s="141" t="str">
        <f t="shared" si="31"/>
        <v xml:space="preserve">PLAN CINCO CCPP Pz de Vicente Pastor 7 - </v>
      </c>
      <c r="AU186" s="141" t="str">
        <f t="shared" ca="1" si="32"/>
        <v/>
      </c>
      <c r="AV186" s="257" t="str">
        <f t="shared" ca="1" si="33"/>
        <v/>
      </c>
      <c r="AW186" s="257" t="str">
        <f t="shared" si="34"/>
        <v/>
      </c>
      <c r="AX186" s="141" t="s">
        <v>1410</v>
      </c>
      <c r="AY186" s="142"/>
    </row>
    <row r="187" spans="1:51" s="262" customFormat="1" x14ac:dyDescent="0.25">
      <c r="A187" s="64" t="s">
        <v>2592</v>
      </c>
      <c r="B187" s="64" t="s">
        <v>2345</v>
      </c>
      <c r="C187" s="61" t="s">
        <v>2129</v>
      </c>
      <c r="D187" s="43" t="s">
        <v>1825</v>
      </c>
      <c r="E187" s="201">
        <v>676059612</v>
      </c>
      <c r="F187" s="263" t="s">
        <v>1826</v>
      </c>
      <c r="G187" s="43" t="s">
        <v>0</v>
      </c>
      <c r="H187" s="201" t="s">
        <v>0</v>
      </c>
      <c r="I187" s="43" t="s">
        <v>0</v>
      </c>
      <c r="J187" s="44">
        <v>46055</v>
      </c>
      <c r="K187" s="44"/>
      <c r="L187" s="44"/>
      <c r="M187" s="44"/>
      <c r="N187" s="127">
        <v>46157</v>
      </c>
      <c r="O187" s="128" t="s">
        <v>2127</v>
      </c>
      <c r="P187" s="126" t="s">
        <v>2491</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8"/>
      <c r="AP187" s="144" t="str">
        <f t="shared" ca="1" si="37"/>
        <v/>
      </c>
      <c r="AQ187" s="142" t="s">
        <v>2358</v>
      </c>
      <c r="AR187" s="142" t="s">
        <v>2351</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7"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7"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2" customFormat="1" x14ac:dyDescent="0.25">
      <c r="A188" s="64" t="s">
        <v>2592</v>
      </c>
      <c r="B188" s="64" t="s">
        <v>2346</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2491</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8"/>
      <c r="AP188" s="144" t="str">
        <f t="shared" ca="1" si="37"/>
        <v/>
      </c>
      <c r="AQ188" s="142" t="s">
        <v>2358</v>
      </c>
      <c r="AR188" s="142" t="s">
        <v>2351</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7"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7"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2" customFormat="1" x14ac:dyDescent="0.25">
      <c r="A189" s="64" t="s">
        <v>2592</v>
      </c>
      <c r="B189" s="64" t="s">
        <v>2335</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8"/>
      <c r="AP189" s="144" t="str">
        <f t="shared" ca="1" si="37"/>
        <v/>
      </c>
      <c r="AQ189" s="142" t="s">
        <v>2358</v>
      </c>
      <c r="AR189" s="142" t="s">
        <v>2351</v>
      </c>
      <c r="AS189" s="57" t="str">
        <f t="shared" si="30"/>
        <v>---</v>
      </c>
      <c r="AT189" s="141" t="str">
        <f t="shared" si="31"/>
        <v xml:space="preserve">PLAN CINCO CCPP C Virgen de la Antigua 24 - </v>
      </c>
      <c r="AU189" s="141" t="str">
        <f t="shared" ca="1" si="32"/>
        <v/>
      </c>
      <c r="AV189" s="257" t="str">
        <f t="shared" ca="1" si="33"/>
        <v/>
      </c>
      <c r="AW189" s="257" t="str">
        <f t="shared" si="34"/>
        <v/>
      </c>
      <c r="AX189" s="141" t="s">
        <v>1410</v>
      </c>
      <c r="AY189" s="142"/>
    </row>
    <row r="190" spans="1:51" s="262" customFormat="1" x14ac:dyDescent="0.25">
      <c r="A190" s="75" t="s">
        <v>2592</v>
      </c>
      <c r="B190" s="75" t="s">
        <v>2347</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2448</v>
      </c>
      <c r="P190" s="126" t="s">
        <v>2505</v>
      </c>
      <c r="Q190" s="65">
        <v>46037</v>
      </c>
      <c r="R190" s="65">
        <v>46066</v>
      </c>
      <c r="S190" s="65">
        <v>46098</v>
      </c>
      <c r="T190" s="65"/>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8"/>
      <c r="AP190" s="144" t="str">
        <f t="shared" ca="1" si="37"/>
        <v/>
      </c>
      <c r="AQ190" s="142" t="s">
        <v>2358</v>
      </c>
      <c r="AR190" s="142" t="s">
        <v>2351</v>
      </c>
      <c r="AS190" s="57" t="str">
        <f t="shared" si="30"/>
        <v>---</v>
      </c>
      <c r="AT190" s="141" t="str">
        <f t="shared" si="31"/>
        <v xml:space="preserve">PLAN CINCO CCPP C Virgen de la Antigua 26 - </v>
      </c>
      <c r="AU190" s="141" t="str">
        <f t="shared" ca="1" si="32"/>
        <v/>
      </c>
      <c r="AV190" s="257" t="str">
        <f t="shared" ca="1" si="33"/>
        <v/>
      </c>
      <c r="AW190" s="257" t="str">
        <f t="shared" si="34"/>
        <v/>
      </c>
      <c r="AX190" s="141" t="s">
        <v>1410</v>
      </c>
      <c r="AY190" s="142"/>
    </row>
    <row r="191" spans="1:51" s="262" customFormat="1" x14ac:dyDescent="0.25">
      <c r="A191" s="64" t="s">
        <v>2592</v>
      </c>
      <c r="B191" s="64" t="s">
        <v>2348</v>
      </c>
      <c r="C191" s="61" t="s">
        <v>2129</v>
      </c>
      <c r="D191" s="43" t="s">
        <v>1910</v>
      </c>
      <c r="E191" s="201">
        <v>744615257</v>
      </c>
      <c r="F191" s="263" t="s">
        <v>1911</v>
      </c>
      <c r="G191" s="43" t="s">
        <v>2071</v>
      </c>
      <c r="H191" s="201">
        <v>671461385</v>
      </c>
      <c r="I191" s="43" t="s">
        <v>0</v>
      </c>
      <c r="J191" s="44">
        <v>45918</v>
      </c>
      <c r="K191" s="44"/>
      <c r="L191" s="44"/>
      <c r="M191" s="44"/>
      <c r="N191" s="127">
        <v>46157</v>
      </c>
      <c r="O191" s="128" t="s">
        <v>2133</v>
      </c>
      <c r="P191" s="126" t="s">
        <v>2491</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8"/>
      <c r="AP191" s="144" t="str">
        <f t="shared" ca="1" si="37"/>
        <v/>
      </c>
      <c r="AQ191" s="142" t="s">
        <v>2358</v>
      </c>
      <c r="AR191" s="142" t="s">
        <v>2351</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7"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7"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2" customFormat="1" x14ac:dyDescent="0.25">
      <c r="A192" s="64" t="s">
        <v>2592</v>
      </c>
      <c r="B192" s="64" t="s">
        <v>2338</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8"/>
      <c r="AP192" s="144" t="str">
        <f t="shared" ca="1" si="37"/>
        <v/>
      </c>
      <c r="AQ192" s="142" t="s">
        <v>2358</v>
      </c>
      <c r="AR192" s="142" t="s">
        <v>2351</v>
      </c>
      <c r="AS192" s="57" t="str">
        <f t="shared" si="30"/>
        <v>---</v>
      </c>
      <c r="AT192" s="141" t="str">
        <f t="shared" si="31"/>
        <v xml:space="preserve">PLAN CINCO CCPP C Virgen de la Encarnación 7 - </v>
      </c>
      <c r="AU192" s="141" t="str">
        <f t="shared" ca="1" si="32"/>
        <v/>
      </c>
      <c r="AV192" s="257" t="str">
        <f t="shared" ca="1" si="33"/>
        <v/>
      </c>
      <c r="AW192" s="257" t="str">
        <f t="shared" si="34"/>
        <v/>
      </c>
      <c r="AX192" s="141" t="s">
        <v>1410</v>
      </c>
      <c r="AY192" s="142"/>
    </row>
    <row r="193" spans="1:51" s="262" customFormat="1" x14ac:dyDescent="0.25">
      <c r="A193" s="64" t="s">
        <v>2594</v>
      </c>
      <c r="B193" s="64" t="s">
        <v>2349</v>
      </c>
      <c r="C193" s="61" t="s">
        <v>2129</v>
      </c>
      <c r="D193" s="43" t="s">
        <v>1866</v>
      </c>
      <c r="E193" s="201">
        <v>661592498</v>
      </c>
      <c r="F193" s="263" t="s">
        <v>1867</v>
      </c>
      <c r="G193" s="43" t="s">
        <v>1986</v>
      </c>
      <c r="H193" s="201">
        <v>653181842</v>
      </c>
      <c r="I193" s="43" t="s">
        <v>0</v>
      </c>
      <c r="J193" s="44">
        <v>45902</v>
      </c>
      <c r="K193" s="44"/>
      <c r="L193" s="44"/>
      <c r="M193" s="44"/>
      <c r="N193" s="127">
        <v>46157</v>
      </c>
      <c r="O193" s="128" t="s">
        <v>2133</v>
      </c>
      <c r="P193" s="126" t="s">
        <v>2491</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8"/>
      <c r="AP193" s="144" t="str">
        <f t="shared" ca="1" si="37"/>
        <v/>
      </c>
      <c r="AQ193" s="142" t="s">
        <v>2358</v>
      </c>
      <c r="AR193" s="142" t="s">
        <v>2351</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7"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7"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2" customFormat="1" x14ac:dyDescent="0.25">
      <c r="A194" s="64" t="s">
        <v>2592</v>
      </c>
      <c r="B194" s="64" t="s">
        <v>2340</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8"/>
      <c r="AP194" s="144" t="str">
        <f t="shared" ca="1" si="37"/>
        <v/>
      </c>
      <c r="AQ194" s="142" t="s">
        <v>2358</v>
      </c>
      <c r="AR194" s="142" t="s">
        <v>2351</v>
      </c>
      <c r="AS194" s="57" t="str">
        <f t="shared" si="30"/>
        <v>---</v>
      </c>
      <c r="AT194" s="141" t="str">
        <f t="shared" si="31"/>
        <v xml:space="preserve">PLAN CINCO CCPP C Viseu 5 - </v>
      </c>
      <c r="AU194" s="141" t="str">
        <f t="shared" ca="1" si="32"/>
        <v/>
      </c>
      <c r="AV194" s="257" t="str">
        <f t="shared" ca="1" si="33"/>
        <v/>
      </c>
      <c r="AW194" s="257" t="str">
        <f t="shared" si="34"/>
        <v/>
      </c>
      <c r="AX194" s="141" t="s">
        <v>1410</v>
      </c>
      <c r="AY194" s="142"/>
    </row>
    <row r="195" spans="1:51" s="262" customFormat="1" x14ac:dyDescent="0.25">
      <c r="A195" s="64"/>
      <c r="B195" s="64" t="s">
        <v>2577</v>
      </c>
      <c r="C195" s="61" t="s">
        <v>1798</v>
      </c>
      <c r="D195" s="43" t="s">
        <v>2077</v>
      </c>
      <c r="E195" s="201">
        <v>655995664</v>
      </c>
      <c r="F195" s="263" t="s">
        <v>2078</v>
      </c>
      <c r="G195" s="43" t="s">
        <v>0</v>
      </c>
      <c r="H195" s="201" t="s">
        <v>0</v>
      </c>
      <c r="I195" s="43" t="s">
        <v>0</v>
      </c>
      <c r="J195" s="44">
        <v>45986</v>
      </c>
      <c r="K195" s="44"/>
      <c r="L195" s="44"/>
      <c r="M195" s="44"/>
      <c r="N195" s="127">
        <v>46157</v>
      </c>
      <c r="O195" s="128" t="s">
        <v>2120</v>
      </c>
      <c r="P195" s="126" t="s">
        <v>2491</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8"/>
      <c r="AP195" s="144" t="str">
        <f t="shared" ref="AP195:AP208" ca="1" si="45">IF(AO195="🔒","NO",IF(AND(ISNUMBER(N195),N195&lt;=TODAY(),AS195&lt;&gt;"---"),"SI",""))</f>
        <v/>
      </c>
      <c r="AQ195" s="142" t="s">
        <v>2358</v>
      </c>
      <c r="AR195" s="142" t="s">
        <v>2351</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7"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7"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2" customFormat="1" x14ac:dyDescent="0.25">
      <c r="A196" s="64"/>
      <c r="B196" s="64" t="s">
        <v>2578</v>
      </c>
      <c r="C196" s="61" t="s">
        <v>1798</v>
      </c>
      <c r="D196" s="43" t="s">
        <v>2079</v>
      </c>
      <c r="E196" s="201">
        <v>638413515</v>
      </c>
      <c r="F196" s="263" t="s">
        <v>2080</v>
      </c>
      <c r="G196" s="43" t="s">
        <v>0</v>
      </c>
      <c r="H196" s="201" t="s">
        <v>0</v>
      </c>
      <c r="I196" s="43" t="s">
        <v>0</v>
      </c>
      <c r="J196" s="44">
        <v>45994</v>
      </c>
      <c r="K196" s="44"/>
      <c r="L196" s="44"/>
      <c r="M196" s="44"/>
      <c r="N196" s="127">
        <v>46157</v>
      </c>
      <c r="O196" s="128" t="s">
        <v>2137</v>
      </c>
      <c r="P196" s="126" t="s">
        <v>2491</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8"/>
      <c r="AP196" s="144" t="str">
        <f t="shared" ca="1" si="45"/>
        <v/>
      </c>
      <c r="AQ196" s="142" t="s">
        <v>2358</v>
      </c>
      <c r="AR196" s="142" t="s">
        <v>2351</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7"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7"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2" customFormat="1" x14ac:dyDescent="0.25">
      <c r="A197" s="64"/>
      <c r="B197" s="64" t="s">
        <v>2579</v>
      </c>
      <c r="C197" s="61" t="s">
        <v>1798</v>
      </c>
      <c r="D197" s="43" t="s">
        <v>2081</v>
      </c>
      <c r="E197" s="201">
        <v>671586820</v>
      </c>
      <c r="F197" s="263" t="s">
        <v>2082</v>
      </c>
      <c r="G197" s="43" t="s">
        <v>0</v>
      </c>
      <c r="H197" s="201" t="s">
        <v>0</v>
      </c>
      <c r="I197" s="43" t="s">
        <v>0</v>
      </c>
      <c r="J197" s="44">
        <v>46031</v>
      </c>
      <c r="K197" s="44"/>
      <c r="L197" s="44"/>
      <c r="M197" s="44"/>
      <c r="N197" s="127">
        <v>46157</v>
      </c>
      <c r="O197" s="128" t="s">
        <v>2124</v>
      </c>
      <c r="P197" s="126" t="s">
        <v>2491</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8"/>
      <c r="AP197" s="144" t="str">
        <f t="shared" ca="1" si="45"/>
        <v/>
      </c>
      <c r="AQ197" s="142" t="s">
        <v>2358</v>
      </c>
      <c r="AR197" s="142" t="s">
        <v>2351</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7"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7"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2" customFormat="1" x14ac:dyDescent="0.25">
      <c r="A198" s="64"/>
      <c r="B198" s="64" t="s">
        <v>2580</v>
      </c>
      <c r="C198" s="61" t="s">
        <v>1798</v>
      </c>
      <c r="D198" s="43" t="s">
        <v>2083</v>
      </c>
      <c r="E198" s="201">
        <v>659768374</v>
      </c>
      <c r="F198" s="263" t="s">
        <v>2084</v>
      </c>
      <c r="G198" s="43" t="s">
        <v>0</v>
      </c>
      <c r="H198" s="201" t="s">
        <v>0</v>
      </c>
      <c r="I198" s="43" t="s">
        <v>0</v>
      </c>
      <c r="J198" s="44">
        <v>46043</v>
      </c>
      <c r="K198" s="44"/>
      <c r="L198" s="44"/>
      <c r="M198" s="44"/>
      <c r="N198" s="127">
        <v>46157</v>
      </c>
      <c r="O198" s="128" t="s">
        <v>2136</v>
      </c>
      <c r="P198" s="126" t="s">
        <v>2491</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8"/>
      <c r="AP198" s="144" t="str">
        <f t="shared" ca="1" si="45"/>
        <v/>
      </c>
      <c r="AQ198" s="142" t="s">
        <v>2358</v>
      </c>
      <c r="AR198" s="142" t="s">
        <v>2351</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7"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7"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2" customFormat="1" x14ac:dyDescent="0.25">
      <c r="A199" s="64"/>
      <c r="B199" s="64" t="s">
        <v>2581</v>
      </c>
      <c r="C199" s="61" t="s">
        <v>1798</v>
      </c>
      <c r="D199" s="43" t="s">
        <v>2128</v>
      </c>
      <c r="E199" s="201">
        <v>655151331</v>
      </c>
      <c r="F199" s="263" t="s">
        <v>2086</v>
      </c>
      <c r="G199" s="43" t="s">
        <v>0</v>
      </c>
      <c r="H199" s="201" t="s">
        <v>0</v>
      </c>
      <c r="I199" s="43" t="s">
        <v>0</v>
      </c>
      <c r="J199" s="44">
        <v>46085</v>
      </c>
      <c r="K199" s="44"/>
      <c r="L199" s="44"/>
      <c r="M199" s="44"/>
      <c r="N199" s="127">
        <v>46157</v>
      </c>
      <c r="O199" s="128" t="s">
        <v>2120</v>
      </c>
      <c r="P199" s="126" t="s">
        <v>2491</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8"/>
      <c r="AP199" s="144" t="str">
        <f t="shared" ca="1" si="45"/>
        <v/>
      </c>
      <c r="AQ199" s="142" t="s">
        <v>2358</v>
      </c>
      <c r="AR199" s="142" t="s">
        <v>2351</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7"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7"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2" customFormat="1" x14ac:dyDescent="0.25">
      <c r="A200" s="64"/>
      <c r="B200" s="64" t="s">
        <v>2582</v>
      </c>
      <c r="C200" s="61" t="s">
        <v>1798</v>
      </c>
      <c r="D200" s="43" t="s">
        <v>2087</v>
      </c>
      <c r="E200" s="201">
        <v>654802629</v>
      </c>
      <c r="F200" s="263" t="s">
        <v>2058</v>
      </c>
      <c r="G200" s="43" t="s">
        <v>0</v>
      </c>
      <c r="H200" s="201" t="s">
        <v>0</v>
      </c>
      <c r="I200" s="43" t="s">
        <v>0</v>
      </c>
      <c r="J200" s="44">
        <v>46086</v>
      </c>
      <c r="K200" s="44"/>
      <c r="L200" s="44"/>
      <c r="M200" s="44"/>
      <c r="N200" s="127">
        <v>46157</v>
      </c>
      <c r="O200" s="128" t="s">
        <v>2125</v>
      </c>
      <c r="P200" s="126" t="s">
        <v>2491</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8"/>
      <c r="AP200" s="144" t="str">
        <f t="shared" ca="1" si="45"/>
        <v/>
      </c>
      <c r="AQ200" s="142" t="s">
        <v>2358</v>
      </c>
      <c r="AR200" s="142" t="s">
        <v>2351</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7"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7"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2" customFormat="1" x14ac:dyDescent="0.25">
      <c r="A201" s="64"/>
      <c r="B201" s="64" t="s">
        <v>2583</v>
      </c>
      <c r="C201" s="61" t="s">
        <v>1798</v>
      </c>
      <c r="D201" s="43" t="s">
        <v>2090</v>
      </c>
      <c r="E201" s="201">
        <v>664611867</v>
      </c>
      <c r="F201" s="263" t="s">
        <v>2091</v>
      </c>
      <c r="G201" s="43" t="s">
        <v>0</v>
      </c>
      <c r="H201" s="201" t="s">
        <v>0</v>
      </c>
      <c r="I201" s="43" t="s">
        <v>0</v>
      </c>
      <c r="J201" s="44">
        <v>46101</v>
      </c>
      <c r="K201" s="44"/>
      <c r="L201" s="44"/>
      <c r="M201" s="44"/>
      <c r="N201" s="127">
        <v>46157</v>
      </c>
      <c r="O201" s="128" t="s">
        <v>2141</v>
      </c>
      <c r="P201" s="126" t="s">
        <v>2491</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8"/>
      <c r="AP201" s="144" t="str">
        <f t="shared" ca="1" si="45"/>
        <v/>
      </c>
      <c r="AQ201" s="142" t="s">
        <v>2358</v>
      </c>
      <c r="AR201" s="142" t="s">
        <v>2351</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7"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7"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2" customFormat="1" x14ac:dyDescent="0.25">
      <c r="A202" s="64"/>
      <c r="B202" s="64" t="s">
        <v>2584</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2491</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8"/>
      <c r="AP202" s="144" t="str">
        <f t="shared" ca="1" si="45"/>
        <v/>
      </c>
      <c r="AQ202" s="142" t="s">
        <v>2358</v>
      </c>
      <c r="AR202" s="142" t="s">
        <v>2351</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7"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7"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2" customFormat="1" x14ac:dyDescent="0.25">
      <c r="A203" s="64" t="s">
        <v>2614</v>
      </c>
      <c r="B203" s="64" t="s">
        <v>2585</v>
      </c>
      <c r="C203" s="61" t="s">
        <v>1798</v>
      </c>
      <c r="D203" s="43" t="s">
        <v>2122</v>
      </c>
      <c r="E203" s="201">
        <v>601381358</v>
      </c>
      <c r="F203" s="263" t="s">
        <v>2085</v>
      </c>
      <c r="G203" s="43" t="s">
        <v>0</v>
      </c>
      <c r="H203" s="201" t="s">
        <v>0</v>
      </c>
      <c r="I203" s="43" t="s">
        <v>0</v>
      </c>
      <c r="J203" s="44">
        <v>46085</v>
      </c>
      <c r="K203" s="44"/>
      <c r="L203" s="44"/>
      <c r="M203" s="44"/>
      <c r="N203" s="127">
        <v>46157</v>
      </c>
      <c r="O203" s="128" t="s">
        <v>2120</v>
      </c>
      <c r="P203" s="126" t="s">
        <v>2491</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8"/>
      <c r="AP203" s="144" t="str">
        <f t="shared" ca="1" si="45"/>
        <v/>
      </c>
      <c r="AQ203" s="142" t="s">
        <v>2358</v>
      </c>
      <c r="AR203" s="142" t="s">
        <v>2351</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7"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7"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2" customFormat="1" x14ac:dyDescent="0.25">
      <c r="A204" s="64"/>
      <c r="B204" s="64" t="s">
        <v>2586</v>
      </c>
      <c r="C204" s="61" t="s">
        <v>1798</v>
      </c>
      <c r="D204" s="43" t="s">
        <v>2380</v>
      </c>
      <c r="E204" s="203">
        <v>626204408</v>
      </c>
      <c r="F204" s="263" t="s">
        <v>2014</v>
      </c>
      <c r="G204" s="122" t="s">
        <v>0</v>
      </c>
      <c r="H204" s="203" t="s">
        <v>0</v>
      </c>
      <c r="I204" s="122" t="s">
        <v>0</v>
      </c>
      <c r="J204" s="136">
        <v>46108</v>
      </c>
      <c r="K204" s="136"/>
      <c r="L204" s="136"/>
      <c r="M204" s="136"/>
      <c r="N204" s="127">
        <v>46157</v>
      </c>
      <c r="O204" s="128" t="s">
        <v>2381</v>
      </c>
      <c r="P204" s="126" t="s">
        <v>2491</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8"/>
      <c r="AP204" s="144" t="str">
        <f t="shared" ca="1" si="45"/>
        <v/>
      </c>
      <c r="AQ204" s="142" t="s">
        <v>2358</v>
      </c>
      <c r="AR204" s="142" t="s">
        <v>2351</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7"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7"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2" customFormat="1" x14ac:dyDescent="0.25">
      <c r="A205" s="64"/>
      <c r="B205" s="64" t="s">
        <v>2587</v>
      </c>
      <c r="C205" s="61" t="s">
        <v>1798</v>
      </c>
      <c r="D205" s="43" t="s">
        <v>2382</v>
      </c>
      <c r="E205" s="203">
        <v>687811449</v>
      </c>
      <c r="F205" s="263" t="s">
        <v>2383</v>
      </c>
      <c r="G205" s="122" t="s">
        <v>0</v>
      </c>
      <c r="H205" s="203" t="s">
        <v>0</v>
      </c>
      <c r="I205" s="122" t="s">
        <v>0</v>
      </c>
      <c r="J205" s="136">
        <v>46111</v>
      </c>
      <c r="K205" s="136"/>
      <c r="L205" s="136"/>
      <c r="M205" s="136"/>
      <c r="N205" s="127">
        <v>46157</v>
      </c>
      <c r="O205" s="128" t="s">
        <v>2384</v>
      </c>
      <c r="P205" s="126" t="s">
        <v>2491</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8"/>
      <c r="AP205" s="144" t="str">
        <f ca="1">IF(AO205="🔒","NO",IF(AND(ISNUMBER(N205),N205&lt;=TODAY(),AS205&lt;&gt;"---"),"SI",""))</f>
        <v/>
      </c>
      <c r="AQ205" s="142" t="s">
        <v>2358</v>
      </c>
      <c r="AR205" s="142" t="s">
        <v>2351</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7"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7"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2" customFormat="1" x14ac:dyDescent="0.25">
      <c r="A206" s="64" t="s">
        <v>2592</v>
      </c>
      <c r="B206" s="64" t="s">
        <v>2350</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8"/>
      <c r="AP206" s="144" t="str">
        <f t="shared" ca="1" si="45"/>
        <v/>
      </c>
      <c r="AQ206" s="142" t="s">
        <v>2358</v>
      </c>
      <c r="AR206" s="142" t="s">
        <v>2351</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7" t="str">
        <f t="shared" ref="AV206:AV208" ca="1" si="54">IFERROR(
    SUBSTITUTE(
        SUBSTITUTE(
            SUBSTITUTE(
                SUBSTITUTE(
                    SUBSTITUTE(
                        AW206,
                        "{FECHA_ENVIO_CYCP}", TEXT(T206, "dd/mm/aaaa")),
                    "{FECHA_RECIBO_CYCP}", TEXT(U206, "dd/mm/aaaa")),
                "{FECHA+10}", TEXT(T206 + 10, "dd/mm/aaaa")),
            "%CCPP", TEXT(W206, "0%")),
        "%PISOS", TEXT(Y206, "0%")),
    ""
)</f>
        <v/>
      </c>
      <c r="AW206" s="257" t="str">
        <f t="shared" si="50"/>
        <v/>
      </c>
      <c r="AX206" s="141" t="s">
        <v>1410</v>
      </c>
      <c r="AY206" s="142"/>
    </row>
    <row r="207" spans="1:51" s="262" customFormat="1" x14ac:dyDescent="0.25">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8"/>
      <c r="AP207" s="144" t="str">
        <f t="shared" ca="1" si="45"/>
        <v/>
      </c>
      <c r="AQ207" s="142" t="s">
        <v>2358</v>
      </c>
      <c r="AR207" s="142" t="s">
        <v>2351</v>
      </c>
      <c r="AS207" s="57" t="str">
        <f t="shared" si="46"/>
        <v/>
      </c>
      <c r="AT207" s="141" t="str">
        <f t="shared" si="47"/>
        <v xml:space="preserve">PLAN CINCO CCPP </v>
      </c>
      <c r="AU207" s="141" t="str">
        <f t="shared" ca="1" si="53"/>
        <v/>
      </c>
      <c r="AV207" s="257" t="str">
        <f t="shared" ca="1" si="54"/>
        <v/>
      </c>
      <c r="AW207" s="257" t="str">
        <f t="shared" si="50"/>
        <v/>
      </c>
      <c r="AX207" s="141" t="s">
        <v>1410</v>
      </c>
      <c r="AY207" s="142"/>
    </row>
    <row r="208" spans="1:51" s="262" customFormat="1" ht="16.5"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9"/>
      <c r="AP208" s="144" t="str">
        <f t="shared" ca="1" si="45"/>
        <v/>
      </c>
      <c r="AQ208" s="143" t="s">
        <v>2358</v>
      </c>
      <c r="AR208" s="143" t="s">
        <v>2351</v>
      </c>
      <c r="AS208" s="114" t="str">
        <f t="shared" si="46"/>
        <v/>
      </c>
      <c r="AT208" s="143" t="str">
        <f t="shared" si="47"/>
        <v xml:space="preserve">PLAN CINCO CCPP </v>
      </c>
      <c r="AU208" s="230" t="str">
        <f t="shared" ca="1" si="53"/>
        <v/>
      </c>
      <c r="AV208" s="259" t="str">
        <f t="shared" ca="1" si="54"/>
        <v/>
      </c>
      <c r="AW208" s="259" t="str">
        <f t="shared" si="50"/>
        <v/>
      </c>
      <c r="AX208" s="143" t="s">
        <v>1410</v>
      </c>
      <c r="AY208" s="143"/>
    </row>
    <row r="209" spans="1:51" s="262"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2363</v>
      </c>
      <c r="P209" s="179">
        <f>COUNTA(P3:P208)</f>
        <v>204</v>
      </c>
      <c r="Q209" s="154"/>
      <c r="R209" s="154"/>
      <c r="S209" s="154"/>
      <c r="T209" s="154"/>
      <c r="U209" s="154"/>
      <c r="V209" s="155"/>
      <c r="W209" s="156"/>
      <c r="X209" s="156"/>
      <c r="Y209" s="156"/>
      <c r="Z209" s="156"/>
      <c r="AA209" s="271"/>
      <c r="AB209" s="183" t="s">
        <v>2372</v>
      </c>
      <c r="AC209" s="184" t="s">
        <v>2373</v>
      </c>
      <c r="AD209" s="185" t="s">
        <v>2374</v>
      </c>
      <c r="AE209" s="186" t="s">
        <v>2375</v>
      </c>
      <c r="AF209" s="187"/>
      <c r="AG209" s="182"/>
      <c r="AH209" s="188"/>
      <c r="AI209" s="182"/>
      <c r="AJ209" s="188" t="s">
        <v>2378</v>
      </c>
      <c r="AK209" s="187" t="s">
        <v>2377</v>
      </c>
      <c r="AL209" s="182" t="s">
        <v>1434</v>
      </c>
      <c r="AM209" s="116" t="s">
        <v>1728</v>
      </c>
      <c r="AN209" s="116">
        <f>SUM(AM3:AM208)</f>
        <v>39124.020000000004</v>
      </c>
      <c r="AO209" s="280"/>
      <c r="AP209" s="270"/>
      <c r="AQ209" s="266"/>
      <c r="AR209" s="266"/>
      <c r="AS209" s="267"/>
      <c r="AT209" s="268"/>
      <c r="AU209" s="268"/>
      <c r="AV209" s="269"/>
      <c r="AW209" s="269"/>
      <c r="AX209" s="266" t="s">
        <v>1410</v>
      </c>
      <c r="AY209" s="266"/>
    </row>
    <row r="210" spans="1:51" s="262" customFormat="1" ht="16.5" customHeight="1" thickTop="1" x14ac:dyDescent="0.25">
      <c r="A210" s="161"/>
      <c r="B210" s="162"/>
      <c r="C210" s="115"/>
      <c r="D210" s="131"/>
      <c r="E210" s="205"/>
      <c r="F210" s="131"/>
      <c r="G210" s="131"/>
      <c r="H210" s="115"/>
      <c r="I210" s="131"/>
      <c r="J210" s="138"/>
      <c r="K210" s="138"/>
      <c r="L210" s="138"/>
      <c r="M210" s="138"/>
      <c r="N210" s="127"/>
      <c r="O210" s="180" t="s">
        <v>2364</v>
      </c>
      <c r="P210" s="181">
        <f>SUM(
COUNTIF(P3:P208,"*01*"),
COUNTIF(P3:P208,"*02*"),
COUNTIF(P3:P208,"*03*"),
COUNTIF(P3:P208,"*04*"),
COUNTIF(P3:P208,"*ZZ*")
)</f>
        <v>146</v>
      </c>
      <c r="Q210" s="45"/>
      <c r="R210" s="45"/>
      <c r="S210" s="45"/>
      <c r="T210" s="45"/>
      <c r="U210" s="45"/>
      <c r="V210" s="46"/>
      <c r="W210" s="47"/>
      <c r="X210" s="47"/>
      <c r="Y210" s="47"/>
      <c r="Z210" s="47"/>
      <c r="AA210" s="272"/>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7"/>
      <c r="AP210" s="144"/>
      <c r="AQ210" s="141"/>
      <c r="AR210" s="141"/>
      <c r="AS210" s="57"/>
      <c r="AT210" s="229"/>
      <c r="AU210" s="229"/>
      <c r="AV210" s="256"/>
      <c r="AW210" s="256"/>
      <c r="AX210" s="141" t="s">
        <v>1410</v>
      </c>
      <c r="AY210" s="141"/>
    </row>
    <row r="211" spans="1:51" s="262" customFormat="1" ht="16.5" customHeight="1" x14ac:dyDescent="0.25">
      <c r="A211" s="161"/>
      <c r="B211" s="162"/>
      <c r="C211" s="118"/>
      <c r="D211" s="132"/>
      <c r="E211" s="206"/>
      <c r="F211" s="132"/>
      <c r="G211" s="132"/>
      <c r="H211" s="118"/>
      <c r="I211" s="132"/>
      <c r="J211" s="139"/>
      <c r="K211" s="139"/>
      <c r="L211" s="139"/>
      <c r="M211" s="139"/>
      <c r="N211" s="128" t="s">
        <v>2102</v>
      </c>
      <c r="O211" s="163" t="s">
        <v>2360</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2"/>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7"/>
      <c r="AP211" s="144"/>
      <c r="AQ211" s="141"/>
      <c r="AR211" s="141"/>
      <c r="AS211" s="57"/>
      <c r="AT211" s="229"/>
      <c r="AU211" s="229"/>
      <c r="AV211" s="256"/>
      <c r="AW211" s="256"/>
      <c r="AX211" s="141" t="s">
        <v>1410</v>
      </c>
      <c r="AY211" s="141"/>
    </row>
    <row r="212" spans="1:51" s="262" customFormat="1" ht="16.5" customHeight="1" x14ac:dyDescent="0.25">
      <c r="A212" s="159"/>
      <c r="B212" s="160"/>
      <c r="C212" s="120"/>
      <c r="D212" s="133"/>
      <c r="E212" s="207"/>
      <c r="F212" s="133"/>
      <c r="G212" s="133"/>
      <c r="H212" s="120"/>
      <c r="I212" s="133"/>
      <c r="J212" s="140"/>
      <c r="K212" s="140"/>
      <c r="L212" s="140"/>
      <c r="M212" s="140"/>
      <c r="N212" s="127"/>
      <c r="O212" s="163" t="s">
        <v>2361</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2"/>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7"/>
      <c r="AP212" s="144"/>
      <c r="AQ212" s="141"/>
      <c r="AR212" s="141"/>
      <c r="AS212" s="57"/>
      <c r="AT212" s="141"/>
      <c r="AU212" s="141"/>
      <c r="AV212" s="256"/>
      <c r="AW212" s="256"/>
      <c r="AX212" s="141" t="s">
        <v>1410</v>
      </c>
      <c r="AY212" s="141"/>
    </row>
    <row r="213" spans="1:51" s="300" customFormat="1" x14ac:dyDescent="0.25">
      <c r="A213" s="281"/>
      <c r="B213" s="281"/>
      <c r="C213" s="282"/>
      <c r="D213" s="283" t="s">
        <v>0</v>
      </c>
      <c r="E213" s="284" t="s">
        <v>0</v>
      </c>
      <c r="F213" s="283" t="s">
        <v>0</v>
      </c>
      <c r="G213" s="282" t="s">
        <v>0</v>
      </c>
      <c r="H213" s="284" t="s">
        <v>0</v>
      </c>
      <c r="I213" s="282" t="s">
        <v>0</v>
      </c>
      <c r="J213" s="285"/>
      <c r="K213" s="285"/>
      <c r="L213" s="285"/>
      <c r="M213" s="285"/>
      <c r="N213" s="286"/>
      <c r="O213" s="345" t="s">
        <v>2362</v>
      </c>
      <c r="P213" s="346">
        <f>COUNTIF(P3:P208,"*01*")</f>
        <v>47</v>
      </c>
      <c r="Q213" s="286"/>
      <c r="R213" s="286"/>
      <c r="S213" s="286"/>
      <c r="T213" s="286"/>
      <c r="U213" s="286"/>
      <c r="V213" s="287"/>
      <c r="W213" s="288"/>
      <c r="X213" s="288"/>
      <c r="Y213" s="288"/>
      <c r="Z213" s="288"/>
      <c r="AA213" s="289"/>
      <c r="AB213" s="290">
        <f>SUMIF(P3:P208,"*01*",AB3:AB208)</f>
        <v>772.89999999999986</v>
      </c>
      <c r="AC213" s="291">
        <f t="shared" si="55"/>
        <v>386.44999999999993</v>
      </c>
      <c r="AD213" s="292">
        <f t="shared" si="56"/>
        <v>19.322499999999998</v>
      </c>
      <c r="AE213" s="293">
        <f>SUMIF(P3:P208,"*01*",AE3:AE208)</f>
        <v>896725.74719671067</v>
      </c>
      <c r="AF213" s="294"/>
      <c r="AG213" s="294"/>
      <c r="AH213" s="294"/>
      <c r="AI213" s="294"/>
      <c r="AJ213" s="295" t="s">
        <v>0</v>
      </c>
      <c r="AK213" s="295" t="s">
        <v>0</v>
      </c>
      <c r="AL213" s="296" t="s">
        <v>0</v>
      </c>
      <c r="AM213" s="297"/>
      <c r="AN213" s="287"/>
      <c r="AO213" s="287"/>
      <c r="AP213" s="287"/>
      <c r="AQ213" s="298"/>
      <c r="AR213" s="298"/>
      <c r="AS213" s="287"/>
      <c r="AT213" s="298"/>
      <c r="AU213" s="298"/>
      <c r="AV213" s="299"/>
      <c r="AW213" s="299"/>
      <c r="AX213" s="298"/>
      <c r="AY213" s="298"/>
    </row>
    <row r="214" spans="1:51" x14ac:dyDescent="0.25">
      <c r="O214" s="345" t="s">
        <v>2365</v>
      </c>
      <c r="P214" s="346">
        <f>COUNTIF(P3:P208,"*00*")</f>
        <v>58</v>
      </c>
      <c r="AA214" s="309"/>
      <c r="AB214" s="310" t="s">
        <v>0</v>
      </c>
      <c r="AC214" s="311" t="s">
        <v>0</v>
      </c>
      <c r="AD214" s="312" t="s">
        <v>0</v>
      </c>
      <c r="AE214" s="313" t="s">
        <v>0</v>
      </c>
      <c r="AF214" s="314"/>
      <c r="AG214" s="314"/>
      <c r="AH214" s="314"/>
      <c r="AI214" s="314"/>
      <c r="AJ214" s="315" t="s">
        <v>0</v>
      </c>
      <c r="AK214" s="315" t="s">
        <v>0</v>
      </c>
      <c r="AL214" s="316" t="s">
        <v>0</v>
      </c>
      <c r="AT214" s="319"/>
      <c r="AU214" s="319" t="s">
        <v>2508</v>
      </c>
    </row>
    <row r="215" spans="1:51" x14ac:dyDescent="0.25">
      <c r="O215" s="345" t="s">
        <v>2370</v>
      </c>
      <c r="P215" s="347" t="s">
        <v>0</v>
      </c>
      <c r="AA215" s="309"/>
      <c r="AB215" s="321">
        <f>SUMIF(P3:P208,"*04*",AB3:AB208)</f>
        <v>163.20000000000002</v>
      </c>
      <c r="AC215" s="322">
        <f t="shared" si="55"/>
        <v>81.600000000000009</v>
      </c>
      <c r="AD215" s="323">
        <f t="shared" si="56"/>
        <v>4.08</v>
      </c>
      <c r="AE215" s="324">
        <f>SUMIF(P3:P208,"*04*",AE3:AE208)</f>
        <v>170756.38</v>
      </c>
      <c r="AF215" s="314"/>
      <c r="AG215" s="314"/>
      <c r="AH215" s="314"/>
      <c r="AI215" s="314"/>
      <c r="AJ215" s="315">
        <f>SUMIF(P3:P208,"*04*",AJ3:AJ208)</f>
        <v>48494.819999999992</v>
      </c>
      <c r="AK215" s="315">
        <f>SUMIF(P3:P208,"*04*",AK3:AK208)</f>
        <v>30518.62</v>
      </c>
      <c r="AL215" s="325">
        <f>1-(AK215/AJ215)</f>
        <v>0.37068288943025252</v>
      </c>
    </row>
    <row r="216" spans="1:51" x14ac:dyDescent="0.25">
      <c r="O216" s="345" t="s">
        <v>2371</v>
      </c>
      <c r="P216" s="347" t="s">
        <v>0</v>
      </c>
      <c r="AA216" s="309"/>
      <c r="AB216" s="321">
        <f>SUM(
SUMIF(P3:P208,"*02*",AB3:AB208),
SUMIF(P3:P208,"*03*",AB3:AB208),
)</f>
        <v>357.5</v>
      </c>
      <c r="AC216" s="322">
        <f t="shared" si="55"/>
        <v>178.75</v>
      </c>
      <c r="AD216" s="323">
        <f t="shared" si="56"/>
        <v>8.9375</v>
      </c>
      <c r="AE216" s="324">
        <f>SUM(
SUMIF(P3:P208,"*02*",AE3:AE208),
SUMIF(P3:P208,"*03*",AE3:AE208),
)</f>
        <v>480591.7</v>
      </c>
      <c r="AF216" s="314"/>
      <c r="AG216" s="314"/>
      <c r="AH216" s="314"/>
      <c r="AI216" s="314"/>
      <c r="AJ216" s="326" t="s">
        <v>0</v>
      </c>
      <c r="AK216" s="315">
        <f>SUM(
SUMIF(P3:P208,"*02*",AK3:AK208),
SUMIF(P3:P208,"*03*",AK3:AK208),
)</f>
        <v>163473.04</v>
      </c>
      <c r="AL216" s="316" t="s">
        <v>0</v>
      </c>
    </row>
    <row r="217" spans="1:51" x14ac:dyDescent="0.25">
      <c r="O217" s="345" t="s">
        <v>2376</v>
      </c>
      <c r="P217" s="347">
        <f>COUNTIF(P3:P208,"*03*")</f>
        <v>3</v>
      </c>
      <c r="AA217" s="309"/>
      <c r="AB217" s="321">
        <f>SUMIF(P3:P208,"*03*",AB3:AB208)</f>
        <v>40.799999999999997</v>
      </c>
      <c r="AC217" s="327">
        <f t="shared" si="55"/>
        <v>20.399999999999999</v>
      </c>
      <c r="AD217" s="328">
        <f t="shared" si="56"/>
        <v>1.02</v>
      </c>
      <c r="AE217" s="324">
        <f>SUMIF(P3:P208,"*03*",AE3:AE208)</f>
        <v>49379.25</v>
      </c>
      <c r="AF217" s="329"/>
      <c r="AG217" s="329"/>
      <c r="AH217" s="329"/>
      <c r="AI217" s="329"/>
      <c r="AJ217" s="326" t="s">
        <v>0</v>
      </c>
      <c r="AK217" s="326" t="s">
        <v>0</v>
      </c>
      <c r="AL217" s="316" t="s">
        <v>0</v>
      </c>
    </row>
    <row r="218" spans="1:51" x14ac:dyDescent="0.25">
      <c r="P218" s="320"/>
      <c r="AA218" s="309"/>
      <c r="AB218" s="321"/>
      <c r="AC218" s="327"/>
      <c r="AD218" s="328"/>
      <c r="AE218" s="324"/>
      <c r="AF218" s="329"/>
      <c r="AG218" s="329"/>
      <c r="AH218" s="329"/>
      <c r="AI218" s="329"/>
      <c r="AJ218" s="326"/>
      <c r="AK218" s="326"/>
      <c r="AL218" s="316"/>
    </row>
    <row r="219" spans="1:51" x14ac:dyDescent="0.25">
      <c r="O219" s="320" t="s">
        <v>2398</v>
      </c>
      <c r="P219" s="320"/>
      <c r="AR219" s="348" t="s">
        <v>2514</v>
      </c>
      <c r="AS219" s="349" t="s">
        <v>2513</v>
      </c>
      <c r="AT219" s="350" t="s">
        <v>2515</v>
      </c>
      <c r="AU219" s="348" t="s">
        <v>2516</v>
      </c>
      <c r="AV219" s="351" t="s">
        <v>2517</v>
      </c>
      <c r="AW219" s="351"/>
    </row>
    <row r="220" spans="1:51" x14ac:dyDescent="0.25">
      <c r="O220" s="320" t="s">
        <v>2401</v>
      </c>
      <c r="P220" s="320"/>
      <c r="AR220" s="352" t="s">
        <v>2491</v>
      </c>
      <c r="AS220" s="353" t="s">
        <v>2352</v>
      </c>
      <c r="AT220" s="354" t="s">
        <v>2467</v>
      </c>
      <c r="AU220" s="354" t="s">
        <v>2494</v>
      </c>
      <c r="AV220" s="351" t="s">
        <v>2507</v>
      </c>
      <c r="AW220" s="351"/>
    </row>
    <row r="221" spans="1:51" x14ac:dyDescent="0.25">
      <c r="O221" s="320" t="s">
        <v>2400</v>
      </c>
      <c r="P221" s="320"/>
      <c r="AR221" s="352" t="s">
        <v>2098</v>
      </c>
      <c r="AS221" s="353" t="s">
        <v>0</v>
      </c>
      <c r="AT221" s="354"/>
      <c r="AU221" s="354"/>
      <c r="AV221" s="351" t="s">
        <v>1410</v>
      </c>
      <c r="AW221" s="351"/>
    </row>
    <row r="222" spans="1:51" s="331" customFormat="1" x14ac:dyDescent="0.25">
      <c r="A222" s="333"/>
      <c r="B222" s="333"/>
      <c r="C222" s="307"/>
      <c r="D222" s="318"/>
      <c r="E222" s="334"/>
      <c r="F222" s="318"/>
      <c r="G222" s="307"/>
      <c r="H222" s="334"/>
      <c r="I222" s="307"/>
      <c r="J222" s="306"/>
      <c r="K222" s="306"/>
      <c r="L222" s="306"/>
      <c r="M222" s="306"/>
      <c r="N222" s="335"/>
      <c r="O222" s="320" t="s">
        <v>2405</v>
      </c>
      <c r="P222" s="320"/>
      <c r="Q222" s="307"/>
      <c r="R222" s="307"/>
      <c r="S222" s="307"/>
      <c r="T222" s="307"/>
      <c r="U222" s="307"/>
      <c r="V222" s="320"/>
      <c r="W222" s="320"/>
      <c r="X222" s="320"/>
      <c r="Y222" s="320"/>
      <c r="Z222" s="320"/>
      <c r="AA222" s="309"/>
      <c r="AB222" s="336"/>
      <c r="AC222" s="336"/>
      <c r="AD222" s="320"/>
      <c r="AE222" s="337"/>
      <c r="AF222" s="337"/>
      <c r="AG222" s="337"/>
      <c r="AH222" s="337"/>
      <c r="AI222" s="337"/>
      <c r="AJ222" s="337"/>
      <c r="AK222" s="337"/>
      <c r="AL222" s="337"/>
      <c r="AM222" s="337"/>
      <c r="AN222" s="320"/>
      <c r="AO222" s="307"/>
      <c r="AP222" s="307"/>
      <c r="AQ222" s="318"/>
      <c r="AR222" s="352" t="s">
        <v>2404</v>
      </c>
      <c r="AS222" s="353" t="s">
        <v>0</v>
      </c>
      <c r="AT222" s="354"/>
      <c r="AU222" s="354"/>
      <c r="AV222" s="355"/>
      <c r="AW222" s="356"/>
    </row>
    <row r="223" spans="1:51" x14ac:dyDescent="0.25">
      <c r="A223" s="333"/>
      <c r="B223" s="333"/>
      <c r="C223" s="307"/>
      <c r="D223" s="318"/>
      <c r="E223" s="334"/>
      <c r="F223" s="318"/>
      <c r="G223" s="307"/>
      <c r="H223" s="334"/>
      <c r="I223" s="307"/>
      <c r="J223" s="306"/>
      <c r="K223" s="306"/>
      <c r="L223" s="306"/>
      <c r="M223" s="306"/>
      <c r="N223" s="335"/>
      <c r="O223" s="320" t="s">
        <v>23</v>
      </c>
      <c r="P223" s="320"/>
      <c r="Q223" s="307"/>
      <c r="R223" s="307"/>
      <c r="S223" s="307"/>
      <c r="T223" s="307"/>
      <c r="U223" s="307"/>
      <c r="V223" s="320"/>
      <c r="W223" s="320"/>
      <c r="X223" s="320"/>
      <c r="Y223" s="320"/>
      <c r="Z223" s="320"/>
      <c r="AA223" s="309"/>
      <c r="AB223" s="336"/>
      <c r="AC223" s="336"/>
      <c r="AD223" s="320"/>
      <c r="AE223" s="337"/>
      <c r="AF223" s="337"/>
      <c r="AG223" s="337"/>
      <c r="AH223" s="337"/>
      <c r="AI223" s="337"/>
      <c r="AJ223" s="337"/>
      <c r="AK223" s="337"/>
      <c r="AL223" s="337"/>
      <c r="AM223" s="337"/>
      <c r="AN223" s="320"/>
      <c r="AR223" s="357" t="s">
        <v>2496</v>
      </c>
      <c r="AS223" s="349" t="s">
        <v>2353</v>
      </c>
      <c r="AT223" s="358" t="s">
        <v>2468</v>
      </c>
      <c r="AU223" s="359" t="s">
        <v>2470</v>
      </c>
      <c r="AV223" s="355" t="s">
        <v>2509</v>
      </c>
      <c r="AW223" s="355"/>
      <c r="AX223" s="320"/>
      <c r="AY223" s="320"/>
    </row>
    <row r="224" spans="1:51" x14ac:dyDescent="0.25">
      <c r="A224" s="333"/>
      <c r="B224" s="333"/>
      <c r="C224" s="307"/>
      <c r="D224" s="318"/>
      <c r="E224" s="334"/>
      <c r="F224" s="318"/>
      <c r="G224" s="307"/>
      <c r="H224" s="334"/>
      <c r="I224" s="307"/>
      <c r="J224" s="306"/>
      <c r="K224" s="306"/>
      <c r="L224" s="306"/>
      <c r="M224" s="306"/>
      <c r="N224" s="335"/>
      <c r="O224" s="320" t="s">
        <v>2397</v>
      </c>
      <c r="P224" s="320"/>
      <c r="Q224" s="307"/>
      <c r="R224" s="307"/>
      <c r="S224" s="307"/>
      <c r="T224" s="307"/>
      <c r="U224" s="307"/>
      <c r="V224" s="320"/>
      <c r="W224" s="320"/>
      <c r="X224" s="320"/>
      <c r="Y224" s="320"/>
      <c r="Z224" s="320"/>
      <c r="AA224" s="309"/>
      <c r="AB224" s="336"/>
      <c r="AC224" s="336"/>
      <c r="AD224" s="320"/>
      <c r="AE224" s="337"/>
      <c r="AF224" s="337"/>
      <c r="AG224" s="337"/>
      <c r="AH224" s="337"/>
      <c r="AI224" s="337"/>
      <c r="AJ224" s="337"/>
      <c r="AK224" s="337"/>
      <c r="AL224" s="337"/>
      <c r="AM224" s="337"/>
      <c r="AN224" s="320"/>
      <c r="AR224" s="357" t="s">
        <v>2499</v>
      </c>
      <c r="AS224" s="349" t="s">
        <v>2354</v>
      </c>
      <c r="AT224" s="358" t="s">
        <v>2489</v>
      </c>
      <c r="AU224" s="359" t="s">
        <v>2490</v>
      </c>
      <c r="AV224" s="355" t="s">
        <v>2510</v>
      </c>
      <c r="AW224" s="355"/>
      <c r="AX224" s="320"/>
      <c r="AY224" s="320"/>
    </row>
    <row r="225" spans="1:51" x14ac:dyDescent="0.25">
      <c r="A225" s="333"/>
      <c r="B225" s="333"/>
      <c r="C225" s="307"/>
      <c r="D225" s="318"/>
      <c r="E225" s="334"/>
      <c r="F225" s="318"/>
      <c r="G225" s="307"/>
      <c r="H225" s="334"/>
      <c r="I225" s="307"/>
      <c r="J225" s="306"/>
      <c r="K225" s="306"/>
      <c r="L225" s="306"/>
      <c r="M225" s="306"/>
      <c r="N225" s="335"/>
      <c r="P225" s="320"/>
      <c r="Q225" s="307"/>
      <c r="R225" s="307"/>
      <c r="S225" s="307"/>
      <c r="T225" s="307"/>
      <c r="U225" s="307"/>
      <c r="V225" s="320"/>
      <c r="W225" s="320"/>
      <c r="X225" s="320"/>
      <c r="Y225" s="320"/>
      <c r="Z225" s="320"/>
      <c r="AA225" s="309"/>
      <c r="AB225" s="336"/>
      <c r="AC225" s="336"/>
      <c r="AD225" s="320"/>
      <c r="AE225" s="337"/>
      <c r="AF225" s="337"/>
      <c r="AG225" s="337"/>
      <c r="AH225" s="337"/>
      <c r="AI225" s="337"/>
      <c r="AJ225" s="337"/>
      <c r="AK225" s="337"/>
      <c r="AL225" s="337"/>
      <c r="AM225" s="337"/>
      <c r="AN225" s="320"/>
      <c r="AR225" s="357" t="s">
        <v>2506</v>
      </c>
      <c r="AS225" s="349" t="s">
        <v>0</v>
      </c>
      <c r="AT225" s="358"/>
      <c r="AU225" s="359"/>
      <c r="AV225" s="355" t="s">
        <v>1410</v>
      </c>
      <c r="AW225" s="355"/>
      <c r="AX225" s="320"/>
      <c r="AY225" s="320"/>
    </row>
    <row r="226" spans="1:51" ht="409.5" x14ac:dyDescent="0.25">
      <c r="A226" s="333"/>
      <c r="B226" s="333"/>
      <c r="C226" s="307"/>
      <c r="D226" s="318"/>
      <c r="E226" s="334"/>
      <c r="F226" s="318"/>
      <c r="G226" s="307"/>
      <c r="H226" s="334"/>
      <c r="I226" s="307"/>
      <c r="J226" s="306"/>
      <c r="K226" s="306"/>
      <c r="L226" s="306"/>
      <c r="M226" s="306"/>
      <c r="N226" s="335"/>
      <c r="P226" s="320"/>
      <c r="Q226" s="307"/>
      <c r="R226" s="307"/>
      <c r="S226" s="307"/>
      <c r="T226" s="307"/>
      <c r="U226" s="307"/>
      <c r="V226" s="320"/>
      <c r="W226" s="320"/>
      <c r="X226" s="320"/>
      <c r="Y226" s="320"/>
      <c r="Z226" s="320"/>
      <c r="AA226" s="309"/>
      <c r="AB226" s="336"/>
      <c r="AC226" s="336"/>
      <c r="AD226" s="320"/>
      <c r="AE226" s="337"/>
      <c r="AF226" s="337"/>
      <c r="AG226" s="337"/>
      <c r="AH226" s="337"/>
      <c r="AI226" s="337"/>
      <c r="AJ226" s="337"/>
      <c r="AK226" s="337"/>
      <c r="AL226" s="337"/>
      <c r="AM226" s="337"/>
      <c r="AN226" s="320"/>
      <c r="AR226" s="357" t="s">
        <v>2495</v>
      </c>
      <c r="AS226" s="349" t="s">
        <v>2355</v>
      </c>
      <c r="AT226" s="354" t="s">
        <v>2469</v>
      </c>
      <c r="AU226" s="389" t="s">
        <v>2478</v>
      </c>
      <c r="AV226" s="355" t="s">
        <v>2511</v>
      </c>
      <c r="AW226" s="355"/>
      <c r="AX226" s="320"/>
      <c r="AY226" s="320"/>
    </row>
    <row r="227" spans="1:51" x14ac:dyDescent="0.25">
      <c r="A227" s="333"/>
      <c r="B227" s="333"/>
      <c r="C227" s="307"/>
      <c r="D227" s="318"/>
      <c r="E227" s="334"/>
      <c r="F227" s="318"/>
      <c r="G227" s="307"/>
      <c r="H227" s="334"/>
      <c r="I227" s="307"/>
      <c r="J227" s="306"/>
      <c r="K227" s="306"/>
      <c r="L227" s="306"/>
      <c r="M227" s="306"/>
      <c r="N227" s="335"/>
      <c r="P227" s="320"/>
      <c r="Q227" s="307"/>
      <c r="R227" s="307"/>
      <c r="S227" s="307"/>
      <c r="T227" s="307"/>
      <c r="U227" s="307"/>
      <c r="V227" s="320"/>
      <c r="W227" s="320"/>
      <c r="X227" s="320"/>
      <c r="Y227" s="320"/>
      <c r="Z227" s="320"/>
      <c r="AA227" s="309"/>
      <c r="AB227" s="336"/>
      <c r="AC227" s="336"/>
      <c r="AD227" s="320"/>
      <c r="AE227" s="337"/>
      <c r="AF227" s="337"/>
      <c r="AG227" s="337"/>
      <c r="AH227" s="337"/>
      <c r="AI227" s="337"/>
      <c r="AJ227" s="337"/>
      <c r="AK227" s="337"/>
      <c r="AL227" s="337"/>
      <c r="AM227" s="337"/>
      <c r="AN227" s="320"/>
      <c r="AR227" s="357" t="s">
        <v>2498</v>
      </c>
      <c r="AS227" s="349" t="s">
        <v>2356</v>
      </c>
      <c r="AT227" s="354" t="s">
        <v>2487</v>
      </c>
      <c r="AU227" s="359" t="s">
        <v>2483</v>
      </c>
      <c r="AV227" s="355" t="s">
        <v>1410</v>
      </c>
      <c r="AW227" s="355"/>
      <c r="AX227" s="320"/>
      <c r="AY227" s="320"/>
    </row>
    <row r="228" spans="1:51" x14ac:dyDescent="0.25">
      <c r="A228" s="333"/>
      <c r="B228" s="333"/>
      <c r="C228" s="307"/>
      <c r="D228" s="318"/>
      <c r="E228" s="334"/>
      <c r="F228" s="318"/>
      <c r="G228" s="307"/>
      <c r="H228" s="334"/>
      <c r="I228" s="307"/>
      <c r="J228" s="306"/>
      <c r="K228" s="306"/>
      <c r="L228" s="306"/>
      <c r="M228" s="306"/>
      <c r="N228" s="335"/>
      <c r="P228" s="320"/>
      <c r="Q228" s="307"/>
      <c r="R228" s="307"/>
      <c r="S228" s="307"/>
      <c r="T228" s="307"/>
      <c r="U228" s="307"/>
      <c r="V228" s="320"/>
      <c r="W228" s="320"/>
      <c r="X228" s="320"/>
      <c r="Y228" s="320"/>
      <c r="Z228" s="320"/>
      <c r="AA228" s="309"/>
      <c r="AB228" s="336"/>
      <c r="AC228" s="336"/>
      <c r="AD228" s="320"/>
      <c r="AE228" s="337"/>
      <c r="AF228" s="337"/>
      <c r="AG228" s="337"/>
      <c r="AH228" s="337"/>
      <c r="AI228" s="337"/>
      <c r="AJ228" s="337"/>
      <c r="AK228" s="337"/>
      <c r="AL228" s="337"/>
      <c r="AM228" s="337"/>
      <c r="AN228" s="320"/>
      <c r="AR228" s="357" t="s">
        <v>2497</v>
      </c>
      <c r="AS228" s="349" t="s">
        <v>2357</v>
      </c>
      <c r="AT228" s="354" t="s">
        <v>2473</v>
      </c>
      <c r="AU228" s="359" t="s">
        <v>2479</v>
      </c>
      <c r="AV228" s="355" t="s">
        <v>1410</v>
      </c>
      <c r="AW228" s="355"/>
      <c r="AX228" s="320"/>
      <c r="AY228" s="320"/>
    </row>
    <row r="229" spans="1:51" x14ac:dyDescent="0.25">
      <c r="A229" s="339"/>
      <c r="B229" s="339"/>
      <c r="C229" s="340"/>
      <c r="D229" s="332"/>
      <c r="E229" s="341"/>
      <c r="F229" s="332"/>
      <c r="G229" s="340"/>
      <c r="H229" s="341"/>
      <c r="I229" s="340"/>
      <c r="J229" s="342"/>
      <c r="K229" s="342"/>
      <c r="L229" s="342"/>
      <c r="M229" s="342"/>
      <c r="N229" s="335"/>
      <c r="O229" s="342"/>
      <c r="P229" s="320"/>
      <c r="Q229" s="340"/>
      <c r="R229" s="340"/>
      <c r="S229" s="340"/>
      <c r="T229" s="340"/>
      <c r="U229" s="340"/>
      <c r="V229" s="320"/>
      <c r="W229" s="320"/>
      <c r="X229" s="320"/>
      <c r="Y229" s="320"/>
      <c r="Z229" s="320"/>
      <c r="AA229" s="309"/>
      <c r="AB229" s="336"/>
      <c r="AC229" s="336"/>
      <c r="AD229" s="320"/>
      <c r="AE229" s="337"/>
      <c r="AF229" s="337"/>
      <c r="AG229" s="337"/>
      <c r="AH229" s="337"/>
      <c r="AI229" s="337"/>
      <c r="AJ229" s="337"/>
      <c r="AK229" s="337"/>
      <c r="AL229" s="337"/>
      <c r="AM229" s="337"/>
      <c r="AN229" s="320"/>
      <c r="AR229" s="357" t="s">
        <v>2504</v>
      </c>
      <c r="AS229" s="349" t="s">
        <v>0</v>
      </c>
      <c r="AT229" s="354"/>
      <c r="AU229" s="359"/>
      <c r="AV229" s="355" t="s">
        <v>1410</v>
      </c>
      <c r="AW229" s="355"/>
      <c r="AX229" s="320"/>
      <c r="AY229" s="320"/>
    </row>
    <row r="230" spans="1:51" x14ac:dyDescent="0.25">
      <c r="A230" s="339"/>
      <c r="B230" s="339"/>
      <c r="C230" s="340"/>
      <c r="D230" s="332"/>
      <c r="E230" s="341"/>
      <c r="F230" s="332"/>
      <c r="G230" s="340"/>
      <c r="H230" s="341"/>
      <c r="I230" s="340"/>
      <c r="J230" s="342"/>
      <c r="K230" s="342"/>
      <c r="L230" s="342"/>
      <c r="M230" s="342"/>
      <c r="N230" s="335"/>
      <c r="O230" s="342"/>
      <c r="P230" s="320"/>
      <c r="Q230" s="340"/>
      <c r="R230" s="340"/>
      <c r="S230" s="340"/>
      <c r="T230" s="340"/>
      <c r="U230" s="340"/>
      <c r="V230" s="320"/>
      <c r="W230" s="320"/>
      <c r="X230" s="320"/>
      <c r="Y230" s="320"/>
      <c r="Z230" s="320"/>
      <c r="AA230" s="309"/>
      <c r="AB230" s="336"/>
      <c r="AC230" s="336"/>
      <c r="AD230" s="320"/>
      <c r="AE230" s="337"/>
      <c r="AF230" s="337"/>
      <c r="AG230" s="337"/>
      <c r="AH230" s="337"/>
      <c r="AI230" s="337"/>
      <c r="AJ230" s="337"/>
      <c r="AK230" s="337"/>
      <c r="AL230" s="337"/>
      <c r="AM230" s="337"/>
      <c r="AN230" s="320"/>
      <c r="AR230" s="357" t="s">
        <v>2505</v>
      </c>
      <c r="AS230" s="349" t="s">
        <v>0</v>
      </c>
      <c r="AT230" s="354"/>
      <c r="AU230" s="359"/>
      <c r="AV230" s="355" t="s">
        <v>1410</v>
      </c>
      <c r="AW230" s="355"/>
      <c r="AX230" s="320"/>
      <c r="AY230" s="320"/>
    </row>
    <row r="231" spans="1:51" x14ac:dyDescent="0.25">
      <c r="A231" s="339"/>
      <c r="B231" s="339"/>
      <c r="C231" s="340"/>
      <c r="D231" s="332"/>
      <c r="E231" s="341"/>
      <c r="F231" s="332"/>
      <c r="G231" s="340"/>
      <c r="H231" s="341"/>
      <c r="I231" s="340"/>
      <c r="J231" s="342"/>
      <c r="K231" s="342"/>
      <c r="L231" s="342"/>
      <c r="M231" s="342"/>
      <c r="N231" s="335"/>
      <c r="O231" s="342"/>
      <c r="P231" s="320"/>
      <c r="Q231" s="340"/>
      <c r="R231" s="340"/>
      <c r="S231" s="340"/>
      <c r="T231" s="340"/>
      <c r="U231" s="340"/>
      <c r="V231" s="320"/>
      <c r="W231" s="320"/>
      <c r="X231" s="320"/>
      <c r="Y231" s="320"/>
      <c r="Z231" s="320"/>
      <c r="AA231" s="309"/>
      <c r="AB231" s="336"/>
      <c r="AC231" s="336"/>
      <c r="AD231" s="320"/>
      <c r="AE231" s="337"/>
      <c r="AF231" s="337"/>
      <c r="AG231" s="337"/>
      <c r="AH231" s="337"/>
      <c r="AI231" s="337"/>
      <c r="AJ231" s="337"/>
      <c r="AK231" s="337"/>
      <c r="AL231" s="337"/>
      <c r="AM231" s="337"/>
      <c r="AN231" s="320"/>
      <c r="AR231" s="357" t="s">
        <v>2501</v>
      </c>
      <c r="AS231" s="349" t="s">
        <v>2472</v>
      </c>
      <c r="AT231" s="354" t="s">
        <v>2471</v>
      </c>
      <c r="AU231" s="359" t="s">
        <v>2500</v>
      </c>
      <c r="AV231" s="355" t="s">
        <v>1410</v>
      </c>
      <c r="AW231" s="355"/>
      <c r="AX231" s="320"/>
      <c r="AY231" s="320"/>
    </row>
    <row r="232" spans="1:51" x14ac:dyDescent="0.25">
      <c r="A232" s="339"/>
      <c r="B232" s="339"/>
      <c r="C232" s="340"/>
      <c r="D232" s="332"/>
      <c r="E232" s="341"/>
      <c r="F232" s="332"/>
      <c r="G232" s="340"/>
      <c r="H232" s="341"/>
      <c r="I232" s="340"/>
      <c r="J232" s="342"/>
      <c r="K232" s="342"/>
      <c r="L232" s="342"/>
      <c r="M232" s="342"/>
      <c r="N232" s="335"/>
      <c r="O232" s="342"/>
      <c r="P232" s="320"/>
      <c r="Q232" s="340"/>
      <c r="R232" s="340"/>
      <c r="S232" s="340"/>
      <c r="T232" s="340"/>
      <c r="U232" s="340"/>
      <c r="V232" s="320"/>
      <c r="W232" s="320"/>
      <c r="X232" s="320"/>
      <c r="Y232" s="320"/>
      <c r="Z232" s="320"/>
      <c r="AA232" s="309"/>
      <c r="AB232" s="336"/>
      <c r="AC232" s="336"/>
      <c r="AD232" s="320"/>
      <c r="AE232" s="337"/>
      <c r="AF232" s="337"/>
      <c r="AG232" s="337"/>
      <c r="AH232" s="337"/>
      <c r="AI232" s="337"/>
      <c r="AJ232" s="337"/>
      <c r="AK232" s="337"/>
      <c r="AL232" s="337"/>
      <c r="AM232" s="337"/>
      <c r="AN232" s="320"/>
      <c r="AR232" s="357" t="s">
        <v>2502</v>
      </c>
      <c r="AS232" s="349" t="s">
        <v>2474</v>
      </c>
      <c r="AT232" s="354" t="s">
        <v>2486</v>
      </c>
      <c r="AU232" s="359" t="s">
        <v>2484</v>
      </c>
      <c r="AV232" s="355" t="s">
        <v>1410</v>
      </c>
      <c r="AW232" s="355"/>
      <c r="AX232" s="320"/>
      <c r="AY232" s="320"/>
    </row>
    <row r="233" spans="1:51" x14ac:dyDescent="0.25">
      <c r="A233" s="339"/>
      <c r="B233" s="339"/>
      <c r="C233" s="340"/>
      <c r="D233" s="332"/>
      <c r="E233" s="341"/>
      <c r="F233" s="332"/>
      <c r="G233" s="340"/>
      <c r="H233" s="341"/>
      <c r="I233" s="340"/>
      <c r="J233" s="342"/>
      <c r="K233" s="342"/>
      <c r="L233" s="342"/>
      <c r="M233" s="342"/>
      <c r="N233" s="335"/>
      <c r="O233" s="342"/>
      <c r="P233" s="320"/>
      <c r="Q233" s="340"/>
      <c r="R233" s="340"/>
      <c r="S233" s="340"/>
      <c r="T233" s="340"/>
      <c r="U233" s="340"/>
      <c r="V233" s="320"/>
      <c r="W233" s="320"/>
      <c r="X233" s="320"/>
      <c r="Y233" s="320"/>
      <c r="Z233" s="320"/>
      <c r="AA233" s="309"/>
      <c r="AB233" s="336"/>
      <c r="AC233" s="336"/>
      <c r="AD233" s="320"/>
      <c r="AE233" s="337"/>
      <c r="AF233" s="337"/>
      <c r="AG233" s="337"/>
      <c r="AH233" s="337"/>
      <c r="AI233" s="337"/>
      <c r="AJ233" s="337"/>
      <c r="AK233" s="337"/>
      <c r="AL233" s="337"/>
      <c r="AM233" s="337"/>
      <c r="AN233" s="320"/>
      <c r="AR233" s="357" t="s">
        <v>2503</v>
      </c>
      <c r="AS233" s="349" t="s">
        <v>2477</v>
      </c>
      <c r="AT233" s="354" t="s">
        <v>2488</v>
      </c>
      <c r="AU233" s="359" t="s">
        <v>2480</v>
      </c>
      <c r="AV233" s="355" t="s">
        <v>1410</v>
      </c>
      <c r="AW233" s="355"/>
      <c r="AX233" s="320"/>
      <c r="AY233" s="320"/>
    </row>
    <row r="234" spans="1:51" x14ac:dyDescent="0.25">
      <c r="A234" s="333"/>
      <c r="B234" s="333"/>
      <c r="C234" s="307"/>
      <c r="D234" s="318"/>
      <c r="E234" s="334"/>
      <c r="F234" s="318"/>
      <c r="G234" s="307"/>
      <c r="H234" s="334"/>
      <c r="I234" s="307"/>
      <c r="J234" s="306"/>
      <c r="K234" s="306"/>
      <c r="L234" s="306"/>
      <c r="M234" s="306"/>
      <c r="N234" s="335"/>
      <c r="P234" s="320"/>
      <c r="Q234" s="307"/>
      <c r="R234" s="307"/>
      <c r="S234" s="307"/>
      <c r="T234" s="307"/>
      <c r="U234" s="307"/>
      <c r="V234" s="320"/>
      <c r="W234" s="320"/>
      <c r="X234" s="320"/>
      <c r="Y234" s="320"/>
      <c r="Z234" s="320"/>
      <c r="AA234" s="309"/>
      <c r="AB234" s="336"/>
      <c r="AC234" s="336"/>
      <c r="AD234" s="320"/>
      <c r="AE234" s="337"/>
      <c r="AF234" s="337"/>
      <c r="AG234" s="337"/>
      <c r="AH234" s="337"/>
      <c r="AI234" s="337"/>
      <c r="AJ234" s="337"/>
      <c r="AK234" s="337"/>
      <c r="AL234" s="337"/>
      <c r="AM234" s="337"/>
      <c r="AN234" s="320"/>
      <c r="AR234" s="357" t="s">
        <v>2099</v>
      </c>
      <c r="AS234" s="349" t="s">
        <v>0</v>
      </c>
      <c r="AT234" s="354"/>
      <c r="AU234" s="359"/>
      <c r="AV234" s="355" t="s">
        <v>1410</v>
      </c>
      <c r="AW234" s="355"/>
      <c r="AX234" s="320"/>
      <c r="AY234" s="320"/>
    </row>
    <row r="235" spans="1:51" x14ac:dyDescent="0.25">
      <c r="A235" s="333"/>
      <c r="B235" s="333"/>
      <c r="C235" s="307"/>
      <c r="D235" s="318"/>
      <c r="E235" s="334"/>
      <c r="F235" s="318"/>
      <c r="G235" s="307"/>
      <c r="H235" s="334"/>
      <c r="I235" s="307"/>
      <c r="J235" s="306"/>
      <c r="K235" s="306"/>
      <c r="L235" s="306"/>
      <c r="M235" s="306"/>
      <c r="N235" s="335"/>
      <c r="P235" s="320"/>
      <c r="Q235" s="307"/>
      <c r="R235" s="307"/>
      <c r="S235" s="307"/>
      <c r="T235" s="307"/>
      <c r="U235" s="307"/>
      <c r="V235" s="320"/>
      <c r="W235" s="320"/>
      <c r="X235" s="320"/>
      <c r="Y235" s="320"/>
      <c r="Z235" s="320"/>
      <c r="AA235" s="309"/>
      <c r="AB235" s="336"/>
      <c r="AC235" s="336"/>
      <c r="AD235" s="320"/>
      <c r="AE235" s="337"/>
      <c r="AF235" s="337"/>
      <c r="AG235" s="337"/>
      <c r="AH235" s="337"/>
      <c r="AI235" s="337"/>
      <c r="AJ235" s="337"/>
      <c r="AK235" s="337"/>
      <c r="AL235" s="337"/>
      <c r="AM235" s="337"/>
      <c r="AN235" s="320"/>
      <c r="AR235" s="357" t="s">
        <v>2100</v>
      </c>
      <c r="AS235" s="349" t="s">
        <v>0</v>
      </c>
      <c r="AT235" s="354"/>
      <c r="AU235" s="359"/>
      <c r="AV235" s="355" t="s">
        <v>1410</v>
      </c>
      <c r="AW235" s="355"/>
      <c r="AX235" s="320"/>
      <c r="AY235" s="320"/>
    </row>
    <row r="236" spans="1:51" x14ac:dyDescent="0.25">
      <c r="A236" s="339"/>
      <c r="B236" s="339"/>
      <c r="C236" s="340"/>
      <c r="D236" s="332"/>
      <c r="E236" s="341"/>
      <c r="F236" s="332"/>
      <c r="G236" s="340"/>
      <c r="H236" s="341"/>
      <c r="I236" s="340"/>
      <c r="J236" s="342"/>
      <c r="K236" s="342"/>
      <c r="L236" s="342"/>
      <c r="M236" s="342"/>
      <c r="N236" s="335"/>
      <c r="O236" s="342"/>
      <c r="P236" s="320"/>
      <c r="Q236" s="340"/>
      <c r="R236" s="340"/>
      <c r="S236" s="340"/>
      <c r="T236" s="340"/>
      <c r="U236" s="340"/>
      <c r="V236" s="320"/>
      <c r="W236" s="320"/>
      <c r="X236" s="320"/>
      <c r="Y236" s="320"/>
      <c r="Z236" s="320"/>
      <c r="AA236" s="309"/>
      <c r="AB236" s="336"/>
      <c r="AC236" s="336"/>
      <c r="AD236" s="320"/>
      <c r="AE236" s="337"/>
      <c r="AF236" s="337"/>
      <c r="AG236" s="337"/>
      <c r="AH236" s="337"/>
      <c r="AI236" s="337"/>
      <c r="AJ236" s="337"/>
      <c r="AK236" s="337"/>
      <c r="AL236" s="337"/>
      <c r="AM236" s="337"/>
      <c r="AN236" s="320"/>
      <c r="AR236" s="357" t="s">
        <v>2107</v>
      </c>
      <c r="AS236" s="349" t="s">
        <v>0</v>
      </c>
      <c r="AT236" s="354"/>
      <c r="AU236" s="359"/>
      <c r="AV236" s="355" t="s">
        <v>1410</v>
      </c>
      <c r="AW236" s="355"/>
      <c r="AX236" s="320"/>
      <c r="AY236" s="320"/>
    </row>
    <row r="237" spans="1:51" x14ac:dyDescent="0.25">
      <c r="A237" s="333"/>
      <c r="B237" s="333"/>
      <c r="C237" s="307"/>
      <c r="D237" s="318"/>
      <c r="E237" s="334"/>
      <c r="F237" s="318"/>
      <c r="G237" s="307"/>
      <c r="H237" s="334"/>
      <c r="I237" s="307"/>
      <c r="J237" s="306"/>
      <c r="K237" s="306"/>
      <c r="L237" s="306"/>
      <c r="M237" s="306"/>
      <c r="N237" s="335"/>
      <c r="P237" s="320"/>
      <c r="Q237" s="307"/>
      <c r="R237" s="307"/>
      <c r="S237" s="307"/>
      <c r="T237" s="307"/>
      <c r="U237" s="307"/>
      <c r="V237" s="320"/>
      <c r="W237" s="320"/>
      <c r="X237" s="320"/>
      <c r="Y237" s="320"/>
      <c r="Z237" s="320"/>
      <c r="AA237" s="309"/>
      <c r="AB237" s="336"/>
      <c r="AC237" s="336"/>
      <c r="AD237" s="320"/>
      <c r="AE237" s="337"/>
      <c r="AF237" s="337"/>
      <c r="AG237" s="337"/>
      <c r="AH237" s="337"/>
      <c r="AI237" s="337"/>
      <c r="AJ237" s="337"/>
      <c r="AK237" s="337"/>
      <c r="AL237" s="337"/>
      <c r="AM237" s="337"/>
      <c r="AN237" s="320"/>
      <c r="AR237" s="360" t="s">
        <v>2466</v>
      </c>
      <c r="AS237" s="349"/>
      <c r="AT237" s="351" t="s">
        <v>2465</v>
      </c>
      <c r="AU237" s="359" t="s">
        <v>2359</v>
      </c>
      <c r="AV237" s="355" t="s">
        <v>1410</v>
      </c>
      <c r="AW237" s="355"/>
      <c r="AX237" s="320"/>
      <c r="AY237" s="320"/>
    </row>
    <row r="238" spans="1:51" x14ac:dyDescent="0.25">
      <c r="A238" s="333"/>
      <c r="B238" s="333"/>
      <c r="C238" s="307"/>
      <c r="D238" s="318"/>
      <c r="E238" s="334"/>
      <c r="F238" s="318"/>
      <c r="G238" s="307"/>
      <c r="H238" s="334"/>
      <c r="I238" s="307"/>
      <c r="J238" s="306"/>
      <c r="K238" s="306"/>
      <c r="L238" s="306"/>
      <c r="M238" s="306"/>
      <c r="N238" s="335"/>
      <c r="P238" s="320"/>
      <c r="Q238" s="307"/>
      <c r="R238" s="307"/>
      <c r="S238" s="307"/>
      <c r="T238" s="307"/>
      <c r="U238" s="307"/>
      <c r="V238" s="320"/>
      <c r="W238" s="320"/>
      <c r="X238" s="320"/>
      <c r="Y238" s="320"/>
      <c r="Z238" s="320"/>
      <c r="AA238" s="309"/>
      <c r="AB238" s="336"/>
      <c r="AC238" s="336"/>
      <c r="AD238" s="320"/>
      <c r="AE238" s="337"/>
      <c r="AF238" s="337"/>
      <c r="AG238" s="337"/>
      <c r="AH238" s="337"/>
      <c r="AI238" s="337"/>
      <c r="AJ238" s="337"/>
      <c r="AK238" s="337"/>
      <c r="AL238" s="337"/>
      <c r="AM238" s="337"/>
      <c r="AN238" s="320"/>
      <c r="AO238" s="320"/>
      <c r="AP238" s="343"/>
      <c r="AQ238" s="320"/>
      <c r="AR238" s="320"/>
      <c r="AS238" s="343"/>
      <c r="AT238" s="320"/>
      <c r="AU238" s="320"/>
      <c r="AV238" s="338"/>
      <c r="AW238" s="338"/>
      <c r="AX238" s="320"/>
      <c r="AY238" s="320"/>
    </row>
    <row r="239" spans="1:51" x14ac:dyDescent="0.25">
      <c r="A239" s="333"/>
      <c r="B239" s="333"/>
      <c r="C239" s="307"/>
      <c r="D239" s="318"/>
      <c r="E239" s="334"/>
      <c r="F239" s="318"/>
      <c r="G239" s="307"/>
      <c r="H239" s="334"/>
      <c r="I239" s="307"/>
      <c r="J239" s="306"/>
      <c r="K239" s="306"/>
      <c r="L239" s="306"/>
      <c r="M239" s="306"/>
      <c r="N239" s="335"/>
      <c r="P239" s="320"/>
      <c r="Q239" s="307"/>
      <c r="R239" s="307"/>
      <c r="S239" s="307"/>
      <c r="T239" s="307"/>
      <c r="U239" s="307"/>
      <c r="V239" s="320"/>
      <c r="W239" s="320"/>
      <c r="X239" s="320"/>
      <c r="Y239" s="320"/>
      <c r="Z239" s="320"/>
      <c r="AA239" s="309"/>
      <c r="AB239" s="336"/>
      <c r="AC239" s="336"/>
      <c r="AD239" s="320"/>
      <c r="AE239" s="337"/>
      <c r="AF239" s="337"/>
      <c r="AG239" s="337"/>
      <c r="AH239" s="337"/>
      <c r="AI239" s="337"/>
      <c r="AJ239" s="337"/>
      <c r="AK239" s="337"/>
      <c r="AL239" s="337"/>
      <c r="AM239" s="337"/>
      <c r="AN239" s="320"/>
      <c r="AO239" s="320"/>
      <c r="AP239" s="343"/>
      <c r="AQ239" s="320"/>
      <c r="AR239" s="320"/>
      <c r="AS239" s="343"/>
      <c r="AT239" s="320"/>
      <c r="AU239" s="320"/>
      <c r="AV239" s="338"/>
      <c r="AW239" s="338"/>
      <c r="AX239" s="320"/>
      <c r="AY239" s="320"/>
    </row>
    <row r="240" spans="1:51" x14ac:dyDescent="0.25">
      <c r="A240" s="333"/>
      <c r="B240" s="333"/>
      <c r="C240" s="307"/>
      <c r="D240" s="318"/>
      <c r="E240" s="334"/>
      <c r="F240" s="318"/>
      <c r="G240" s="307"/>
      <c r="H240" s="334"/>
      <c r="I240" s="307"/>
      <c r="J240" s="306"/>
      <c r="K240" s="306"/>
      <c r="L240" s="306"/>
      <c r="M240" s="306"/>
      <c r="N240" s="335"/>
      <c r="P240" s="320"/>
      <c r="Q240" s="307"/>
      <c r="R240" s="307"/>
      <c r="S240" s="307"/>
      <c r="T240" s="307"/>
      <c r="U240" s="307"/>
      <c r="V240" s="320"/>
      <c r="W240" s="320"/>
      <c r="X240" s="320"/>
      <c r="Y240" s="320"/>
      <c r="Z240" s="320"/>
      <c r="AA240" s="309"/>
      <c r="AB240" s="336"/>
      <c r="AC240" s="336"/>
      <c r="AD240" s="320"/>
      <c r="AE240" s="337"/>
      <c r="AF240" s="337"/>
      <c r="AG240" s="337"/>
      <c r="AH240" s="337"/>
      <c r="AI240" s="337"/>
      <c r="AJ240" s="337"/>
      <c r="AK240" s="337"/>
      <c r="AL240" s="337"/>
      <c r="AM240" s="337"/>
      <c r="AN240" s="320"/>
      <c r="AO240" s="320"/>
      <c r="AP240" s="343"/>
      <c r="AQ240" s="320"/>
      <c r="AR240" s="320"/>
      <c r="AS240" s="343"/>
      <c r="AT240" s="320"/>
      <c r="AU240" s="320"/>
      <c r="AV240" s="338"/>
      <c r="AW240" s="338"/>
      <c r="AX240" s="320"/>
      <c r="AY240" s="320"/>
    </row>
    <row r="241" spans="1:51" x14ac:dyDescent="0.25">
      <c r="A241" s="333"/>
      <c r="B241" s="333"/>
      <c r="C241" s="307"/>
      <c r="D241" s="318"/>
      <c r="E241" s="334"/>
      <c r="F241" s="318"/>
      <c r="G241" s="307"/>
      <c r="H241" s="334"/>
      <c r="I241" s="307"/>
      <c r="J241" s="306"/>
      <c r="K241" s="306"/>
      <c r="L241" s="306"/>
      <c r="M241" s="306"/>
      <c r="N241" s="335"/>
      <c r="P241" s="320"/>
      <c r="Q241" s="307"/>
      <c r="R241" s="307"/>
      <c r="S241" s="307"/>
      <c r="T241" s="307"/>
      <c r="U241" s="307"/>
      <c r="V241" s="320"/>
      <c r="W241" s="320"/>
      <c r="X241" s="320"/>
      <c r="Y241" s="320"/>
      <c r="Z241" s="320"/>
      <c r="AA241" s="309"/>
      <c r="AB241" s="336"/>
      <c r="AC241" s="336"/>
      <c r="AD241" s="320"/>
      <c r="AE241" s="337"/>
      <c r="AF241" s="337"/>
      <c r="AG241" s="337"/>
      <c r="AH241" s="337"/>
      <c r="AI241" s="337"/>
      <c r="AJ241" s="337"/>
      <c r="AK241" s="337"/>
      <c r="AL241" s="337"/>
      <c r="AM241" s="337"/>
      <c r="AN241" s="320"/>
      <c r="AO241" s="320"/>
      <c r="AP241" s="343"/>
      <c r="AQ241" s="320"/>
      <c r="AR241" s="320"/>
      <c r="AS241" s="343"/>
      <c r="AT241" s="320"/>
      <c r="AU241" s="320"/>
      <c r="AV241" s="338"/>
      <c r="AW241" s="338"/>
      <c r="AX241" s="320"/>
      <c r="AY241" s="320"/>
    </row>
    <row r="242" spans="1:51" x14ac:dyDescent="0.25">
      <c r="A242" s="333"/>
      <c r="B242" s="333"/>
      <c r="C242" s="307"/>
      <c r="D242" s="318" t="s">
        <v>0</v>
      </c>
      <c r="E242" s="334" t="s">
        <v>0</v>
      </c>
      <c r="F242" s="318" t="s">
        <v>0</v>
      </c>
      <c r="G242" s="307" t="s">
        <v>0</v>
      </c>
      <c r="H242" s="334" t="s">
        <v>0</v>
      </c>
      <c r="I242" s="307" t="s">
        <v>0</v>
      </c>
      <c r="J242" s="306"/>
      <c r="K242" s="306"/>
      <c r="L242" s="306"/>
      <c r="M242" s="306"/>
      <c r="N242" s="335"/>
      <c r="P242" s="320"/>
      <c r="Q242" s="307"/>
      <c r="R242" s="307"/>
      <c r="S242" s="307"/>
      <c r="T242" s="307"/>
      <c r="U242" s="307"/>
      <c r="V242" s="320"/>
      <c r="W242" s="320"/>
      <c r="X242" s="320"/>
      <c r="Y242" s="320"/>
      <c r="Z242" s="320"/>
      <c r="AA242" s="309"/>
      <c r="AB242" s="336"/>
      <c r="AC242" s="336"/>
      <c r="AD242" s="320"/>
      <c r="AE242" s="337"/>
      <c r="AF242" s="337"/>
      <c r="AG242" s="337"/>
      <c r="AH242" s="337"/>
      <c r="AI242" s="337"/>
      <c r="AJ242" s="337"/>
      <c r="AK242" s="337"/>
      <c r="AL242" s="337"/>
      <c r="AM242" s="337"/>
      <c r="AN242" s="320"/>
      <c r="AO242" s="320"/>
      <c r="AP242" s="343"/>
      <c r="AQ242" s="320"/>
      <c r="AR242" s="320"/>
      <c r="AS242" s="343"/>
      <c r="AT242" s="320"/>
      <c r="AU242" s="320"/>
      <c r="AV242" s="338"/>
      <c r="AW242" s="338"/>
      <c r="AX242" s="320"/>
      <c r="AY242" s="320"/>
    </row>
    <row r="243" spans="1:51" x14ac:dyDescent="0.25">
      <c r="A243" s="333"/>
      <c r="B243" s="333"/>
      <c r="C243" s="307"/>
      <c r="D243" s="318" t="s">
        <v>0</v>
      </c>
      <c r="E243" s="334" t="s">
        <v>0</v>
      </c>
      <c r="F243" s="318" t="s">
        <v>0</v>
      </c>
      <c r="G243" s="307" t="s">
        <v>0</v>
      </c>
      <c r="H243" s="334" t="s">
        <v>0</v>
      </c>
      <c r="I243" s="307" t="s">
        <v>0</v>
      </c>
      <c r="J243" s="306"/>
      <c r="K243" s="306"/>
      <c r="L243" s="306"/>
      <c r="M243" s="306"/>
      <c r="N243" s="335"/>
      <c r="P243" s="320"/>
      <c r="Q243" s="307"/>
      <c r="R243" s="307"/>
      <c r="S243" s="307"/>
      <c r="T243" s="307"/>
      <c r="U243" s="307"/>
      <c r="V243" s="320"/>
      <c r="W243" s="320"/>
      <c r="X243" s="320"/>
      <c r="Y243" s="320"/>
      <c r="Z243" s="320"/>
      <c r="AA243" s="309"/>
      <c r="AB243" s="336"/>
      <c r="AC243" s="336"/>
      <c r="AD243" s="320"/>
      <c r="AE243" s="337"/>
      <c r="AF243" s="337"/>
      <c r="AG243" s="337"/>
      <c r="AH243" s="337"/>
      <c r="AI243" s="337"/>
      <c r="AJ243" s="337"/>
      <c r="AK243" s="337"/>
      <c r="AL243" s="337"/>
      <c r="AM243" s="337"/>
      <c r="AN243" s="320"/>
      <c r="AO243" s="320"/>
      <c r="AP243" s="343"/>
      <c r="AQ243" s="320"/>
      <c r="AR243" s="320"/>
      <c r="AS243" s="343"/>
      <c r="AT243" s="320"/>
      <c r="AU243" s="320"/>
      <c r="AV243" s="338"/>
      <c r="AW243" s="338"/>
      <c r="AX243" s="320"/>
      <c r="AY243" s="320"/>
    </row>
    <row r="244" spans="1:51" x14ac:dyDescent="0.25">
      <c r="A244" s="333"/>
      <c r="B244" s="333"/>
      <c r="C244" s="307"/>
      <c r="D244" s="318" t="s">
        <v>0</v>
      </c>
      <c r="E244" s="334" t="s">
        <v>0</v>
      </c>
      <c r="F244" s="318" t="s">
        <v>0</v>
      </c>
      <c r="G244" s="307" t="s">
        <v>0</v>
      </c>
      <c r="H244" s="334" t="s">
        <v>0</v>
      </c>
      <c r="I244" s="307" t="s">
        <v>0</v>
      </c>
      <c r="J244" s="306"/>
      <c r="K244" s="306"/>
      <c r="L244" s="306"/>
      <c r="M244" s="306"/>
      <c r="N244" s="335"/>
      <c r="P244" s="320"/>
      <c r="Q244" s="307"/>
      <c r="R244" s="307"/>
      <c r="S244" s="307"/>
      <c r="T244" s="307"/>
      <c r="U244" s="307"/>
      <c r="V244" s="320"/>
      <c r="W244" s="320"/>
      <c r="X244" s="320"/>
      <c r="Y244" s="320"/>
      <c r="Z244" s="320"/>
      <c r="AA244" s="309"/>
      <c r="AB244" s="336"/>
      <c r="AC244" s="336"/>
      <c r="AD244" s="320"/>
      <c r="AE244" s="337"/>
      <c r="AF244" s="337"/>
      <c r="AG244" s="337"/>
      <c r="AH244" s="337"/>
      <c r="AI244" s="337"/>
      <c r="AJ244" s="337"/>
      <c r="AK244" s="337"/>
      <c r="AL244" s="337"/>
      <c r="AM244" s="337"/>
      <c r="AN244" s="320"/>
      <c r="AO244" s="320"/>
      <c r="AP244" s="343"/>
      <c r="AQ244" s="320"/>
      <c r="AR244" s="320"/>
      <c r="AS244" s="343"/>
      <c r="AT244" s="320"/>
      <c r="AU244" s="320"/>
      <c r="AV244" s="338"/>
      <c r="AW244" s="338"/>
      <c r="AX244" s="320"/>
      <c r="AY244" s="320"/>
    </row>
    <row r="245" spans="1:51" x14ac:dyDescent="0.25">
      <c r="A245" s="333"/>
      <c r="B245" s="333"/>
      <c r="C245" s="307"/>
      <c r="D245" s="318" t="s">
        <v>0</v>
      </c>
      <c r="E245" s="334" t="s">
        <v>0</v>
      </c>
      <c r="F245" s="318" t="s">
        <v>0</v>
      </c>
      <c r="G245" s="307" t="s">
        <v>0</v>
      </c>
      <c r="H245" s="334" t="s">
        <v>0</v>
      </c>
      <c r="I245" s="307" t="s">
        <v>0</v>
      </c>
      <c r="J245" s="306"/>
      <c r="K245" s="306"/>
      <c r="L245" s="306"/>
      <c r="M245" s="306"/>
      <c r="N245" s="335"/>
      <c r="P245" s="320"/>
      <c r="Q245" s="307"/>
      <c r="R245" s="307"/>
      <c r="S245" s="307"/>
      <c r="T245" s="307"/>
      <c r="U245" s="307"/>
      <c r="V245" s="320"/>
      <c r="W245" s="320"/>
      <c r="X245" s="320"/>
      <c r="Y245" s="320"/>
      <c r="Z245" s="320"/>
      <c r="AA245" s="309"/>
      <c r="AB245" s="336"/>
      <c r="AC245" s="336"/>
      <c r="AD245" s="320"/>
      <c r="AE245" s="337"/>
      <c r="AF245" s="337"/>
      <c r="AG245" s="337"/>
      <c r="AH245" s="337"/>
      <c r="AI245" s="337"/>
      <c r="AJ245" s="337"/>
      <c r="AK245" s="337"/>
      <c r="AL245" s="337"/>
      <c r="AM245" s="337"/>
      <c r="AN245" s="320"/>
      <c r="AO245" s="320"/>
      <c r="AP245" s="343"/>
      <c r="AQ245" s="320"/>
      <c r="AR245" s="320"/>
      <c r="AS245" s="343"/>
      <c r="AT245" s="320"/>
      <c r="AU245" s="320"/>
      <c r="AV245" s="338"/>
      <c r="AW245" s="338"/>
      <c r="AX245" s="320"/>
      <c r="AY245" s="320"/>
    </row>
    <row r="246" spans="1:51" x14ac:dyDescent="0.25">
      <c r="A246" s="333"/>
      <c r="B246" s="333"/>
      <c r="C246" s="307"/>
      <c r="D246" s="318" t="s">
        <v>0</v>
      </c>
      <c r="E246" s="334" t="s">
        <v>0</v>
      </c>
      <c r="F246" s="318" t="s">
        <v>0</v>
      </c>
      <c r="G246" s="307" t="s">
        <v>0</v>
      </c>
      <c r="H246" s="334" t="s">
        <v>0</v>
      </c>
      <c r="I246" s="307" t="s">
        <v>0</v>
      </c>
      <c r="J246" s="306"/>
      <c r="K246" s="306"/>
      <c r="L246" s="306"/>
      <c r="M246" s="306"/>
      <c r="N246" s="335"/>
      <c r="P246" s="320"/>
      <c r="Q246" s="307"/>
      <c r="R246" s="307"/>
      <c r="S246" s="307"/>
      <c r="T246" s="307"/>
      <c r="U246" s="307"/>
      <c r="V246" s="320"/>
      <c r="W246" s="320"/>
      <c r="X246" s="320"/>
      <c r="Y246" s="320"/>
      <c r="Z246" s="320"/>
      <c r="AA246" s="309"/>
      <c r="AB246" s="336"/>
      <c r="AC246" s="336"/>
      <c r="AD246" s="320"/>
      <c r="AE246" s="337"/>
      <c r="AF246" s="337"/>
      <c r="AG246" s="337"/>
      <c r="AH246" s="337"/>
      <c r="AI246" s="337"/>
      <c r="AJ246" s="337"/>
      <c r="AK246" s="337"/>
      <c r="AL246" s="337"/>
      <c r="AM246" s="337"/>
      <c r="AN246" s="320"/>
      <c r="AO246" s="320"/>
      <c r="AP246" s="343"/>
      <c r="AQ246" s="320"/>
      <c r="AR246" s="320"/>
      <c r="AS246" s="343"/>
      <c r="AT246" s="320"/>
      <c r="AU246" s="320"/>
      <c r="AV246" s="338"/>
      <c r="AW246" s="338"/>
      <c r="AX246" s="320"/>
      <c r="AY246" s="320"/>
    </row>
    <row r="247" spans="1:51" x14ac:dyDescent="0.25">
      <c r="A247" s="333"/>
      <c r="B247" s="333"/>
      <c r="C247" s="307"/>
      <c r="D247" s="318" t="s">
        <v>0</v>
      </c>
      <c r="E247" s="334" t="s">
        <v>0</v>
      </c>
      <c r="F247" s="318" t="s">
        <v>0</v>
      </c>
      <c r="G247" s="307" t="s">
        <v>0</v>
      </c>
      <c r="H247" s="334" t="s">
        <v>0</v>
      </c>
      <c r="I247" s="307" t="s">
        <v>0</v>
      </c>
      <c r="J247" s="306"/>
      <c r="K247" s="306"/>
      <c r="L247" s="306"/>
      <c r="M247" s="306"/>
      <c r="N247" s="335"/>
      <c r="P247" s="320"/>
      <c r="Q247" s="307"/>
      <c r="R247" s="307"/>
      <c r="S247" s="307"/>
      <c r="T247" s="307"/>
      <c r="U247" s="307"/>
      <c r="V247" s="320"/>
      <c r="W247" s="320"/>
      <c r="X247" s="320"/>
      <c r="Y247" s="320"/>
      <c r="Z247" s="320"/>
      <c r="AA247" s="309"/>
      <c r="AB247" s="336"/>
      <c r="AC247" s="336"/>
      <c r="AD247" s="320"/>
      <c r="AE247" s="337"/>
      <c r="AF247" s="337"/>
      <c r="AG247" s="337"/>
      <c r="AH247" s="337"/>
      <c r="AI247" s="337"/>
      <c r="AJ247" s="337"/>
      <c r="AK247" s="337"/>
      <c r="AL247" s="337"/>
      <c r="AM247" s="337"/>
      <c r="AN247" s="320"/>
      <c r="AO247" s="320"/>
      <c r="AP247" s="343"/>
      <c r="AQ247" s="320"/>
      <c r="AR247" s="320"/>
      <c r="AS247" s="343"/>
      <c r="AT247" s="320"/>
      <c r="AU247" s="320"/>
      <c r="AV247" s="338"/>
      <c r="AW247" s="338"/>
      <c r="AX247" s="320"/>
      <c r="AY247" s="320"/>
    </row>
    <row r="248" spans="1:51" x14ac:dyDescent="0.25">
      <c r="A248" s="333"/>
      <c r="B248" s="333"/>
      <c r="C248" s="307"/>
      <c r="D248" s="318" t="s">
        <v>0</v>
      </c>
      <c r="E248" s="334" t="s">
        <v>0</v>
      </c>
      <c r="F248" s="318" t="s">
        <v>0</v>
      </c>
      <c r="G248" s="307" t="s">
        <v>0</v>
      </c>
      <c r="H248" s="334" t="s">
        <v>0</v>
      </c>
      <c r="I248" s="307" t="s">
        <v>0</v>
      </c>
      <c r="J248" s="306"/>
      <c r="K248" s="306"/>
      <c r="L248" s="306"/>
      <c r="M248" s="306"/>
      <c r="N248" s="335"/>
      <c r="O248" s="320"/>
      <c r="P248" s="320"/>
      <c r="Q248" s="307"/>
      <c r="R248" s="307"/>
      <c r="S248" s="307"/>
      <c r="T248" s="307"/>
      <c r="U248" s="307"/>
      <c r="V248" s="320"/>
      <c r="W248" s="320"/>
      <c r="X248" s="320"/>
      <c r="Y248" s="320"/>
      <c r="Z248" s="320"/>
      <c r="AA248" s="309"/>
      <c r="AB248" s="336"/>
      <c r="AC248" s="336"/>
      <c r="AD248" s="320"/>
      <c r="AE248" s="337"/>
      <c r="AF248" s="337"/>
      <c r="AG248" s="337"/>
      <c r="AH248" s="337"/>
      <c r="AI248" s="337"/>
      <c r="AJ248" s="337"/>
      <c r="AK248" s="337"/>
      <c r="AL248" s="337"/>
      <c r="AM248" s="337"/>
      <c r="AN248" s="320"/>
      <c r="AO248" s="320"/>
      <c r="AP248" s="343"/>
      <c r="AQ248" s="320"/>
      <c r="AR248" s="320"/>
      <c r="AS248" s="343"/>
      <c r="AT248" s="320"/>
      <c r="AU248" s="320"/>
      <c r="AV248" s="338"/>
      <c r="AW248" s="338"/>
      <c r="AX248" s="320"/>
      <c r="AY248" s="320"/>
    </row>
    <row r="249" spans="1:51" x14ac:dyDescent="0.25">
      <c r="A249" s="333"/>
      <c r="B249" s="333"/>
      <c r="C249" s="307"/>
      <c r="D249" s="318" t="s">
        <v>0</v>
      </c>
      <c r="E249" s="334" t="s">
        <v>0</v>
      </c>
      <c r="F249" s="318" t="s">
        <v>0</v>
      </c>
      <c r="G249" s="307" t="s">
        <v>0</v>
      </c>
      <c r="H249" s="334" t="s">
        <v>0</v>
      </c>
      <c r="I249" s="307" t="s">
        <v>0</v>
      </c>
      <c r="J249" s="306"/>
      <c r="K249" s="306"/>
      <c r="L249" s="306"/>
      <c r="M249" s="306"/>
      <c r="N249" s="335"/>
      <c r="O249" s="320"/>
      <c r="P249" s="320"/>
      <c r="Q249" s="307"/>
      <c r="R249" s="307"/>
      <c r="S249" s="307"/>
      <c r="T249" s="307"/>
      <c r="U249" s="307"/>
      <c r="V249" s="320"/>
      <c r="W249" s="320"/>
      <c r="X249" s="320"/>
      <c r="Y249" s="320"/>
      <c r="Z249" s="320"/>
      <c r="AA249" s="309"/>
      <c r="AB249" s="336"/>
      <c r="AC249" s="336"/>
      <c r="AD249" s="320"/>
      <c r="AE249" s="337"/>
      <c r="AF249" s="337"/>
      <c r="AG249" s="337"/>
      <c r="AH249" s="337"/>
      <c r="AI249" s="337"/>
      <c r="AJ249" s="337"/>
      <c r="AK249" s="337"/>
      <c r="AL249" s="337"/>
      <c r="AM249" s="337"/>
      <c r="AN249" s="320"/>
      <c r="AO249" s="320"/>
      <c r="AP249" s="343"/>
      <c r="AQ249" s="320"/>
      <c r="AR249" s="320"/>
      <c r="AS249" s="343"/>
      <c r="AT249" s="320"/>
      <c r="AU249" s="320"/>
      <c r="AV249" s="338"/>
      <c r="AW249" s="338"/>
      <c r="AX249" s="320"/>
      <c r="AY249" s="320"/>
    </row>
    <row r="250" spans="1:51" x14ac:dyDescent="0.25">
      <c r="A250" s="333"/>
      <c r="B250" s="333"/>
      <c r="C250" s="307"/>
      <c r="D250" s="318" t="s">
        <v>0</v>
      </c>
      <c r="E250" s="334" t="s">
        <v>0</v>
      </c>
      <c r="F250" s="318" t="s">
        <v>0</v>
      </c>
      <c r="G250" s="307" t="s">
        <v>0</v>
      </c>
      <c r="H250" s="334" t="s">
        <v>0</v>
      </c>
      <c r="I250" s="307" t="s">
        <v>0</v>
      </c>
      <c r="J250" s="306"/>
      <c r="K250" s="306"/>
      <c r="L250" s="306"/>
      <c r="M250" s="306"/>
      <c r="N250" s="335"/>
      <c r="O250" s="320"/>
      <c r="P250" s="320"/>
      <c r="Q250" s="307"/>
      <c r="R250" s="307"/>
      <c r="S250" s="307"/>
      <c r="T250" s="307"/>
      <c r="U250" s="307"/>
      <c r="V250" s="320"/>
      <c r="W250" s="320"/>
      <c r="X250" s="320"/>
      <c r="Y250" s="320"/>
      <c r="Z250" s="320"/>
      <c r="AA250" s="309"/>
      <c r="AB250" s="336"/>
      <c r="AC250" s="336"/>
      <c r="AD250" s="320"/>
      <c r="AE250" s="337"/>
      <c r="AF250" s="337"/>
      <c r="AG250" s="337"/>
      <c r="AH250" s="337"/>
      <c r="AI250" s="337"/>
      <c r="AJ250" s="337"/>
      <c r="AK250" s="337"/>
      <c r="AL250" s="337"/>
      <c r="AM250" s="337"/>
      <c r="AN250" s="320"/>
      <c r="AO250" s="320"/>
      <c r="AP250" s="343"/>
      <c r="AQ250" s="320"/>
      <c r="AR250" s="320"/>
      <c r="AS250" s="343"/>
      <c r="AT250" s="320"/>
      <c r="AU250" s="320"/>
      <c r="AV250" s="338"/>
      <c r="AW250" s="338"/>
      <c r="AX250" s="320"/>
      <c r="AY250" s="320"/>
    </row>
    <row r="251" spans="1:51" x14ac:dyDescent="0.25">
      <c r="A251" s="333"/>
      <c r="B251" s="333"/>
      <c r="C251" s="307"/>
      <c r="D251" s="318" t="s">
        <v>0</v>
      </c>
      <c r="E251" s="334" t="s">
        <v>0</v>
      </c>
      <c r="F251" s="318" t="s">
        <v>0</v>
      </c>
      <c r="G251" s="307" t="s">
        <v>0</v>
      </c>
      <c r="H251" s="334" t="s">
        <v>0</v>
      </c>
      <c r="I251" s="307" t="s">
        <v>0</v>
      </c>
      <c r="J251" s="306"/>
      <c r="K251" s="306"/>
      <c r="L251" s="306"/>
      <c r="M251" s="306"/>
      <c r="N251" s="335"/>
      <c r="O251" s="320"/>
      <c r="P251" s="320"/>
      <c r="Q251" s="307"/>
      <c r="R251" s="307"/>
      <c r="S251" s="307"/>
      <c r="T251" s="307"/>
      <c r="U251" s="307"/>
      <c r="V251" s="320"/>
      <c r="W251" s="320"/>
      <c r="X251" s="320"/>
      <c r="Y251" s="320"/>
      <c r="Z251" s="320"/>
      <c r="AA251" s="309"/>
      <c r="AB251" s="336"/>
      <c r="AC251" s="336"/>
      <c r="AD251" s="320"/>
      <c r="AE251" s="337"/>
      <c r="AF251" s="337"/>
      <c r="AG251" s="337"/>
      <c r="AH251" s="337"/>
      <c r="AI251" s="337"/>
      <c r="AJ251" s="337"/>
      <c r="AK251" s="337"/>
      <c r="AL251" s="337"/>
      <c r="AM251" s="337"/>
      <c r="AN251" s="320"/>
      <c r="AO251" s="320"/>
      <c r="AP251" s="343"/>
      <c r="AQ251" s="320"/>
      <c r="AR251" s="320"/>
      <c r="AS251" s="343"/>
      <c r="AT251" s="320"/>
      <c r="AU251" s="320"/>
      <c r="AV251" s="338"/>
      <c r="AW251" s="338"/>
      <c r="AX251" s="320"/>
      <c r="AY251" s="320"/>
    </row>
    <row r="252" spans="1:51" x14ac:dyDescent="0.25">
      <c r="A252" s="333"/>
      <c r="B252" s="333"/>
      <c r="C252" s="307"/>
      <c r="D252" s="318" t="s">
        <v>0</v>
      </c>
      <c r="E252" s="334" t="s">
        <v>0</v>
      </c>
      <c r="F252" s="318" t="s">
        <v>0</v>
      </c>
      <c r="G252" s="307" t="s">
        <v>0</v>
      </c>
      <c r="H252" s="334" t="s">
        <v>0</v>
      </c>
      <c r="I252" s="307" t="s">
        <v>0</v>
      </c>
      <c r="J252" s="306"/>
      <c r="K252" s="306"/>
      <c r="L252" s="306"/>
      <c r="M252" s="306"/>
      <c r="N252" s="335"/>
      <c r="O252" s="320"/>
      <c r="P252" s="320"/>
      <c r="Q252" s="307"/>
      <c r="R252" s="307"/>
      <c r="S252" s="307"/>
      <c r="T252" s="307"/>
      <c r="U252" s="307"/>
      <c r="V252" s="320"/>
      <c r="W252" s="320"/>
      <c r="X252" s="320"/>
      <c r="Y252" s="320"/>
      <c r="Z252" s="320"/>
      <c r="AA252" s="309"/>
      <c r="AB252" s="336"/>
      <c r="AC252" s="336"/>
      <c r="AD252" s="320"/>
      <c r="AE252" s="337"/>
      <c r="AF252" s="337"/>
      <c r="AG252" s="337"/>
      <c r="AH252" s="337"/>
      <c r="AI252" s="337"/>
      <c r="AJ252" s="337"/>
      <c r="AK252" s="337"/>
      <c r="AL252" s="337"/>
      <c r="AM252" s="337"/>
      <c r="AN252" s="320"/>
      <c r="AO252" s="320"/>
      <c r="AP252" s="343"/>
      <c r="AQ252" s="320"/>
      <c r="AR252" s="320"/>
      <c r="AS252" s="343"/>
      <c r="AT252" s="320"/>
      <c r="AU252" s="320"/>
      <c r="AV252" s="338"/>
      <c r="AW252" s="338"/>
      <c r="AX252" s="320"/>
      <c r="AY252" s="320"/>
    </row>
    <row r="253" spans="1:51" x14ac:dyDescent="0.25">
      <c r="A253" s="333"/>
      <c r="B253" s="333"/>
      <c r="C253" s="307"/>
      <c r="D253" s="318" t="s">
        <v>0</v>
      </c>
      <c r="E253" s="334" t="s">
        <v>0</v>
      </c>
      <c r="F253" s="318" t="s">
        <v>0</v>
      </c>
      <c r="G253" s="307" t="s">
        <v>0</v>
      </c>
      <c r="H253" s="334" t="s">
        <v>0</v>
      </c>
      <c r="I253" s="307" t="s">
        <v>0</v>
      </c>
      <c r="J253" s="306"/>
      <c r="K253" s="306"/>
      <c r="L253" s="306"/>
      <c r="M253" s="306"/>
      <c r="N253" s="335"/>
      <c r="O253" s="320"/>
      <c r="P253" s="320"/>
      <c r="Q253" s="307"/>
      <c r="R253" s="307"/>
      <c r="S253" s="307"/>
      <c r="T253" s="307"/>
      <c r="U253" s="307"/>
      <c r="V253" s="320"/>
      <c r="W253" s="320"/>
      <c r="X253" s="320"/>
      <c r="Y253" s="320"/>
      <c r="Z253" s="320"/>
      <c r="AA253" s="309"/>
      <c r="AB253" s="336"/>
      <c r="AC253" s="336"/>
      <c r="AD253" s="320"/>
      <c r="AE253" s="337"/>
      <c r="AF253" s="337"/>
      <c r="AG253" s="337"/>
      <c r="AH253" s="337"/>
      <c r="AI253" s="337"/>
      <c r="AJ253" s="337"/>
      <c r="AK253" s="337"/>
      <c r="AL253" s="337"/>
      <c r="AM253" s="337"/>
      <c r="AN253" s="320"/>
      <c r="AO253" s="320"/>
      <c r="AP253" s="343"/>
      <c r="AQ253" s="320"/>
      <c r="AR253" s="320"/>
      <c r="AS253" s="343"/>
      <c r="AT253" s="320"/>
      <c r="AU253" s="320"/>
      <c r="AV253" s="338"/>
      <c r="AW253" s="338"/>
      <c r="AX253" s="320"/>
      <c r="AY253" s="320"/>
    </row>
    <row r="254" spans="1:51" x14ac:dyDescent="0.25">
      <c r="N254" s="335"/>
    </row>
    <row r="255" spans="1:51" x14ac:dyDescent="0.25">
      <c r="N255" s="335"/>
    </row>
    <row r="256" spans="1:51" x14ac:dyDescent="0.25">
      <c r="N256" s="335"/>
    </row>
    <row r="257" spans="14:14" x14ac:dyDescent="0.25">
      <c r="N257" s="335"/>
    </row>
    <row r="258" spans="14:14" x14ac:dyDescent="0.25">
      <c r="N258" s="335"/>
    </row>
    <row r="259" spans="14:14" x14ac:dyDescent="0.25">
      <c r="N259" s="335"/>
    </row>
    <row r="260" spans="14:14" x14ac:dyDescent="0.25">
      <c r="N260" s="335"/>
    </row>
    <row r="261" spans="14:14" x14ac:dyDescent="0.25">
      <c r="N261" s="335"/>
    </row>
    <row r="262" spans="14:14" x14ac:dyDescent="0.25">
      <c r="N262" s="335"/>
    </row>
    <row r="263" spans="14:14" x14ac:dyDescent="0.25">
      <c r="N263" s="335"/>
    </row>
    <row r="264" spans="14:14" x14ac:dyDescent="0.25">
      <c r="N264" s="335"/>
    </row>
    <row r="265" spans="14:14" x14ac:dyDescent="0.25">
      <c r="N265" s="335"/>
    </row>
    <row r="266" spans="14:14" x14ac:dyDescent="0.25">
      <c r="N266" s="335"/>
    </row>
    <row r="267" spans="14:14" x14ac:dyDescent="0.25">
      <c r="N267" s="335"/>
    </row>
    <row r="268" spans="14:14" x14ac:dyDescent="0.25">
      <c r="N268" s="335"/>
    </row>
    <row r="269" spans="14:14" x14ac:dyDescent="0.25">
      <c r="N269" s="335"/>
    </row>
    <row r="270" spans="14:14" x14ac:dyDescent="0.25">
      <c r="N270" s="335"/>
    </row>
    <row r="271" spans="14:14" x14ac:dyDescent="0.25">
      <c r="N271" s="335"/>
    </row>
    <row r="272" spans="14:14" x14ac:dyDescent="0.25">
      <c r="N272" s="335"/>
    </row>
    <row r="273" spans="14:14" x14ac:dyDescent="0.25">
      <c r="N273" s="335"/>
    </row>
    <row r="274" spans="14:14" x14ac:dyDescent="0.25">
      <c r="N274" s="335"/>
    </row>
    <row r="275" spans="14:14" x14ac:dyDescent="0.25">
      <c r="N275" s="335"/>
    </row>
    <row r="276" spans="14:14" x14ac:dyDescent="0.25">
      <c r="N276" s="335"/>
    </row>
    <row r="277" spans="14:14" x14ac:dyDescent="0.25">
      <c r="N277" s="335"/>
    </row>
    <row r="278" spans="14:14" x14ac:dyDescent="0.25">
      <c r="N278" s="335"/>
    </row>
    <row r="279" spans="14:14" x14ac:dyDescent="0.25">
      <c r="N279" s="335"/>
    </row>
    <row r="280" spans="14:14" x14ac:dyDescent="0.25">
      <c r="N280" s="335"/>
    </row>
    <row r="281" spans="14:14" x14ac:dyDescent="0.25">
      <c r="N281" s="335"/>
    </row>
    <row r="282" spans="14:14" x14ac:dyDescent="0.25">
      <c r="N282" s="335"/>
    </row>
    <row r="283" spans="14:14" x14ac:dyDescent="0.25">
      <c r="N283" s="335"/>
    </row>
    <row r="284" spans="14:14" x14ac:dyDescent="0.25">
      <c r="N284" s="335"/>
    </row>
    <row r="285" spans="14:14" x14ac:dyDescent="0.25">
      <c r="N285" s="335"/>
    </row>
    <row r="286" spans="14:14" x14ac:dyDescent="0.25">
      <c r="N286" s="335"/>
    </row>
    <row r="287" spans="14:14" x14ac:dyDescent="0.25">
      <c r="N287" s="335"/>
    </row>
    <row r="288" spans="14:14" x14ac:dyDescent="0.25">
      <c r="N288" s="335"/>
    </row>
    <row r="289" spans="14:14" x14ac:dyDescent="0.25">
      <c r="N289" s="335"/>
    </row>
    <row r="290" spans="14:14" x14ac:dyDescent="0.25">
      <c r="N290" s="335"/>
    </row>
    <row r="291" spans="14:14" x14ac:dyDescent="0.25">
      <c r="N291" s="335"/>
    </row>
    <row r="292" spans="14:14" x14ac:dyDescent="0.25">
      <c r="N292" s="335"/>
    </row>
    <row r="293" spans="14:14" x14ac:dyDescent="0.25">
      <c r="N293" s="335"/>
    </row>
    <row r="294" spans="14:14" x14ac:dyDescent="0.25">
      <c r="N294" s="335"/>
    </row>
    <row r="295" spans="14:14" x14ac:dyDescent="0.25">
      <c r="N295" s="335"/>
    </row>
    <row r="296" spans="14:14" x14ac:dyDescent="0.25">
      <c r="N296" s="335"/>
    </row>
    <row r="297" spans="14:14" x14ac:dyDescent="0.25">
      <c r="N297" s="335"/>
    </row>
    <row r="298" spans="14:14" x14ac:dyDescent="0.25">
      <c r="N298" s="335"/>
    </row>
    <row r="299" spans="14:14" x14ac:dyDescent="0.25">
      <c r="N299" s="335"/>
    </row>
    <row r="300" spans="14:14" x14ac:dyDescent="0.25">
      <c r="N300" s="335"/>
    </row>
    <row r="301" spans="14:14" x14ac:dyDescent="0.25">
      <c r="N301" s="335"/>
    </row>
    <row r="302" spans="14:14" x14ac:dyDescent="0.25">
      <c r="N302" s="335"/>
    </row>
    <row r="303" spans="14:14" x14ac:dyDescent="0.25">
      <c r="N303" s="335"/>
    </row>
    <row r="304" spans="14:14" x14ac:dyDescent="0.25">
      <c r="N304" s="335"/>
    </row>
    <row r="305" spans="14:14" x14ac:dyDescent="0.25">
      <c r="N305" s="335"/>
    </row>
    <row r="306" spans="14:14" x14ac:dyDescent="0.25">
      <c r="N306" s="335"/>
    </row>
    <row r="307" spans="14:14" x14ac:dyDescent="0.25">
      <c r="N307" s="335"/>
    </row>
    <row r="308" spans="14:14" x14ac:dyDescent="0.25">
      <c r="N308" s="335"/>
    </row>
    <row r="309" spans="14:14" x14ac:dyDescent="0.25">
      <c r="N309" s="335"/>
    </row>
    <row r="310" spans="14:14" x14ac:dyDescent="0.25">
      <c r="N310" s="335"/>
    </row>
    <row r="311" spans="14:14" x14ac:dyDescent="0.25">
      <c r="N311" s="335"/>
    </row>
    <row r="312" spans="14:14" x14ac:dyDescent="0.25">
      <c r="N312" s="335"/>
    </row>
    <row r="313" spans="14:14" x14ac:dyDescent="0.25">
      <c r="N313" s="335"/>
    </row>
    <row r="314" spans="14:14" x14ac:dyDescent="0.25">
      <c r="N314" s="335"/>
    </row>
    <row r="315" spans="14:14" x14ac:dyDescent="0.25">
      <c r="N315" s="335"/>
    </row>
    <row r="316" spans="14:14" x14ac:dyDescent="0.25">
      <c r="N316" s="335"/>
    </row>
    <row r="317" spans="14:14" x14ac:dyDescent="0.25">
      <c r="N317" s="335"/>
    </row>
    <row r="318" spans="14:14" x14ac:dyDescent="0.25">
      <c r="N318" s="335"/>
    </row>
    <row r="319" spans="14:14" x14ac:dyDescent="0.25">
      <c r="N319" s="335"/>
    </row>
    <row r="320" spans="14:14" x14ac:dyDescent="0.25">
      <c r="N320" s="335"/>
    </row>
    <row r="321" spans="14:14" x14ac:dyDescent="0.25">
      <c r="N321" s="335"/>
    </row>
    <row r="322" spans="14:14" x14ac:dyDescent="0.25">
      <c r="N322" s="335"/>
    </row>
    <row r="323" spans="14:14" x14ac:dyDescent="0.25">
      <c r="N323" s="335"/>
    </row>
    <row r="324" spans="14:14" x14ac:dyDescent="0.25">
      <c r="N324" s="335"/>
    </row>
    <row r="325" spans="14:14" x14ac:dyDescent="0.25">
      <c r="N325" s="335"/>
    </row>
    <row r="326" spans="14:14" x14ac:dyDescent="0.25">
      <c r="N326" s="335"/>
    </row>
    <row r="327" spans="14:14" x14ac:dyDescent="0.25">
      <c r="N327" s="335"/>
    </row>
    <row r="328" spans="14:14" x14ac:dyDescent="0.25">
      <c r="N328" s="335"/>
    </row>
    <row r="329" spans="14:14" x14ac:dyDescent="0.25">
      <c r="N329" s="335"/>
    </row>
    <row r="330" spans="14:14" x14ac:dyDescent="0.25">
      <c r="N330" s="335"/>
    </row>
    <row r="331" spans="14:14" x14ac:dyDescent="0.25">
      <c r="N331" s="335"/>
    </row>
    <row r="332" spans="14:14" x14ac:dyDescent="0.25">
      <c r="N332" s="335"/>
    </row>
    <row r="333" spans="14:14" x14ac:dyDescent="0.25">
      <c r="N333" s="335"/>
    </row>
    <row r="334" spans="14:14" x14ac:dyDescent="0.25">
      <c r="N334" s="335"/>
    </row>
    <row r="335" spans="14:14" x14ac:dyDescent="0.25">
      <c r="N335" s="335"/>
    </row>
    <row r="336" spans="14:14" x14ac:dyDescent="0.25">
      <c r="N336" s="335"/>
    </row>
    <row r="337" spans="14:14" x14ac:dyDescent="0.25">
      <c r="N337" s="335"/>
    </row>
    <row r="338" spans="14:14" x14ac:dyDescent="0.25">
      <c r="N338" s="335"/>
    </row>
    <row r="339" spans="14:14" x14ac:dyDescent="0.25">
      <c r="N339" s="335"/>
    </row>
    <row r="340" spans="14:14" x14ac:dyDescent="0.25">
      <c r="N340" s="335"/>
    </row>
    <row r="341" spans="14:14" x14ac:dyDescent="0.25">
      <c r="N341" s="335"/>
    </row>
    <row r="342" spans="14:14" x14ac:dyDescent="0.25">
      <c r="N342" s="335"/>
    </row>
    <row r="343" spans="14:14" x14ac:dyDescent="0.25">
      <c r="N343" s="335"/>
    </row>
    <row r="344" spans="14:14" x14ac:dyDescent="0.25">
      <c r="N344" s="335"/>
    </row>
    <row r="345" spans="14:14" x14ac:dyDescent="0.25">
      <c r="N345" s="335"/>
    </row>
    <row r="346" spans="14:14" x14ac:dyDescent="0.25">
      <c r="N346" s="335"/>
    </row>
    <row r="347" spans="14:14" x14ac:dyDescent="0.25">
      <c r="N347" s="335"/>
    </row>
    <row r="348" spans="14:14" x14ac:dyDescent="0.25">
      <c r="N348" s="335"/>
    </row>
    <row r="349" spans="14:14" x14ac:dyDescent="0.25">
      <c r="N349" s="335"/>
    </row>
    <row r="350" spans="14:14" x14ac:dyDescent="0.25">
      <c r="N350" s="335"/>
    </row>
    <row r="351" spans="14:14" x14ac:dyDescent="0.25">
      <c r="N351" s="335"/>
    </row>
    <row r="352" spans="14:14" x14ac:dyDescent="0.25">
      <c r="N352" s="335"/>
    </row>
    <row r="353" spans="14:14" x14ac:dyDescent="0.25">
      <c r="N353" s="335"/>
    </row>
    <row r="354" spans="14:14" x14ac:dyDescent="0.25">
      <c r="N354" s="335"/>
    </row>
    <row r="355" spans="14:14" x14ac:dyDescent="0.25">
      <c r="N355" s="335"/>
    </row>
    <row r="356" spans="14:14" x14ac:dyDescent="0.25">
      <c r="N356" s="335"/>
    </row>
    <row r="357" spans="14:14" x14ac:dyDescent="0.25">
      <c r="N357" s="335"/>
    </row>
    <row r="358" spans="14:14" x14ac:dyDescent="0.25">
      <c r="N358" s="335"/>
    </row>
    <row r="359" spans="14:14" x14ac:dyDescent="0.25">
      <c r="N359" s="335"/>
    </row>
    <row r="360" spans="14:14" x14ac:dyDescent="0.25">
      <c r="N360" s="335"/>
    </row>
    <row r="361" spans="14:14" x14ac:dyDescent="0.25">
      <c r="N361" s="335"/>
    </row>
    <row r="362" spans="14:14" x14ac:dyDescent="0.25">
      <c r="N362" s="335"/>
    </row>
    <row r="363" spans="14:14" x14ac:dyDescent="0.25">
      <c r="N363" s="335"/>
    </row>
    <row r="364" spans="14:14" x14ac:dyDescent="0.25">
      <c r="N364" s="335"/>
    </row>
    <row r="365" spans="14:14" x14ac:dyDescent="0.25">
      <c r="N365" s="335"/>
    </row>
    <row r="366" spans="14:14" x14ac:dyDescent="0.25">
      <c r="N366" s="335"/>
    </row>
    <row r="367" spans="14:14" x14ac:dyDescent="0.25">
      <c r="N367" s="335"/>
    </row>
    <row r="368" spans="14:14" x14ac:dyDescent="0.25">
      <c r="N368" s="335"/>
    </row>
    <row r="369" spans="14:14" x14ac:dyDescent="0.25">
      <c r="N369" s="335"/>
    </row>
    <row r="370" spans="14:14" x14ac:dyDescent="0.25">
      <c r="N370" s="335"/>
    </row>
    <row r="371" spans="14:14" x14ac:dyDescent="0.25">
      <c r="N371" s="335"/>
    </row>
    <row r="372" spans="14:14" x14ac:dyDescent="0.25">
      <c r="N372" s="335"/>
    </row>
    <row r="373" spans="14:14" x14ac:dyDescent="0.25">
      <c r="N373" s="335"/>
    </row>
    <row r="374" spans="14:14" x14ac:dyDescent="0.25">
      <c r="N374" s="335"/>
    </row>
    <row r="375" spans="14:14" x14ac:dyDescent="0.25">
      <c r="N375" s="335"/>
    </row>
    <row r="376" spans="14:14" x14ac:dyDescent="0.25">
      <c r="N376" s="335"/>
    </row>
    <row r="377" spans="14:14" x14ac:dyDescent="0.25">
      <c r="N377" s="335"/>
    </row>
    <row r="378" spans="14:14" x14ac:dyDescent="0.25">
      <c r="N378" s="335"/>
    </row>
    <row r="379" spans="14:14" x14ac:dyDescent="0.25">
      <c r="N379" s="335"/>
    </row>
    <row r="380" spans="14:14" x14ac:dyDescent="0.25">
      <c r="N380" s="335"/>
    </row>
    <row r="381" spans="14:14" x14ac:dyDescent="0.25">
      <c r="N381" s="335"/>
    </row>
    <row r="382" spans="14:14" x14ac:dyDescent="0.25">
      <c r="N382" s="335"/>
    </row>
    <row r="383" spans="14:14" x14ac:dyDescent="0.25">
      <c r="N383" s="335"/>
    </row>
    <row r="384" spans="14:14" x14ac:dyDescent="0.25">
      <c r="N384" s="335"/>
    </row>
    <row r="385" spans="14:14" x14ac:dyDescent="0.25">
      <c r="N385" s="335"/>
    </row>
    <row r="386" spans="14:14" x14ac:dyDescent="0.25">
      <c r="N386" s="335"/>
    </row>
    <row r="387" spans="14:14" x14ac:dyDescent="0.25">
      <c r="N387" s="335"/>
    </row>
    <row r="388" spans="14:14" x14ac:dyDescent="0.25">
      <c r="N388" s="335"/>
    </row>
    <row r="389" spans="14:14" x14ac:dyDescent="0.25">
      <c r="N389" s="335"/>
    </row>
    <row r="390" spans="14:14" x14ac:dyDescent="0.25">
      <c r="N390" s="335"/>
    </row>
    <row r="391" spans="14:14" x14ac:dyDescent="0.25">
      <c r="N391" s="335"/>
    </row>
    <row r="392" spans="14:14" x14ac:dyDescent="0.25">
      <c r="N392" s="335"/>
    </row>
    <row r="393" spans="14:14" x14ac:dyDescent="0.25">
      <c r="N393" s="335"/>
    </row>
    <row r="394" spans="14:14" x14ac:dyDescent="0.25">
      <c r="N394" s="335"/>
    </row>
    <row r="395" spans="14:14" x14ac:dyDescent="0.25">
      <c r="N395" s="335"/>
    </row>
    <row r="396" spans="14:14" x14ac:dyDescent="0.25">
      <c r="N396" s="335"/>
    </row>
    <row r="397" spans="14:14" x14ac:dyDescent="0.25">
      <c r="N397" s="335"/>
    </row>
    <row r="398" spans="14:14" x14ac:dyDescent="0.25">
      <c r="N398" s="335"/>
    </row>
    <row r="399" spans="14:14" x14ac:dyDescent="0.25">
      <c r="N399" s="335"/>
    </row>
    <row r="400" spans="14:14" x14ac:dyDescent="0.25">
      <c r="N400" s="335"/>
    </row>
    <row r="401" spans="14:14" x14ac:dyDescent="0.25">
      <c r="N401" s="335"/>
    </row>
    <row r="402" spans="14:14" x14ac:dyDescent="0.25">
      <c r="N402" s="335"/>
    </row>
    <row r="403" spans="14:14" x14ac:dyDescent="0.25">
      <c r="N403" s="335"/>
    </row>
    <row r="404" spans="14:14" x14ac:dyDescent="0.25">
      <c r="N404" s="335"/>
    </row>
    <row r="405" spans="14:14" x14ac:dyDescent="0.25">
      <c r="N405" s="335"/>
    </row>
    <row r="406" spans="14:14" x14ac:dyDescent="0.25">
      <c r="N406" s="335"/>
    </row>
    <row r="407" spans="14:14" x14ac:dyDescent="0.25">
      <c r="N407" s="335"/>
    </row>
    <row r="408" spans="14:14" x14ac:dyDescent="0.25">
      <c r="N408" s="335"/>
    </row>
    <row r="409" spans="14:14" x14ac:dyDescent="0.25">
      <c r="N409" s="335"/>
    </row>
    <row r="410" spans="14:14" x14ac:dyDescent="0.25">
      <c r="N410" s="335"/>
    </row>
    <row r="411" spans="14:14" x14ac:dyDescent="0.25">
      <c r="N411" s="335"/>
    </row>
    <row r="412" spans="14:14" x14ac:dyDescent="0.25">
      <c r="N412" s="335"/>
    </row>
    <row r="413" spans="14:14" x14ac:dyDescent="0.25">
      <c r="N413" s="335"/>
    </row>
    <row r="414" spans="14:14" x14ac:dyDescent="0.25">
      <c r="N414" s="335"/>
    </row>
    <row r="415" spans="14:14" x14ac:dyDescent="0.25">
      <c r="N415" s="335"/>
    </row>
    <row r="416" spans="14:14" x14ac:dyDescent="0.25">
      <c r="N416" s="335"/>
    </row>
    <row r="417" spans="14:14" x14ac:dyDescent="0.25">
      <c r="N417" s="335"/>
    </row>
    <row r="418" spans="14:14" x14ac:dyDescent="0.25">
      <c r="N418" s="335"/>
    </row>
    <row r="419" spans="14:14" x14ac:dyDescent="0.25">
      <c r="N419" s="335"/>
    </row>
    <row r="420" spans="14:14" x14ac:dyDescent="0.25">
      <c r="N420" s="335"/>
    </row>
    <row r="421" spans="14:14" x14ac:dyDescent="0.25">
      <c r="N421" s="335"/>
    </row>
    <row r="422" spans="14:14" x14ac:dyDescent="0.25">
      <c r="N422" s="335"/>
    </row>
    <row r="423" spans="14:14" x14ac:dyDescent="0.25">
      <c r="N423" s="335"/>
    </row>
    <row r="424" spans="14:14" x14ac:dyDescent="0.25">
      <c r="N424" s="335"/>
    </row>
    <row r="425" spans="14:14" x14ac:dyDescent="0.25">
      <c r="N425" s="335"/>
    </row>
    <row r="426" spans="14:14" x14ac:dyDescent="0.25">
      <c r="N426" s="335"/>
    </row>
    <row r="427" spans="14:14" x14ac:dyDescent="0.25">
      <c r="N427" s="335"/>
    </row>
    <row r="428" spans="14:14" x14ac:dyDescent="0.25">
      <c r="N428" s="335"/>
    </row>
    <row r="429" spans="14:14" x14ac:dyDescent="0.25">
      <c r="N429" s="335"/>
    </row>
    <row r="430" spans="14:14" x14ac:dyDescent="0.25">
      <c r="N430" s="335"/>
    </row>
    <row r="431" spans="14:14" x14ac:dyDescent="0.25">
      <c r="N431" s="335"/>
    </row>
    <row r="432" spans="14:14" x14ac:dyDescent="0.25">
      <c r="N432" s="335"/>
    </row>
    <row r="433" spans="14:14" x14ac:dyDescent="0.25">
      <c r="N433" s="335"/>
    </row>
    <row r="434" spans="14:14" x14ac:dyDescent="0.25">
      <c r="N434" s="335"/>
    </row>
    <row r="435" spans="14:14" x14ac:dyDescent="0.25">
      <c r="N435" s="335"/>
    </row>
    <row r="436" spans="14:14" x14ac:dyDescent="0.25">
      <c r="N436" s="335"/>
    </row>
    <row r="437" spans="14:14" x14ac:dyDescent="0.25">
      <c r="N437" s="335"/>
    </row>
    <row r="438" spans="14:14" x14ac:dyDescent="0.25">
      <c r="N438" s="335"/>
    </row>
    <row r="439" spans="14:14" x14ac:dyDescent="0.25">
      <c r="N439" s="335"/>
    </row>
    <row r="440" spans="14:14" x14ac:dyDescent="0.25">
      <c r="N440" s="335"/>
    </row>
    <row r="441" spans="14:14" x14ac:dyDescent="0.25">
      <c r="N441" s="335"/>
    </row>
    <row r="442" spans="14:14" x14ac:dyDescent="0.25">
      <c r="N442" s="335"/>
    </row>
    <row r="443" spans="14:14" x14ac:dyDescent="0.25">
      <c r="N443" s="335"/>
    </row>
    <row r="444" spans="14:14" x14ac:dyDescent="0.25">
      <c r="N444" s="335"/>
    </row>
    <row r="445" spans="14:14" x14ac:dyDescent="0.25">
      <c r="N445" s="335"/>
    </row>
    <row r="446" spans="14:14" x14ac:dyDescent="0.25">
      <c r="N446" s="335"/>
    </row>
    <row r="447" spans="14:14" x14ac:dyDescent="0.25">
      <c r="N447" s="335"/>
    </row>
    <row r="448" spans="14:14" x14ac:dyDescent="0.25">
      <c r="N448" s="335"/>
    </row>
    <row r="449" spans="14:14" x14ac:dyDescent="0.25">
      <c r="N449" s="335"/>
    </row>
    <row r="450" spans="14:14" x14ac:dyDescent="0.25">
      <c r="N450" s="335"/>
    </row>
    <row r="451" spans="14:14" x14ac:dyDescent="0.25">
      <c r="N451" s="335"/>
    </row>
    <row r="452" spans="14:14" x14ac:dyDescent="0.25">
      <c r="N452" s="335"/>
    </row>
    <row r="453" spans="14:14" x14ac:dyDescent="0.25">
      <c r="N453" s="335"/>
    </row>
    <row r="454" spans="14:14" x14ac:dyDescent="0.25">
      <c r="N454" s="335"/>
    </row>
    <row r="455" spans="14:14" x14ac:dyDescent="0.25">
      <c r="N455" s="335"/>
    </row>
    <row r="456" spans="14:14" x14ac:dyDescent="0.25">
      <c r="N456" s="335"/>
    </row>
    <row r="457" spans="14:14" x14ac:dyDescent="0.25">
      <c r="N457" s="335"/>
    </row>
    <row r="458" spans="14:14" x14ac:dyDescent="0.25">
      <c r="N458" s="335"/>
    </row>
    <row r="459" spans="14:14" x14ac:dyDescent="0.25">
      <c r="N459" s="335"/>
    </row>
    <row r="460" spans="14:14" x14ac:dyDescent="0.25">
      <c r="N460" s="335"/>
    </row>
    <row r="461" spans="14:14" x14ac:dyDescent="0.25">
      <c r="N461" s="335"/>
    </row>
    <row r="462" spans="14:14" x14ac:dyDescent="0.25">
      <c r="N462" s="335"/>
    </row>
    <row r="463" spans="14:14" x14ac:dyDescent="0.25">
      <c r="N463" s="335"/>
    </row>
    <row r="464" spans="14:14" x14ac:dyDescent="0.25">
      <c r="N464" s="335"/>
    </row>
    <row r="465" spans="14:14" x14ac:dyDescent="0.25">
      <c r="N465" s="335"/>
    </row>
    <row r="466" spans="14:14" x14ac:dyDescent="0.25">
      <c r="N466" s="335"/>
    </row>
    <row r="467" spans="14:14" x14ac:dyDescent="0.25">
      <c r="N467" s="335"/>
    </row>
    <row r="468" spans="14:14" x14ac:dyDescent="0.25">
      <c r="N468" s="335"/>
    </row>
    <row r="469" spans="14:14" x14ac:dyDescent="0.25">
      <c r="N469" s="335"/>
    </row>
    <row r="470" spans="14:14" x14ac:dyDescent="0.25">
      <c r="N470" s="335"/>
    </row>
    <row r="471" spans="14:14" x14ac:dyDescent="0.25">
      <c r="N471" s="335"/>
    </row>
    <row r="472" spans="14:14" x14ac:dyDescent="0.25">
      <c r="N472" s="335"/>
    </row>
    <row r="473" spans="14:14" x14ac:dyDescent="0.25">
      <c r="N473" s="335"/>
    </row>
    <row r="474" spans="14:14" x14ac:dyDescent="0.25">
      <c r="N474" s="335"/>
    </row>
    <row r="475" spans="14:14" x14ac:dyDescent="0.25">
      <c r="N475" s="335"/>
    </row>
    <row r="476" spans="14:14" x14ac:dyDescent="0.25">
      <c r="N476" s="335"/>
    </row>
    <row r="477" spans="14:14" x14ac:dyDescent="0.25">
      <c r="N477" s="335"/>
    </row>
    <row r="478" spans="14:14" x14ac:dyDescent="0.25">
      <c r="N478" s="335"/>
    </row>
    <row r="479" spans="14:14" x14ac:dyDescent="0.25">
      <c r="N479" s="335"/>
    </row>
    <row r="480" spans="14:14" x14ac:dyDescent="0.25">
      <c r="N480" s="335"/>
    </row>
    <row r="481" spans="14:14" x14ac:dyDescent="0.25">
      <c r="N481" s="335"/>
    </row>
    <row r="482" spans="14:14" x14ac:dyDescent="0.25">
      <c r="N482" s="335"/>
    </row>
    <row r="483" spans="14:14" x14ac:dyDescent="0.25">
      <c r="N483" s="335"/>
    </row>
    <row r="484" spans="14:14" x14ac:dyDescent="0.25">
      <c r="N484" s="335"/>
    </row>
    <row r="485" spans="14:14" x14ac:dyDescent="0.25">
      <c r="N485" s="335"/>
    </row>
    <row r="486" spans="14:14" x14ac:dyDescent="0.25">
      <c r="N486" s="335"/>
    </row>
    <row r="487" spans="14:14" x14ac:dyDescent="0.25">
      <c r="N487" s="335"/>
    </row>
    <row r="488" spans="14:14" x14ac:dyDescent="0.25">
      <c r="N488" s="335"/>
    </row>
    <row r="489" spans="14:14" x14ac:dyDescent="0.25">
      <c r="N489" s="335"/>
    </row>
    <row r="490" spans="14:14" x14ac:dyDescent="0.25">
      <c r="N490" s="335"/>
    </row>
    <row r="491" spans="14:14" x14ac:dyDescent="0.25">
      <c r="N491" s="335"/>
    </row>
    <row r="492" spans="14:14" x14ac:dyDescent="0.25">
      <c r="N492" s="335"/>
    </row>
    <row r="493" spans="14:14" x14ac:dyDescent="0.25">
      <c r="N493" s="335"/>
    </row>
    <row r="494" spans="14:14" x14ac:dyDescent="0.25">
      <c r="N494" s="335"/>
    </row>
    <row r="495" spans="14:14" x14ac:dyDescent="0.25">
      <c r="N495" s="335"/>
    </row>
    <row r="496" spans="14:14" x14ac:dyDescent="0.25">
      <c r="N496" s="335"/>
    </row>
    <row r="497" spans="14:14" x14ac:dyDescent="0.25">
      <c r="N497" s="335"/>
    </row>
    <row r="498" spans="14:14" x14ac:dyDescent="0.25">
      <c r="N498" s="335"/>
    </row>
    <row r="499" spans="14:14" x14ac:dyDescent="0.25">
      <c r="N499" s="335"/>
    </row>
    <row r="500" spans="14:14" x14ac:dyDescent="0.25">
      <c r="N500" s="335"/>
    </row>
    <row r="501" spans="14:14" x14ac:dyDescent="0.25">
      <c r="N501" s="335"/>
    </row>
    <row r="502" spans="14:14" x14ac:dyDescent="0.25">
      <c r="N502" s="335"/>
    </row>
    <row r="503" spans="14:14" x14ac:dyDescent="0.25">
      <c r="N503" s="335"/>
    </row>
    <row r="504" spans="14:14" x14ac:dyDescent="0.25">
      <c r="N504" s="335"/>
    </row>
    <row r="505" spans="14:14" x14ac:dyDescent="0.25">
      <c r="N505" s="335"/>
    </row>
    <row r="506" spans="14:14" x14ac:dyDescent="0.25">
      <c r="N506" s="335"/>
    </row>
    <row r="507" spans="14:14" x14ac:dyDescent="0.25">
      <c r="N507" s="335"/>
    </row>
    <row r="508" spans="14:14" x14ac:dyDescent="0.25">
      <c r="N508" s="335"/>
    </row>
    <row r="509" spans="14:14" x14ac:dyDescent="0.25">
      <c r="N509" s="335"/>
    </row>
    <row r="510" spans="14:14" x14ac:dyDescent="0.25">
      <c r="N510" s="335"/>
    </row>
    <row r="511" spans="14:14" x14ac:dyDescent="0.25">
      <c r="N511" s="335"/>
    </row>
    <row r="512" spans="14:14" x14ac:dyDescent="0.25">
      <c r="N512" s="335"/>
    </row>
    <row r="513" spans="14:14" x14ac:dyDescent="0.25">
      <c r="N513" s="335"/>
    </row>
    <row r="514" spans="14:14" x14ac:dyDescent="0.25">
      <c r="N514" s="335"/>
    </row>
    <row r="515" spans="14:14" x14ac:dyDescent="0.25">
      <c r="N515" s="335"/>
    </row>
    <row r="516" spans="14:14" x14ac:dyDescent="0.25">
      <c r="N516" s="335"/>
    </row>
    <row r="517" spans="14:14" x14ac:dyDescent="0.25">
      <c r="N517" s="335"/>
    </row>
    <row r="518" spans="14:14" x14ac:dyDescent="0.25">
      <c r="N518" s="335"/>
    </row>
    <row r="519" spans="14:14" x14ac:dyDescent="0.25">
      <c r="N519" s="335"/>
    </row>
    <row r="520" spans="14:14" x14ac:dyDescent="0.25">
      <c r="N520" s="335"/>
    </row>
    <row r="521" spans="14:14" x14ac:dyDescent="0.25">
      <c r="N521" s="335"/>
    </row>
    <row r="522" spans="14:14" x14ac:dyDescent="0.25">
      <c r="N522" s="335"/>
    </row>
    <row r="523" spans="14:14" x14ac:dyDescent="0.25">
      <c r="N523" s="335"/>
    </row>
    <row r="524" spans="14:14" x14ac:dyDescent="0.25">
      <c r="N524" s="335"/>
    </row>
    <row r="525" spans="14:14" x14ac:dyDescent="0.25">
      <c r="N525" s="335"/>
    </row>
    <row r="526" spans="14:14" x14ac:dyDescent="0.25">
      <c r="N526" s="335"/>
    </row>
    <row r="527" spans="14:14" x14ac:dyDescent="0.25">
      <c r="N527" s="335"/>
    </row>
    <row r="528" spans="14:14" x14ac:dyDescent="0.25">
      <c r="N528" s="335"/>
    </row>
    <row r="529" spans="14:14" x14ac:dyDescent="0.25">
      <c r="N529" s="335"/>
    </row>
    <row r="530" spans="14:14" x14ac:dyDescent="0.25">
      <c r="N530" s="335"/>
    </row>
    <row r="531" spans="14:14" x14ac:dyDescent="0.25">
      <c r="N531" s="335"/>
    </row>
    <row r="532" spans="14:14" x14ac:dyDescent="0.25">
      <c r="N532" s="335"/>
    </row>
    <row r="533" spans="14:14" x14ac:dyDescent="0.25">
      <c r="N533" s="335"/>
    </row>
    <row r="534" spans="14:14" x14ac:dyDescent="0.25">
      <c r="N534" s="335"/>
    </row>
    <row r="535" spans="14:14" x14ac:dyDescent="0.25">
      <c r="N535" s="335"/>
    </row>
    <row r="536" spans="14:14" x14ac:dyDescent="0.25">
      <c r="N536" s="335"/>
    </row>
    <row r="537" spans="14:14" x14ac:dyDescent="0.25">
      <c r="N537" s="335"/>
    </row>
    <row r="538" spans="14:14" x14ac:dyDescent="0.25">
      <c r="N538" s="335"/>
    </row>
    <row r="539" spans="14:14" x14ac:dyDescent="0.25">
      <c r="N539" s="335"/>
    </row>
    <row r="540" spans="14:14" x14ac:dyDescent="0.25">
      <c r="N540" s="335"/>
    </row>
    <row r="541" spans="14:14" x14ac:dyDescent="0.25">
      <c r="N541" s="335"/>
    </row>
    <row r="542" spans="14:14" x14ac:dyDescent="0.25">
      <c r="N542" s="335"/>
    </row>
    <row r="543" spans="14:14" x14ac:dyDescent="0.25">
      <c r="N543" s="335"/>
    </row>
    <row r="544" spans="14:14" x14ac:dyDescent="0.25">
      <c r="N544" s="335"/>
    </row>
    <row r="545" spans="14:14" x14ac:dyDescent="0.25">
      <c r="N545" s="335"/>
    </row>
    <row r="546" spans="14:14" x14ac:dyDescent="0.25">
      <c r="N546" s="335"/>
    </row>
    <row r="547" spans="14:14" x14ac:dyDescent="0.25">
      <c r="N547" s="335"/>
    </row>
    <row r="548" spans="14:14" x14ac:dyDescent="0.25">
      <c r="N548" s="335"/>
    </row>
    <row r="549" spans="14:14" x14ac:dyDescent="0.25">
      <c r="N549" s="335"/>
    </row>
    <row r="550" spans="14:14" x14ac:dyDescent="0.25">
      <c r="N550" s="335"/>
    </row>
    <row r="551" spans="14:14" x14ac:dyDescent="0.25">
      <c r="N551" s="335"/>
    </row>
    <row r="552" spans="14:14" x14ac:dyDescent="0.25">
      <c r="N552" s="335"/>
    </row>
    <row r="553" spans="14:14" x14ac:dyDescent="0.25">
      <c r="N553" s="335"/>
    </row>
    <row r="554" spans="14:14" x14ac:dyDescent="0.25">
      <c r="N554" s="335"/>
    </row>
    <row r="555" spans="14:14" x14ac:dyDescent="0.25">
      <c r="N555" s="335"/>
    </row>
    <row r="556" spans="14:14" x14ac:dyDescent="0.25">
      <c r="N556" s="335"/>
    </row>
    <row r="557" spans="14:14" x14ac:dyDescent="0.25">
      <c r="N557" s="335"/>
    </row>
    <row r="558" spans="14:14" x14ac:dyDescent="0.25">
      <c r="N558" s="335"/>
    </row>
    <row r="559" spans="14:14" x14ac:dyDescent="0.25">
      <c r="N559" s="335"/>
    </row>
    <row r="560" spans="14:14" x14ac:dyDescent="0.25">
      <c r="N560" s="335"/>
    </row>
    <row r="561" spans="14:14" x14ac:dyDescent="0.25">
      <c r="N561" s="335"/>
    </row>
    <row r="562" spans="14:14" x14ac:dyDescent="0.25">
      <c r="N562" s="335"/>
    </row>
    <row r="563" spans="14:14" x14ac:dyDescent="0.25">
      <c r="N563" s="335"/>
    </row>
    <row r="564" spans="14:14" x14ac:dyDescent="0.25">
      <c r="N564" s="335"/>
    </row>
    <row r="565" spans="14:14" x14ac:dyDescent="0.25">
      <c r="N565" s="335"/>
    </row>
    <row r="566" spans="14:14" x14ac:dyDescent="0.25">
      <c r="N566" s="335"/>
    </row>
    <row r="567" spans="14:14" x14ac:dyDescent="0.25">
      <c r="N567" s="335"/>
    </row>
    <row r="568" spans="14:14" x14ac:dyDescent="0.25">
      <c r="N568" s="335"/>
    </row>
    <row r="569" spans="14:14" x14ac:dyDescent="0.25">
      <c r="N569" s="335"/>
    </row>
    <row r="570" spans="14:14" x14ac:dyDescent="0.25">
      <c r="N570" s="335"/>
    </row>
    <row r="571" spans="14:14" x14ac:dyDescent="0.25">
      <c r="N571" s="335"/>
    </row>
    <row r="572" spans="14:14" x14ac:dyDescent="0.25">
      <c r="N572" s="335"/>
    </row>
    <row r="573" spans="14:14" x14ac:dyDescent="0.25">
      <c r="N573" s="335"/>
    </row>
    <row r="574" spans="14:14" x14ac:dyDescent="0.25">
      <c r="N574" s="335"/>
    </row>
    <row r="575" spans="14:14" x14ac:dyDescent="0.25">
      <c r="N575" s="335"/>
    </row>
    <row r="576" spans="14:14" x14ac:dyDescent="0.25">
      <c r="N576" s="335"/>
    </row>
    <row r="577" spans="14:14" x14ac:dyDescent="0.25">
      <c r="N577" s="335"/>
    </row>
    <row r="578" spans="14:14" x14ac:dyDescent="0.25">
      <c r="N578" s="335"/>
    </row>
    <row r="579" spans="14:14" x14ac:dyDescent="0.25">
      <c r="N579" s="335"/>
    </row>
    <row r="580" spans="14:14" x14ac:dyDescent="0.25">
      <c r="N580" s="335"/>
    </row>
    <row r="581" spans="14:14" x14ac:dyDescent="0.25">
      <c r="N581" s="335"/>
    </row>
    <row r="582" spans="14:14" x14ac:dyDescent="0.25">
      <c r="N582" s="335"/>
    </row>
    <row r="583" spans="14:14" x14ac:dyDescent="0.25">
      <c r="N583" s="335"/>
    </row>
    <row r="584" spans="14:14" x14ac:dyDescent="0.25">
      <c r="N584" s="335"/>
    </row>
    <row r="585" spans="14:14" x14ac:dyDescent="0.25">
      <c r="N585" s="335"/>
    </row>
    <row r="586" spans="14:14" x14ac:dyDescent="0.25">
      <c r="N586" s="335"/>
    </row>
    <row r="587" spans="14:14" x14ac:dyDescent="0.25">
      <c r="N587" s="335"/>
    </row>
    <row r="588" spans="14:14" x14ac:dyDescent="0.25">
      <c r="N588" s="335"/>
    </row>
    <row r="589" spans="14:14" x14ac:dyDescent="0.25">
      <c r="N589" s="335"/>
    </row>
    <row r="590" spans="14:14" x14ac:dyDescent="0.25">
      <c r="N590" s="335"/>
    </row>
    <row r="591" spans="14:14" x14ac:dyDescent="0.25">
      <c r="N591" s="335"/>
    </row>
    <row r="592" spans="14:14" x14ac:dyDescent="0.25">
      <c r="N592" s="335"/>
    </row>
    <row r="593" spans="14:14" x14ac:dyDescent="0.25">
      <c r="N593" s="335"/>
    </row>
    <row r="594" spans="14:14" x14ac:dyDescent="0.25">
      <c r="N594" s="335"/>
    </row>
    <row r="595" spans="14:14" x14ac:dyDescent="0.25">
      <c r="N595" s="335"/>
    </row>
    <row r="596" spans="14:14" x14ac:dyDescent="0.25">
      <c r="N596" s="335"/>
    </row>
    <row r="597" spans="14:14" x14ac:dyDescent="0.25">
      <c r="N597" s="335"/>
    </row>
    <row r="598" spans="14:14" x14ac:dyDescent="0.25">
      <c r="N598" s="335"/>
    </row>
    <row r="599" spans="14:14" x14ac:dyDescent="0.25">
      <c r="N599" s="335"/>
    </row>
    <row r="600" spans="14:14" x14ac:dyDescent="0.25">
      <c r="N600" s="335"/>
    </row>
    <row r="601" spans="14:14" x14ac:dyDescent="0.25">
      <c r="N601" s="335"/>
    </row>
    <row r="602" spans="14:14" x14ac:dyDescent="0.25">
      <c r="N602" s="335"/>
    </row>
    <row r="603" spans="14:14" x14ac:dyDescent="0.25">
      <c r="N603" s="335"/>
    </row>
    <row r="604" spans="14:14" x14ac:dyDescent="0.25">
      <c r="N604" s="335"/>
    </row>
    <row r="605" spans="14:14" x14ac:dyDescent="0.25">
      <c r="N605" s="335"/>
    </row>
    <row r="606" spans="14:14" x14ac:dyDescent="0.25">
      <c r="N606" s="335"/>
    </row>
    <row r="607" spans="14:14" x14ac:dyDescent="0.25">
      <c r="N607" s="335"/>
    </row>
    <row r="608" spans="14:14" x14ac:dyDescent="0.25">
      <c r="N608" s="335"/>
    </row>
    <row r="609" spans="14:14" x14ac:dyDescent="0.25">
      <c r="N609" s="335"/>
    </row>
    <row r="610" spans="14:14" x14ac:dyDescent="0.25">
      <c r="N610" s="335"/>
    </row>
    <row r="611" spans="14:14" x14ac:dyDescent="0.25">
      <c r="N611" s="335"/>
    </row>
    <row r="612" spans="14:14" x14ac:dyDescent="0.25">
      <c r="N612" s="335"/>
    </row>
    <row r="613" spans="14:14" x14ac:dyDescent="0.25">
      <c r="N613" s="335"/>
    </row>
    <row r="614" spans="14:14" x14ac:dyDescent="0.25">
      <c r="N614" s="335"/>
    </row>
    <row r="615" spans="14:14" x14ac:dyDescent="0.25">
      <c r="N615" s="335"/>
    </row>
    <row r="616" spans="14:14" x14ac:dyDescent="0.25">
      <c r="N616" s="335"/>
    </row>
    <row r="617" spans="14:14" x14ac:dyDescent="0.25">
      <c r="N617" s="335"/>
    </row>
    <row r="618" spans="14:14" x14ac:dyDescent="0.25">
      <c r="N618" s="335"/>
    </row>
    <row r="619" spans="14:14" x14ac:dyDescent="0.25">
      <c r="N619" s="335"/>
    </row>
  </sheetData>
  <sheetProtection autoFilter="0"/>
  <autoFilter ref="A2:AY208">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2" bestFit="1" customWidth="1"/>
    <col min="2" max="2" width="7.28515625" style="362" bestFit="1" customWidth="1"/>
    <col min="3" max="3" width="20.140625" style="362" bestFit="1" customWidth="1"/>
    <col min="4" max="4" width="51.5703125" style="362" bestFit="1" customWidth="1"/>
    <col min="5" max="5" width="52.140625" style="362" bestFit="1" customWidth="1"/>
    <col min="6" max="6" width="31.140625" style="362" bestFit="1" customWidth="1"/>
    <col min="7" max="7" width="52.140625" style="362" bestFit="1" customWidth="1"/>
    <col min="8" max="16384" width="11.42578125" style="362"/>
  </cols>
  <sheetData>
    <row r="1" spans="1:7" ht="135" x14ac:dyDescent="0.25">
      <c r="A1" s="361" t="s">
        <v>2558</v>
      </c>
    </row>
    <row r="3" spans="1:7" ht="14.25" customHeight="1" x14ac:dyDescent="0.25">
      <c r="A3" s="375" t="s">
        <v>2527</v>
      </c>
      <c r="B3" s="362" t="s">
        <v>2528</v>
      </c>
      <c r="C3" s="362" t="s">
        <v>2529</v>
      </c>
      <c r="D3" s="362" t="s">
        <v>2540</v>
      </c>
      <c r="E3" s="362" t="s">
        <v>2532</v>
      </c>
      <c r="F3" s="362" t="s">
        <v>2541</v>
      </c>
      <c r="G3" s="362" t="s">
        <v>2542</v>
      </c>
    </row>
    <row r="4" spans="1:7" ht="14.25" customHeight="1" x14ac:dyDescent="0.25">
      <c r="A4" s="375"/>
      <c r="B4" s="362">
        <v>1</v>
      </c>
      <c r="C4" s="362" t="s">
        <v>2530</v>
      </c>
      <c r="D4" s="362" t="s">
        <v>2543</v>
      </c>
      <c r="E4" s="362" t="s">
        <v>2544</v>
      </c>
      <c r="F4" s="362" t="s">
        <v>2545</v>
      </c>
      <c r="G4" s="362" t="s">
        <v>2534</v>
      </c>
    </row>
    <row r="5" spans="1:7" ht="14.25" customHeight="1" x14ac:dyDescent="0.25">
      <c r="A5" s="375"/>
      <c r="B5" s="362">
        <v>2</v>
      </c>
      <c r="C5" s="362" t="s">
        <v>2534</v>
      </c>
      <c r="D5" s="362" t="s">
        <v>2538</v>
      </c>
      <c r="E5" s="362" t="s">
        <v>2546</v>
      </c>
      <c r="F5" s="362" t="s">
        <v>0</v>
      </c>
      <c r="G5" s="362" t="s">
        <v>2535</v>
      </c>
    </row>
    <row r="6" spans="1:7" ht="14.25" customHeight="1" x14ac:dyDescent="0.25">
      <c r="A6" s="375"/>
      <c r="B6" s="362">
        <v>3</v>
      </c>
      <c r="C6" s="362" t="s">
        <v>2535</v>
      </c>
      <c r="D6" s="362" t="s">
        <v>2538</v>
      </c>
      <c r="E6" s="362" t="s">
        <v>2547</v>
      </c>
      <c r="F6" s="362" t="s">
        <v>2548</v>
      </c>
      <c r="G6" s="362" t="s">
        <v>2536</v>
      </c>
    </row>
    <row r="7" spans="1:7" ht="14.25" customHeight="1" x14ac:dyDescent="0.25">
      <c r="A7" s="375"/>
      <c r="B7" s="362">
        <v>4</v>
      </c>
      <c r="C7" s="362" t="s">
        <v>2536</v>
      </c>
      <c r="D7" s="362" t="s">
        <v>2549</v>
      </c>
      <c r="E7" s="362" t="s">
        <v>2539</v>
      </c>
      <c r="F7" s="362" t="s">
        <v>2550</v>
      </c>
      <c r="G7" s="362" t="s">
        <v>2537</v>
      </c>
    </row>
    <row r="8" spans="1:7" ht="14.25" customHeight="1" x14ac:dyDescent="0.25">
      <c r="A8" s="375"/>
      <c r="B8" s="362">
        <v>4</v>
      </c>
      <c r="C8" s="362" t="s">
        <v>2536</v>
      </c>
      <c r="D8" s="362" t="s">
        <v>2549</v>
      </c>
      <c r="E8" s="362" t="s">
        <v>2539</v>
      </c>
      <c r="F8" s="362" t="s">
        <v>2551</v>
      </c>
      <c r="G8" s="362" t="s">
        <v>2537</v>
      </c>
    </row>
    <row r="9" spans="1:7" ht="14.25" customHeight="1" x14ac:dyDescent="0.25">
      <c r="A9" s="375"/>
      <c r="B9" s="362">
        <v>5</v>
      </c>
      <c r="C9" s="362" t="s">
        <v>2537</v>
      </c>
      <c r="D9" s="362" t="s">
        <v>2552</v>
      </c>
      <c r="E9" s="362" t="s">
        <v>2553</v>
      </c>
      <c r="F9" s="362" t="s">
        <v>2554</v>
      </c>
      <c r="G9" s="362" t="s">
        <v>2555</v>
      </c>
    </row>
    <row r="10" spans="1:7" ht="14.25" customHeight="1" x14ac:dyDescent="0.25">
      <c r="A10" s="375"/>
      <c r="B10" s="362">
        <v>5</v>
      </c>
      <c r="C10" s="362" t="s">
        <v>2537</v>
      </c>
      <c r="D10" s="362" t="s">
        <v>2556</v>
      </c>
      <c r="E10" s="362" t="s">
        <v>2557</v>
      </c>
      <c r="F10" s="362" t="s">
        <v>2533</v>
      </c>
      <c r="G10" s="362" t="s">
        <v>2531</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80"/>
      <c r="V3" s="380"/>
    </row>
    <row r="4" spans="1:22" x14ac:dyDescent="0.25">
      <c r="A4" s="383"/>
      <c r="B4" s="385"/>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80" t="s">
        <v>8</v>
      </c>
      <c r="V3" s="380" t="s">
        <v>8</v>
      </c>
    </row>
    <row r="4" spans="1:22" x14ac:dyDescent="0.25">
      <c r="A4" s="383"/>
      <c r="B4" s="385"/>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2445</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80" t="s">
        <v>8</v>
      </c>
      <c r="V3" s="380" t="s">
        <v>8</v>
      </c>
    </row>
    <row r="4" spans="1:22" x14ac:dyDescent="0.25">
      <c r="A4" s="383"/>
      <c r="B4" s="385"/>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2440</v>
      </c>
      <c r="D6" s="18" t="s">
        <v>2439</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2589</v>
      </c>
      <c r="D14" s="18" t="s">
        <v>2588</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2591</v>
      </c>
      <c r="D21" s="18" t="s">
        <v>2590</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116</v>
      </c>
    </row>
    <row r="4" spans="1:22" x14ac:dyDescent="0.25">
      <c r="A4" s="383"/>
      <c r="B4" s="385"/>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2396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2423</v>
      </c>
      <c r="E8" s="18" t="s">
        <v>2572</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2416</v>
      </c>
      <c r="D10" s="18" t="s">
        <v>1404</v>
      </c>
      <c r="E10" s="18" t="s">
        <v>2415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2395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2393</v>
      </c>
      <c r="D13" s="18" t="s">
        <v>1407</v>
      </c>
      <c r="E13" s="18" t="s">
        <v>2575</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2563</v>
      </c>
      <c r="E14" s="18" t="s">
        <v>2562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80" t="s">
        <v>53</v>
      </c>
      <c r="V3" s="380" t="s">
        <v>8</v>
      </c>
    </row>
    <row r="4" spans="1:22" x14ac:dyDescent="0.25">
      <c r="A4" s="383"/>
      <c r="B4" s="385"/>
      <c r="C4" s="23" t="s">
        <v>243</v>
      </c>
      <c r="D4" s="29" t="s">
        <v>6</v>
      </c>
      <c r="E4" s="10" t="s">
        <v>244</v>
      </c>
      <c r="F4" s="30">
        <f>COUNTIF(A5:A44,"*COMPLETO*")/COUNTA(A5:A44)</f>
        <v>0.95833333333333337</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COMPLETO</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2437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2456</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2455</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80"/>
      <c r="V3" s="380"/>
    </row>
    <row r="4" spans="1:22" x14ac:dyDescent="0.25">
      <c r="A4" s="383"/>
      <c r="B4" s="385"/>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0" t="s">
        <v>7</v>
      </c>
      <c r="V3" s="380" t="s">
        <v>7</v>
      </c>
    </row>
    <row r="4" spans="1:22" x14ac:dyDescent="0.25">
      <c r="A4" s="383"/>
      <c r="B4" s="385"/>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2388</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2452</v>
      </c>
      <c r="D32" s="18" t="s">
        <v>405</v>
      </c>
      <c r="E32" s="18" t="s">
        <v>2566</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0"/>
      <c r="V3" s="380"/>
    </row>
    <row r="4" spans="1:22" x14ac:dyDescent="0.25">
      <c r="A4" s="383"/>
      <c r="B4" s="385"/>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2570</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0"/>
      <c r="V3" s="380"/>
    </row>
    <row r="4" spans="1:22" x14ac:dyDescent="0.25">
      <c r="A4" s="383"/>
      <c r="B4" s="385"/>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2565</v>
      </c>
      <c r="D18" s="18"/>
      <c r="E18" s="18" t="s">
        <v>2564</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0"/>
      <c r="V3" s="380"/>
    </row>
    <row r="4" spans="1:22" x14ac:dyDescent="0.25">
      <c r="A4" s="383"/>
      <c r="B4" s="385"/>
      <c r="C4" s="23" t="s">
        <v>1290</v>
      </c>
      <c r="D4" s="29" t="s">
        <v>6</v>
      </c>
      <c r="E4" s="10" t="s">
        <v>2444</v>
      </c>
      <c r="F4" s="30">
        <f>COUNTIF(A5:A44,"*COMPLETO*")/COUNTA(A5:A44)</f>
        <v>0</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t="s">
        <v>116</v>
      </c>
    </row>
    <row r="4" spans="1:22" x14ac:dyDescent="0.25">
      <c r="A4" s="383"/>
      <c r="B4" s="385"/>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81"/>
      <c r="V4" s="381"/>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116</v>
      </c>
    </row>
    <row r="4" spans="1:22" x14ac:dyDescent="0.25">
      <c r="A4" s="383"/>
      <c r="B4" s="385"/>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2463</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81"/>
      <c r="V4" s="381"/>
    </row>
    <row r="5" spans="1:22" ht="15" customHeight="1" x14ac:dyDescent="0.25">
      <c r="A5" s="19" t="str">
        <f>IF(COUNTIF(F5:V5,"F")&gt;0,"FALTA","COMPLETO")</f>
        <v>COMPLETO</v>
      </c>
      <c r="B5" s="20" t="s">
        <v>2387</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80" t="s">
        <v>8</v>
      </c>
      <c r="V3" s="380" t="s">
        <v>8</v>
      </c>
    </row>
    <row r="4" spans="1:22" x14ac:dyDescent="0.25">
      <c r="A4" s="383"/>
      <c r="B4" s="385"/>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0"/>
      <c r="V3" s="380"/>
    </row>
    <row r="4" spans="1:22" x14ac:dyDescent="0.25">
      <c r="A4" s="383"/>
      <c r="B4" s="385"/>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121</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120</v>
      </c>
      <c r="D5" s="18" t="s">
        <v>129</v>
      </c>
      <c r="E5" s="18" t="s">
        <v>2464</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2559</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1753</v>
      </c>
      <c r="D5" s="18"/>
      <c r="E5" s="18" t="s">
        <v>2414</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2567</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2454</v>
      </c>
      <c r="D9" s="18"/>
      <c r="E9" s="18" t="s">
        <v>2453</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2569</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2567</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2568</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116</v>
      </c>
    </row>
    <row r="4" spans="1:22" x14ac:dyDescent="0.25">
      <c r="A4" s="383"/>
      <c r="B4" s="385"/>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3"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3" x14ac:dyDescent="0.25">
      <c r="A3" s="382" t="str">
        <f>IF(COUNTIF(G3:V4,"F")&gt;0,"FALTA","COMPLETO")</f>
        <v>COMPLETO</v>
      </c>
      <c r="B3" s="384"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3" x14ac:dyDescent="0.25">
      <c r="A4" s="383"/>
      <c r="B4" s="385"/>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2455</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151</v>
      </c>
      <c r="C5" s="17" t="s">
        <v>1088</v>
      </c>
      <c r="D5" s="18" t="s">
        <v>1105</v>
      </c>
      <c r="E5" s="18" t="s">
        <v>2417</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2391</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1130</v>
      </c>
      <c r="D3" s="29" t="s">
        <v>5</v>
      </c>
      <c r="E3" s="10" t="s">
        <v>2434</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0" t="s">
        <v>7</v>
      </c>
      <c r="V3" s="380" t="s">
        <v>7</v>
      </c>
    </row>
    <row r="4" spans="1:22" x14ac:dyDescent="0.25">
      <c r="A4" s="383"/>
      <c r="B4" s="385"/>
      <c r="C4" s="23"/>
      <c r="D4" s="29" t="s">
        <v>6</v>
      </c>
      <c r="E4" s="10" t="s">
        <v>2429</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2425</v>
      </c>
      <c r="D5" s="18"/>
      <c r="E5" s="18" t="s">
        <v>2424</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2427</v>
      </c>
      <c r="D6" s="18"/>
      <c r="E6" s="18" t="s">
        <v>2426</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2433</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2430</v>
      </c>
      <c r="D9" s="18"/>
      <c r="E9" s="18" t="s">
        <v>2428</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2432</v>
      </c>
      <c r="D11" s="18"/>
      <c r="E11" s="18" t="s">
        <v>2431</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2435</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row>
    <row r="4" spans="1:22" x14ac:dyDescent="0.25">
      <c r="A4" s="383"/>
      <c r="B4" s="385"/>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t="s">
        <v>53</v>
      </c>
      <c r="V3" s="380" t="s">
        <v>53</v>
      </c>
    </row>
    <row r="4" spans="1:22" x14ac:dyDescent="0.25">
      <c r="A4" s="383"/>
      <c r="B4" s="385"/>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0"/>
      <c r="V3" s="380"/>
    </row>
    <row r="4" spans="1:22" x14ac:dyDescent="0.25">
      <c r="A4" s="383"/>
      <c r="B4" s="385"/>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1"/>
      <c r="V4" s="381"/>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80"/>
      <c r="V3" s="380"/>
    </row>
    <row r="4" spans="1:22" x14ac:dyDescent="0.25">
      <c r="A4" s="383"/>
      <c r="B4" s="385"/>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81"/>
      <c r="V4" s="381"/>
    </row>
    <row r="5" spans="1:22" ht="15" customHeight="1" x14ac:dyDescent="0.25">
      <c r="A5" s="19" t="s">
        <v>2493</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FALTA</v>
      </c>
      <c r="B3" s="384"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0"/>
      <c r="V3" s="380"/>
    </row>
    <row r="4" spans="1:22" x14ac:dyDescent="0.25">
      <c r="A4" s="383"/>
      <c r="B4" s="385"/>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81"/>
      <c r="V4" s="381"/>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2422</v>
      </c>
      <c r="D6" s="18"/>
      <c r="E6" s="18" t="s">
        <v>2421</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2418</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2560</v>
      </c>
      <c r="D8" s="18"/>
      <c r="E8" s="18" t="s">
        <v>2561</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2442</v>
      </c>
      <c r="D10" s="18"/>
      <c r="E10" s="18" t="s">
        <v>2441</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2443</v>
      </c>
      <c r="D11" s="18"/>
      <c r="E11" s="18" t="s">
        <v>2419</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2459</v>
      </c>
      <c r="D12" s="18"/>
      <c r="E12" s="18" t="s">
        <v>2458</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76" t="s">
        <v>11</v>
      </c>
      <c r="G1" s="376" t="s">
        <v>20</v>
      </c>
      <c r="H1" s="376" t="s">
        <v>13</v>
      </c>
      <c r="I1" s="376" t="s">
        <v>14</v>
      </c>
      <c r="J1" s="378" t="s">
        <v>1332</v>
      </c>
      <c r="K1" s="378" t="s">
        <v>1331</v>
      </c>
      <c r="L1" s="386" t="s">
        <v>15</v>
      </c>
      <c r="M1" s="378" t="s">
        <v>16</v>
      </c>
      <c r="N1" s="378" t="s">
        <v>1330</v>
      </c>
      <c r="O1" s="378" t="s">
        <v>21</v>
      </c>
      <c r="P1" s="376" t="s">
        <v>1</v>
      </c>
      <c r="Q1" s="376" t="s">
        <v>22</v>
      </c>
      <c r="R1" s="376" t="s">
        <v>2</v>
      </c>
      <c r="S1" s="376" t="s">
        <v>17</v>
      </c>
      <c r="T1" s="378" t="s">
        <v>10</v>
      </c>
      <c r="U1" s="376" t="s">
        <v>114</v>
      </c>
      <c r="V1" s="376" t="s">
        <v>115</v>
      </c>
    </row>
    <row r="2" spans="1:22" s="1" customFormat="1" ht="45" customHeight="1" x14ac:dyDescent="0.25">
      <c r="A2" s="14" t="s">
        <v>1329</v>
      </c>
      <c r="B2" s="5" t="s">
        <v>3</v>
      </c>
      <c r="C2" s="6" t="s">
        <v>4</v>
      </c>
      <c r="D2" s="5" t="s">
        <v>25</v>
      </c>
      <c r="E2" s="14" t="s">
        <v>27</v>
      </c>
      <c r="F2" s="377"/>
      <c r="G2" s="377"/>
      <c r="H2" s="377"/>
      <c r="I2" s="377"/>
      <c r="J2" s="379"/>
      <c r="K2" s="379"/>
      <c r="L2" s="387"/>
      <c r="M2" s="379"/>
      <c r="N2" s="379"/>
      <c r="O2" s="379"/>
      <c r="P2" s="377"/>
      <c r="Q2" s="377"/>
      <c r="R2" s="377"/>
      <c r="S2" s="377"/>
      <c r="T2" s="379"/>
      <c r="U2" s="377"/>
      <c r="V2" s="377"/>
    </row>
    <row r="3" spans="1:22" x14ac:dyDescent="0.25">
      <c r="A3" s="382" t="str">
        <f>IF(COUNTIF(G3:V4,"F")&gt;0,"FALTA","COMPLETO")</f>
        <v>COMPLETO</v>
      </c>
      <c r="B3" s="384"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0"/>
      <c r="V3" s="380" t="s">
        <v>116</v>
      </c>
    </row>
    <row r="4" spans="1:22" x14ac:dyDescent="0.25">
      <c r="A4" s="383"/>
      <c r="B4" s="385"/>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81"/>
      <c r="V4" s="381"/>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2026-05-07T22:39:21Z</dcterms:modified>
</cp:coreProperties>
</file>